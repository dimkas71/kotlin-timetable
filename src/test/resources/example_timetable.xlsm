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19170" windowHeight="12270"/>
  </bookViews>
  <sheets>
    <sheet name="Лист1" sheetId="1" r:id="rId1"/>
    <sheet name="Лист2" sheetId="2" r:id="rId2"/>
    <sheet name="ДОП_ВСІ" sheetId="3" r:id="rId3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P249" i="1" l="1"/>
  <c r="AP250" i="1"/>
  <c r="AP251" i="1"/>
  <c r="AP252" i="1"/>
  <c r="AP253" i="1"/>
  <c r="AP254" i="1"/>
  <c r="AP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W249" i="1"/>
  <c r="AW250" i="1"/>
  <c r="AW251" i="1"/>
  <c r="AW252" i="1"/>
  <c r="AW253" i="1"/>
  <c r="AW254" i="1"/>
  <c r="AW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X249" i="1"/>
  <c r="AX250" i="1"/>
  <c r="AX251" i="1"/>
  <c r="AX252" i="1"/>
  <c r="AX253" i="1"/>
  <c r="AX254" i="1"/>
  <c r="AX4" i="1"/>
  <c r="AX255" i="1"/>
  <c r="AX256" i="1"/>
  <c r="AX257" i="1"/>
  <c r="AX258" i="1"/>
  <c r="AX259" i="1"/>
  <c r="AX260" i="1"/>
  <c r="AX261" i="1"/>
  <c r="AX262" i="1"/>
  <c r="AX263" i="1"/>
  <c r="AX264" i="1"/>
  <c r="AX265" i="1"/>
  <c r="AX266" i="1"/>
  <c r="AX267" i="1"/>
  <c r="AX268" i="1"/>
  <c r="AX269" i="1"/>
  <c r="AX270" i="1"/>
  <c r="AX271" i="1"/>
  <c r="AX272" i="1"/>
  <c r="AX273" i="1"/>
  <c r="AX274" i="1"/>
  <c r="AX275" i="1"/>
  <c r="AX276" i="1"/>
  <c r="AQ251" i="1"/>
  <c r="AQ4" i="1"/>
  <c r="AQ258" i="1"/>
  <c r="AQ262" i="1"/>
  <c r="AQ265" i="1"/>
  <c r="AQ269" i="1"/>
  <c r="AQ273" i="1"/>
  <c r="AR249" i="1"/>
  <c r="AR253" i="1"/>
  <c r="AR256" i="1"/>
  <c r="AR260" i="1"/>
  <c r="AR267" i="1"/>
  <c r="AR271" i="1"/>
  <c r="AR275" i="1"/>
  <c r="AS251" i="1"/>
  <c r="AS4" i="1"/>
  <c r="AS258" i="1"/>
  <c r="AS262" i="1"/>
  <c r="AS265" i="1"/>
  <c r="AS269" i="1"/>
  <c r="AS273" i="1"/>
  <c r="AU249" i="1"/>
  <c r="AU253" i="1"/>
  <c r="AU256" i="1"/>
  <c r="AU260" i="1"/>
  <c r="AU267" i="1"/>
  <c r="AU271" i="1"/>
  <c r="AU275" i="1"/>
  <c r="BB251" i="1"/>
  <c r="BB4" i="1"/>
  <c r="BB258" i="1"/>
  <c r="BB262" i="1"/>
  <c r="BB265" i="1"/>
  <c r="BB269" i="1"/>
  <c r="BB273" i="1"/>
  <c r="BB271" i="1"/>
  <c r="AQ250" i="1"/>
  <c r="AQ257" i="1"/>
  <c r="AQ268" i="1"/>
  <c r="AQ276" i="1"/>
  <c r="AR255" i="1"/>
  <c r="AR263" i="1"/>
  <c r="AR274" i="1"/>
  <c r="AS257" i="1"/>
  <c r="AS264" i="1"/>
  <c r="AS276" i="1"/>
  <c r="AU259" i="1"/>
  <c r="AU270" i="1"/>
  <c r="BB254" i="1"/>
  <c r="BB261" i="1"/>
  <c r="BB272" i="1"/>
  <c r="AQ252" i="1"/>
  <c r="AQ255" i="1"/>
  <c r="AQ259" i="1"/>
  <c r="AQ263" i="1"/>
  <c r="AQ266" i="1"/>
  <c r="AQ270" i="1"/>
  <c r="AQ274" i="1"/>
  <c r="AR250" i="1"/>
  <c r="AR254" i="1"/>
  <c r="AR257" i="1"/>
  <c r="AR261" i="1"/>
  <c r="AR264" i="1"/>
  <c r="AR268" i="1"/>
  <c r="AR272" i="1"/>
  <c r="AR276" i="1"/>
  <c r="AS252" i="1"/>
  <c r="AS255" i="1"/>
  <c r="AS259" i="1"/>
  <c r="AS263" i="1"/>
  <c r="AS266" i="1"/>
  <c r="AS270" i="1"/>
  <c r="AS274" i="1"/>
  <c r="AU250" i="1"/>
  <c r="AU254" i="1"/>
  <c r="AU257" i="1"/>
  <c r="AU261" i="1"/>
  <c r="AU264" i="1"/>
  <c r="AU268" i="1"/>
  <c r="AU272" i="1"/>
  <c r="AU276" i="1"/>
  <c r="BB252" i="1"/>
  <c r="BB255" i="1"/>
  <c r="BB259" i="1"/>
  <c r="BB263" i="1"/>
  <c r="BB266" i="1"/>
  <c r="BB270" i="1"/>
  <c r="BB274" i="1"/>
  <c r="BB249" i="1"/>
  <c r="BB253" i="1"/>
  <c r="BB256" i="1"/>
  <c r="BB267" i="1"/>
  <c r="BB275" i="1"/>
  <c r="AQ261" i="1"/>
  <c r="AQ272" i="1"/>
  <c r="AR259" i="1"/>
  <c r="AR270" i="1"/>
  <c r="AS254" i="1"/>
  <c r="AS268" i="1"/>
  <c r="AU252" i="1"/>
  <c r="AU263" i="1"/>
  <c r="AU274" i="1"/>
  <c r="BB250" i="1"/>
  <c r="BB257" i="1"/>
  <c r="BB268" i="1"/>
  <c r="BB276" i="1"/>
  <c r="AQ249" i="1"/>
  <c r="AQ253" i="1"/>
  <c r="AQ256" i="1"/>
  <c r="AQ260" i="1"/>
  <c r="AQ267" i="1"/>
  <c r="AQ271" i="1"/>
  <c r="AQ275" i="1"/>
  <c r="AR251" i="1"/>
  <c r="AR4" i="1"/>
  <c r="AR258" i="1"/>
  <c r="AR262" i="1"/>
  <c r="AR265" i="1"/>
  <c r="AR269" i="1"/>
  <c r="AR273" i="1"/>
  <c r="AS249" i="1"/>
  <c r="AS253" i="1"/>
  <c r="AS256" i="1"/>
  <c r="AS260" i="1"/>
  <c r="AS267" i="1"/>
  <c r="AS271" i="1"/>
  <c r="AS275" i="1"/>
  <c r="AU251" i="1"/>
  <c r="AU4" i="1"/>
  <c r="AU258" i="1"/>
  <c r="AU262" i="1"/>
  <c r="AU265" i="1"/>
  <c r="AU269" i="1"/>
  <c r="AU273" i="1"/>
  <c r="BB260" i="1"/>
  <c r="AQ254" i="1"/>
  <c r="AQ264" i="1"/>
  <c r="AR252" i="1"/>
  <c r="AR266" i="1"/>
  <c r="AS250" i="1"/>
  <c r="AS261" i="1"/>
  <c r="AS272" i="1"/>
  <c r="AU255" i="1"/>
  <c r="AU266" i="1"/>
  <c r="BB264" i="1"/>
  <c r="AY266" i="1" l="1"/>
  <c r="AY255" i="1"/>
  <c r="AZ266" i="1"/>
  <c r="AZ252" i="1"/>
  <c r="AY273" i="1"/>
  <c r="AY269" i="1"/>
  <c r="AY265" i="1"/>
  <c r="AY262" i="1"/>
  <c r="AY258" i="1"/>
  <c r="AY4" i="1"/>
  <c r="AY251" i="1"/>
  <c r="AZ273" i="1"/>
  <c r="AZ269" i="1"/>
  <c r="AZ265" i="1"/>
  <c r="AZ262" i="1"/>
  <c r="AZ258" i="1"/>
  <c r="AZ4" i="1"/>
  <c r="AZ251" i="1"/>
  <c r="AY274" i="1"/>
  <c r="AY263" i="1"/>
  <c r="AY252" i="1"/>
  <c r="AZ270" i="1"/>
  <c r="AZ259" i="1"/>
  <c r="AY276" i="1"/>
  <c r="AY272" i="1"/>
  <c r="AY268" i="1"/>
  <c r="AY264" i="1"/>
  <c r="AY261" i="1"/>
  <c r="AY257" i="1"/>
  <c r="AY254" i="1"/>
  <c r="AY250" i="1"/>
  <c r="AZ276" i="1"/>
  <c r="AZ272" i="1"/>
  <c r="AZ268" i="1"/>
  <c r="AZ264" i="1"/>
  <c r="AZ261" i="1"/>
  <c r="AZ257" i="1"/>
  <c r="AZ254" i="1"/>
  <c r="AZ250" i="1"/>
  <c r="AY270" i="1"/>
  <c r="AY259" i="1"/>
  <c r="AZ274" i="1"/>
  <c r="AZ263" i="1"/>
  <c r="AZ255" i="1"/>
  <c r="AY275" i="1"/>
  <c r="AY271" i="1"/>
  <c r="AY267" i="1"/>
  <c r="AY260" i="1"/>
  <c r="AY256" i="1"/>
  <c r="AY253" i="1"/>
  <c r="AY249" i="1"/>
  <c r="AZ275" i="1"/>
  <c r="AZ271" i="1"/>
  <c r="AZ267" i="1"/>
  <c r="AZ260" i="1"/>
  <c r="AZ256" i="1"/>
  <c r="AZ253" i="1"/>
  <c r="AZ249" i="1"/>
  <c r="AP248" i="1"/>
  <c r="AP247" i="1"/>
  <c r="AP246" i="1"/>
  <c r="AP245" i="1"/>
  <c r="AP244" i="1"/>
  <c r="AP243" i="1"/>
  <c r="AP242" i="1"/>
  <c r="AP241" i="1"/>
  <c r="AP240" i="1"/>
  <c r="AP239" i="1"/>
  <c r="AP238" i="1"/>
  <c r="AP237" i="1"/>
  <c r="AP236" i="1"/>
  <c r="AP235" i="1"/>
  <c r="AP234" i="1"/>
  <c r="AP233" i="1"/>
  <c r="AP232" i="1"/>
  <c r="AP231" i="1"/>
  <c r="AP230" i="1"/>
  <c r="AP229" i="1"/>
  <c r="AP228" i="1"/>
  <c r="AP227" i="1"/>
  <c r="AP226" i="1"/>
  <c r="AP225" i="1"/>
  <c r="AP224" i="1"/>
  <c r="AP223" i="1"/>
  <c r="AP222" i="1"/>
  <c r="AP221" i="1"/>
  <c r="AP220" i="1"/>
  <c r="AP219" i="1"/>
  <c r="AP218" i="1"/>
  <c r="AP217" i="1"/>
  <c r="AP216" i="1"/>
  <c r="AP215" i="1"/>
  <c r="AP214" i="1"/>
  <c r="AP213" i="1"/>
  <c r="AP212" i="1"/>
  <c r="AP211" i="1"/>
  <c r="AP210" i="1"/>
  <c r="AP209" i="1"/>
  <c r="AP208" i="1"/>
  <c r="AP207" i="1"/>
  <c r="AP206" i="1"/>
  <c r="AP205" i="1"/>
  <c r="AP204" i="1"/>
  <c r="AP203" i="1"/>
  <c r="AP202" i="1"/>
  <c r="AP201" i="1"/>
  <c r="AP200" i="1"/>
  <c r="AP199" i="1"/>
  <c r="AP198" i="1"/>
  <c r="AP197" i="1"/>
  <c r="AP196" i="1"/>
  <c r="AP195" i="1"/>
  <c r="AP194" i="1"/>
  <c r="AP193" i="1"/>
  <c r="AP192" i="1"/>
  <c r="AP191" i="1"/>
  <c r="AP190" i="1"/>
  <c r="AP189" i="1"/>
  <c r="AP188" i="1"/>
  <c r="AP187" i="1"/>
  <c r="AP186" i="1"/>
  <c r="AP185" i="1"/>
  <c r="AP184" i="1"/>
  <c r="AP183" i="1"/>
  <c r="AP182" i="1"/>
  <c r="AP181" i="1"/>
  <c r="AP180" i="1"/>
  <c r="AP179" i="1"/>
  <c r="AP178" i="1"/>
  <c r="AP177" i="1"/>
  <c r="AP176" i="1"/>
  <c r="AP175" i="1"/>
  <c r="AP174" i="1"/>
  <c r="AP173" i="1"/>
  <c r="AP172" i="1"/>
  <c r="AP171" i="1"/>
  <c r="AP170" i="1"/>
  <c r="AP169" i="1"/>
  <c r="AP168" i="1"/>
  <c r="AP167" i="1"/>
  <c r="AP166" i="1"/>
  <c r="AP165" i="1"/>
  <c r="AP164" i="1"/>
  <c r="AP163" i="1"/>
  <c r="AP162" i="1"/>
  <c r="AP161" i="1"/>
  <c r="AP160" i="1"/>
  <c r="AP159" i="1"/>
  <c r="AP158" i="1"/>
  <c r="AP157" i="1"/>
  <c r="AP156" i="1"/>
  <c r="AP155" i="1"/>
  <c r="AP154" i="1"/>
  <c r="AP153" i="1"/>
  <c r="AP152" i="1"/>
  <c r="AP151" i="1"/>
  <c r="AP150" i="1"/>
  <c r="AP149" i="1"/>
  <c r="AP148" i="1"/>
  <c r="AP147" i="1"/>
  <c r="AP146" i="1"/>
  <c r="AP145" i="1"/>
  <c r="AP144" i="1"/>
  <c r="AP143" i="1"/>
  <c r="AP142" i="1"/>
  <c r="AP141" i="1"/>
  <c r="AP140" i="1"/>
  <c r="AP3" i="1"/>
  <c r="AP139" i="1"/>
  <c r="AP138" i="1"/>
  <c r="AP137" i="1"/>
  <c r="AP136" i="1"/>
  <c r="AP135" i="1"/>
  <c r="AP134" i="1"/>
  <c r="AP133" i="1"/>
  <c r="AP132" i="1"/>
  <c r="AP131" i="1"/>
  <c r="AP130" i="1"/>
  <c r="AP129" i="1"/>
  <c r="AP128" i="1"/>
  <c r="AP127" i="1"/>
  <c r="AP126" i="1"/>
  <c r="AP125" i="1"/>
  <c r="AP124" i="1"/>
  <c r="AP123" i="1"/>
  <c r="AP122" i="1"/>
  <c r="AP121" i="1"/>
  <c r="AP120" i="1"/>
  <c r="AP119" i="1"/>
  <c r="AP118" i="1"/>
  <c r="AP117" i="1"/>
  <c r="AP116" i="1"/>
  <c r="AP115" i="1"/>
  <c r="AP114" i="1"/>
  <c r="AP113" i="1"/>
  <c r="AP112" i="1"/>
  <c r="AP111" i="1"/>
  <c r="AP110" i="1"/>
  <c r="AP109" i="1"/>
  <c r="AP108" i="1"/>
  <c r="AP107" i="1"/>
  <c r="AP106" i="1"/>
  <c r="AP105" i="1"/>
  <c r="AP104" i="1"/>
  <c r="AP103" i="1"/>
  <c r="AP102" i="1"/>
  <c r="AP101" i="1"/>
  <c r="AP100" i="1"/>
  <c r="AP99" i="1"/>
  <c r="AP98" i="1"/>
  <c r="AP97" i="1"/>
  <c r="AP96" i="1"/>
  <c r="AP95" i="1"/>
  <c r="AP94" i="1"/>
  <c r="AP93" i="1"/>
  <c r="AP92" i="1"/>
  <c r="AP91" i="1"/>
  <c r="AP90" i="1"/>
  <c r="AP89" i="1"/>
  <c r="AP88" i="1"/>
  <c r="AP87" i="1"/>
  <c r="AP86" i="1"/>
  <c r="AP85" i="1"/>
  <c r="AP84" i="1"/>
  <c r="AP83" i="1"/>
  <c r="AP82" i="1"/>
  <c r="AP81" i="1"/>
  <c r="AP80" i="1"/>
  <c r="AP79" i="1"/>
  <c r="AP78" i="1"/>
  <c r="AP77" i="1"/>
  <c r="AP76" i="1"/>
  <c r="AP75" i="1"/>
  <c r="AP74" i="1"/>
  <c r="AP73" i="1"/>
  <c r="AP72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P35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P9" i="1"/>
  <c r="AP8" i="1"/>
  <c r="AP7" i="1"/>
  <c r="AP6" i="1"/>
  <c r="AX248" i="1"/>
  <c r="AW248" i="1"/>
  <c r="AX247" i="1"/>
  <c r="AW247" i="1"/>
  <c r="AX246" i="1"/>
  <c r="AW246" i="1"/>
  <c r="AX245" i="1"/>
  <c r="AW245" i="1"/>
  <c r="AX244" i="1"/>
  <c r="AW244" i="1"/>
  <c r="AX243" i="1"/>
  <c r="AW243" i="1"/>
  <c r="AX242" i="1"/>
  <c r="AW242" i="1"/>
  <c r="AX241" i="1"/>
  <c r="AW241" i="1"/>
  <c r="AX240" i="1"/>
  <c r="AW240" i="1"/>
  <c r="AX239" i="1"/>
  <c r="AW239" i="1"/>
  <c r="AX238" i="1"/>
  <c r="AW238" i="1"/>
  <c r="AX237" i="1"/>
  <c r="AW237" i="1"/>
  <c r="AX236" i="1"/>
  <c r="AW236" i="1"/>
  <c r="AX235" i="1"/>
  <c r="AW235" i="1"/>
  <c r="AX234" i="1"/>
  <c r="AW234" i="1"/>
  <c r="AX233" i="1"/>
  <c r="AW233" i="1"/>
  <c r="AX232" i="1"/>
  <c r="AW232" i="1"/>
  <c r="AX231" i="1"/>
  <c r="AW231" i="1"/>
  <c r="AX230" i="1"/>
  <c r="AW230" i="1"/>
  <c r="AX229" i="1"/>
  <c r="AW229" i="1"/>
  <c r="AX228" i="1"/>
  <c r="AW228" i="1"/>
  <c r="AX227" i="1"/>
  <c r="AW227" i="1"/>
  <c r="AX226" i="1"/>
  <c r="AW226" i="1"/>
  <c r="AX225" i="1"/>
  <c r="AW225" i="1"/>
  <c r="AX224" i="1"/>
  <c r="AW224" i="1"/>
  <c r="AX223" i="1"/>
  <c r="AW223" i="1"/>
  <c r="AX222" i="1"/>
  <c r="AW222" i="1"/>
  <c r="AX221" i="1"/>
  <c r="AW221" i="1"/>
  <c r="AX220" i="1"/>
  <c r="AW220" i="1"/>
  <c r="AX219" i="1"/>
  <c r="AW219" i="1"/>
  <c r="AX218" i="1"/>
  <c r="AW218" i="1"/>
  <c r="AX217" i="1"/>
  <c r="AW217" i="1"/>
  <c r="AX216" i="1"/>
  <c r="AW216" i="1"/>
  <c r="AX215" i="1"/>
  <c r="AW215" i="1"/>
  <c r="AX214" i="1"/>
  <c r="AW214" i="1"/>
  <c r="AX213" i="1"/>
  <c r="AW213" i="1"/>
  <c r="AX212" i="1"/>
  <c r="AW212" i="1"/>
  <c r="AX211" i="1"/>
  <c r="AW211" i="1"/>
  <c r="AX210" i="1"/>
  <c r="AW210" i="1"/>
  <c r="AX209" i="1"/>
  <c r="AW209" i="1"/>
  <c r="AX208" i="1"/>
  <c r="AW208" i="1"/>
  <c r="AX207" i="1"/>
  <c r="AW207" i="1"/>
  <c r="AX206" i="1"/>
  <c r="AW206" i="1"/>
  <c r="AX205" i="1"/>
  <c r="AW205" i="1"/>
  <c r="AX204" i="1"/>
  <c r="AW204" i="1"/>
  <c r="AX203" i="1"/>
  <c r="AW203" i="1"/>
  <c r="AX202" i="1"/>
  <c r="AW202" i="1"/>
  <c r="AX201" i="1"/>
  <c r="AW201" i="1"/>
  <c r="AX200" i="1"/>
  <c r="AW200" i="1"/>
  <c r="AX199" i="1"/>
  <c r="AW199" i="1"/>
  <c r="AX198" i="1"/>
  <c r="AW198" i="1"/>
  <c r="AX197" i="1"/>
  <c r="AW197" i="1"/>
  <c r="AX196" i="1"/>
  <c r="AW196" i="1"/>
  <c r="AX195" i="1"/>
  <c r="AW195" i="1"/>
  <c r="AX194" i="1"/>
  <c r="AW194" i="1"/>
  <c r="AX193" i="1"/>
  <c r="AW193" i="1"/>
  <c r="AX192" i="1"/>
  <c r="AW192" i="1"/>
  <c r="AX191" i="1"/>
  <c r="AW191" i="1"/>
  <c r="AX190" i="1"/>
  <c r="AW190" i="1"/>
  <c r="AX189" i="1"/>
  <c r="AW189" i="1"/>
  <c r="AX188" i="1"/>
  <c r="AW188" i="1"/>
  <c r="AX187" i="1"/>
  <c r="AW187" i="1"/>
  <c r="AX186" i="1"/>
  <c r="AW186" i="1"/>
  <c r="AX185" i="1"/>
  <c r="AW185" i="1"/>
  <c r="AX184" i="1"/>
  <c r="AW184" i="1"/>
  <c r="AX183" i="1"/>
  <c r="AW183" i="1"/>
  <c r="AX182" i="1"/>
  <c r="AW182" i="1"/>
  <c r="AX181" i="1"/>
  <c r="AW181" i="1"/>
  <c r="AX180" i="1"/>
  <c r="AW180" i="1"/>
  <c r="AX179" i="1"/>
  <c r="AW179" i="1"/>
  <c r="AX178" i="1"/>
  <c r="AW178" i="1"/>
  <c r="AX177" i="1"/>
  <c r="AW177" i="1"/>
  <c r="AX176" i="1"/>
  <c r="AW176" i="1"/>
  <c r="AX175" i="1"/>
  <c r="AW175" i="1"/>
  <c r="AX174" i="1"/>
  <c r="AW174" i="1"/>
  <c r="AX173" i="1"/>
  <c r="AW173" i="1"/>
  <c r="AX172" i="1"/>
  <c r="AW172" i="1"/>
  <c r="AX171" i="1"/>
  <c r="AW171" i="1"/>
  <c r="AX170" i="1"/>
  <c r="AW170" i="1"/>
  <c r="AX169" i="1"/>
  <c r="AW169" i="1"/>
  <c r="AX168" i="1"/>
  <c r="AW168" i="1"/>
  <c r="AX167" i="1"/>
  <c r="AW167" i="1"/>
  <c r="AX166" i="1"/>
  <c r="AW166" i="1"/>
  <c r="AX165" i="1"/>
  <c r="AW165" i="1"/>
  <c r="AX164" i="1"/>
  <c r="AW164" i="1"/>
  <c r="AX163" i="1"/>
  <c r="AW163" i="1"/>
  <c r="AX162" i="1"/>
  <c r="AW162" i="1"/>
  <c r="AX161" i="1"/>
  <c r="AW161" i="1"/>
  <c r="AX160" i="1"/>
  <c r="AW160" i="1"/>
  <c r="AX159" i="1"/>
  <c r="AW159" i="1"/>
  <c r="AX158" i="1"/>
  <c r="AW158" i="1"/>
  <c r="AX157" i="1"/>
  <c r="AW157" i="1"/>
  <c r="AX156" i="1"/>
  <c r="AW156" i="1"/>
  <c r="AX155" i="1"/>
  <c r="AW155" i="1"/>
  <c r="AX154" i="1"/>
  <c r="AW154" i="1"/>
  <c r="AX153" i="1"/>
  <c r="AW153" i="1"/>
  <c r="AX152" i="1"/>
  <c r="AW152" i="1"/>
  <c r="AX151" i="1"/>
  <c r="AW151" i="1"/>
  <c r="AX150" i="1"/>
  <c r="AW150" i="1"/>
  <c r="AX149" i="1"/>
  <c r="AW149" i="1"/>
  <c r="AX148" i="1"/>
  <c r="AW148" i="1"/>
  <c r="AX147" i="1"/>
  <c r="AW147" i="1"/>
  <c r="AX146" i="1"/>
  <c r="AW146" i="1"/>
  <c r="AX145" i="1"/>
  <c r="AW145" i="1"/>
  <c r="AX144" i="1"/>
  <c r="AW144" i="1"/>
  <c r="AX143" i="1"/>
  <c r="AW143" i="1"/>
  <c r="AX142" i="1"/>
  <c r="AW142" i="1"/>
  <c r="AX141" i="1"/>
  <c r="AW141" i="1"/>
  <c r="AX140" i="1"/>
  <c r="AW140" i="1"/>
  <c r="AX3" i="1"/>
  <c r="AW3" i="1"/>
  <c r="AX139" i="1"/>
  <c r="AW139" i="1"/>
  <c r="AX137" i="1"/>
  <c r="AW137" i="1"/>
  <c r="AX136" i="1"/>
  <c r="AW136" i="1"/>
  <c r="AX135" i="1"/>
  <c r="AW135" i="1"/>
  <c r="AX134" i="1"/>
  <c r="AW134" i="1"/>
  <c r="AX133" i="1"/>
  <c r="AW133" i="1"/>
  <c r="AX132" i="1"/>
  <c r="AW132" i="1"/>
  <c r="AX131" i="1"/>
  <c r="AW131" i="1"/>
  <c r="AX130" i="1"/>
  <c r="AW130" i="1"/>
  <c r="AX129" i="1"/>
  <c r="AW129" i="1"/>
  <c r="AX128" i="1"/>
  <c r="AW128" i="1"/>
  <c r="AX127" i="1"/>
  <c r="AW127" i="1"/>
  <c r="AX126" i="1"/>
  <c r="AW126" i="1"/>
  <c r="AX125" i="1"/>
  <c r="AW125" i="1"/>
  <c r="AX124" i="1"/>
  <c r="AW124" i="1"/>
  <c r="AX123" i="1"/>
  <c r="AW123" i="1"/>
  <c r="AX122" i="1"/>
  <c r="AW122" i="1"/>
  <c r="AX121" i="1"/>
  <c r="AW121" i="1"/>
  <c r="AX120" i="1"/>
  <c r="AW120" i="1"/>
  <c r="AX119" i="1"/>
  <c r="AW119" i="1"/>
  <c r="AX118" i="1"/>
  <c r="AW118" i="1"/>
  <c r="AX117" i="1"/>
  <c r="AW117" i="1"/>
  <c r="AX116" i="1"/>
  <c r="AW116" i="1"/>
  <c r="AX115" i="1"/>
  <c r="AW115" i="1"/>
  <c r="AX114" i="1"/>
  <c r="AW114" i="1"/>
  <c r="AX113" i="1"/>
  <c r="AW113" i="1"/>
  <c r="AX112" i="1"/>
  <c r="AW112" i="1"/>
  <c r="AX111" i="1"/>
  <c r="AW111" i="1"/>
  <c r="AX110" i="1"/>
  <c r="AW110" i="1"/>
  <c r="AX109" i="1"/>
  <c r="AW109" i="1"/>
  <c r="AX108" i="1"/>
  <c r="AW108" i="1"/>
  <c r="AX107" i="1"/>
  <c r="AW107" i="1"/>
  <c r="AX106" i="1"/>
  <c r="AW106" i="1"/>
  <c r="AX105" i="1"/>
  <c r="AW105" i="1"/>
  <c r="AX104" i="1"/>
  <c r="AW104" i="1"/>
  <c r="AX103" i="1"/>
  <c r="AW103" i="1"/>
  <c r="AX102" i="1"/>
  <c r="AW102" i="1"/>
  <c r="AX101" i="1"/>
  <c r="AW101" i="1"/>
  <c r="AX100" i="1"/>
  <c r="AW100" i="1"/>
  <c r="AX99" i="1"/>
  <c r="AW99" i="1"/>
  <c r="AX98" i="1"/>
  <c r="AW98" i="1"/>
  <c r="AX97" i="1"/>
  <c r="AW97" i="1"/>
  <c r="AX96" i="1"/>
  <c r="AW96" i="1"/>
  <c r="AX95" i="1"/>
  <c r="AW95" i="1"/>
  <c r="AX94" i="1"/>
  <c r="AW94" i="1"/>
  <c r="AX93" i="1"/>
  <c r="AW93" i="1"/>
  <c r="AX92" i="1"/>
  <c r="AW92" i="1"/>
  <c r="AX91" i="1"/>
  <c r="AW91" i="1"/>
  <c r="AX90" i="1"/>
  <c r="AW90" i="1"/>
  <c r="AX89" i="1"/>
  <c r="AW89" i="1"/>
  <c r="AX88" i="1"/>
  <c r="AW88" i="1"/>
  <c r="AX87" i="1"/>
  <c r="AW87" i="1"/>
  <c r="AX86" i="1"/>
  <c r="AW86" i="1"/>
  <c r="AX85" i="1"/>
  <c r="AW85" i="1"/>
  <c r="AX84" i="1"/>
  <c r="AW84" i="1"/>
  <c r="AX83" i="1"/>
  <c r="AW83" i="1"/>
  <c r="AX82" i="1"/>
  <c r="AW82" i="1"/>
  <c r="AX81" i="1"/>
  <c r="AW81" i="1"/>
  <c r="AX80" i="1"/>
  <c r="AW80" i="1"/>
  <c r="AX79" i="1"/>
  <c r="AW79" i="1"/>
  <c r="AX78" i="1"/>
  <c r="AW78" i="1"/>
  <c r="AX77" i="1"/>
  <c r="AW77" i="1"/>
  <c r="AX76" i="1"/>
  <c r="AW76" i="1"/>
  <c r="AX75" i="1"/>
  <c r="AW75" i="1"/>
  <c r="AX74" i="1"/>
  <c r="AW74" i="1"/>
  <c r="AX73" i="1"/>
  <c r="AW73" i="1"/>
  <c r="AX72" i="1"/>
  <c r="AW72" i="1"/>
  <c r="AX71" i="1"/>
  <c r="AW71" i="1"/>
  <c r="AX70" i="1"/>
  <c r="AW70" i="1"/>
  <c r="AX69" i="1"/>
  <c r="AW69" i="1"/>
  <c r="AX68" i="1"/>
  <c r="AW68" i="1"/>
  <c r="AX67" i="1"/>
  <c r="AW67" i="1"/>
  <c r="AX66" i="1"/>
  <c r="AW66" i="1"/>
  <c r="AX65" i="1"/>
  <c r="AW65" i="1"/>
  <c r="AX64" i="1"/>
  <c r="AW64" i="1"/>
  <c r="AX63" i="1"/>
  <c r="AW63" i="1"/>
  <c r="AX62" i="1"/>
  <c r="AW62" i="1"/>
  <c r="AX61" i="1"/>
  <c r="AW61" i="1"/>
  <c r="AX60" i="1"/>
  <c r="AW60" i="1"/>
  <c r="AX59" i="1"/>
  <c r="AW59" i="1"/>
  <c r="AX58" i="1"/>
  <c r="AW58" i="1"/>
  <c r="AX57" i="1"/>
  <c r="AW57" i="1"/>
  <c r="AX56" i="1"/>
  <c r="AW56" i="1"/>
  <c r="AX55" i="1"/>
  <c r="AW55" i="1"/>
  <c r="AX54" i="1"/>
  <c r="AW54" i="1"/>
  <c r="AX53" i="1"/>
  <c r="AW53" i="1"/>
  <c r="AX52" i="1"/>
  <c r="AW52" i="1"/>
  <c r="AX51" i="1"/>
  <c r="AW51" i="1"/>
  <c r="AX50" i="1"/>
  <c r="AW50" i="1"/>
  <c r="AX49" i="1"/>
  <c r="AW49" i="1"/>
  <c r="AX48" i="1"/>
  <c r="AW48" i="1"/>
  <c r="AX47" i="1"/>
  <c r="AW47" i="1"/>
  <c r="AX46" i="1"/>
  <c r="AW46" i="1"/>
  <c r="AX45" i="1"/>
  <c r="AW45" i="1"/>
  <c r="AX44" i="1"/>
  <c r="AW44" i="1"/>
  <c r="AX43" i="1"/>
  <c r="AW43" i="1"/>
  <c r="AX42" i="1"/>
  <c r="AW42" i="1"/>
  <c r="AX41" i="1"/>
  <c r="AW41" i="1"/>
  <c r="AX40" i="1"/>
  <c r="AW40" i="1"/>
  <c r="AX39" i="1"/>
  <c r="AW39" i="1"/>
  <c r="AX38" i="1"/>
  <c r="AW38" i="1"/>
  <c r="AX37" i="1"/>
  <c r="AW37" i="1"/>
  <c r="AX36" i="1"/>
  <c r="AW36" i="1"/>
  <c r="AX35" i="1"/>
  <c r="AW35" i="1"/>
  <c r="AX34" i="1"/>
  <c r="AW34" i="1"/>
  <c r="AX33" i="1"/>
  <c r="AW33" i="1"/>
  <c r="AX32" i="1"/>
  <c r="AW32" i="1"/>
  <c r="AX31" i="1"/>
  <c r="AW31" i="1"/>
  <c r="AX30" i="1"/>
  <c r="AW30" i="1"/>
  <c r="AX29" i="1"/>
  <c r="AW29" i="1"/>
  <c r="AX28" i="1"/>
  <c r="AW28" i="1"/>
  <c r="AX27" i="1"/>
  <c r="AW27" i="1"/>
  <c r="AX26" i="1"/>
  <c r="AW26" i="1"/>
  <c r="AX25" i="1"/>
  <c r="AW25" i="1"/>
  <c r="AX24" i="1"/>
  <c r="AW24" i="1"/>
  <c r="AX23" i="1"/>
  <c r="AW23" i="1"/>
  <c r="AX22" i="1"/>
  <c r="AW22" i="1"/>
  <c r="AX21" i="1"/>
  <c r="AW21" i="1"/>
  <c r="AX20" i="1"/>
  <c r="AW20" i="1"/>
  <c r="AX19" i="1"/>
  <c r="AW19" i="1"/>
  <c r="AX18" i="1"/>
  <c r="AW18" i="1"/>
  <c r="AX17" i="1"/>
  <c r="AW17" i="1"/>
  <c r="AX16" i="1"/>
  <c r="AW16" i="1"/>
  <c r="AX15" i="1"/>
  <c r="AW15" i="1"/>
  <c r="AX14" i="1"/>
  <c r="AW14" i="1"/>
  <c r="AX13" i="1"/>
  <c r="AW13" i="1"/>
  <c r="AX12" i="1"/>
  <c r="AW12" i="1"/>
  <c r="AX11" i="1"/>
  <c r="AW11" i="1"/>
  <c r="AX10" i="1"/>
  <c r="AW10" i="1"/>
  <c r="AX9" i="1"/>
  <c r="AW9" i="1"/>
  <c r="AX8" i="1"/>
  <c r="AW8" i="1"/>
  <c r="AX7" i="1"/>
  <c r="AW7" i="1"/>
  <c r="AX6" i="1"/>
  <c r="AW6" i="1"/>
  <c r="AS248" i="1"/>
  <c r="BB248" i="1"/>
  <c r="AR248" i="1"/>
  <c r="AU248" i="1"/>
  <c r="AQ248" i="1"/>
  <c r="AY248" i="1" l="1"/>
  <c r="AZ248" i="1"/>
  <c r="AP5" i="1"/>
  <c r="AX5" i="1" l="1"/>
  <c r="AW5" i="1"/>
  <c r="AR242" i="1"/>
  <c r="AQ221" i="1"/>
  <c r="AR63" i="1"/>
  <c r="AS215" i="1"/>
  <c r="AQ170" i="1"/>
  <c r="AS207" i="1"/>
  <c r="AQ192" i="1"/>
  <c r="AU100" i="1"/>
  <c r="AU133" i="1"/>
  <c r="AU171" i="1"/>
  <c r="AU200" i="1"/>
  <c r="AU123" i="1"/>
  <c r="AR136" i="1"/>
  <c r="AR235" i="1"/>
  <c r="AS205" i="1"/>
  <c r="AQ231" i="1"/>
  <c r="AR142" i="1"/>
  <c r="AS131" i="1"/>
  <c r="AR236" i="1"/>
  <c r="AU172" i="1"/>
  <c r="AU51" i="1"/>
  <c r="AU214" i="1"/>
  <c r="AS164" i="1"/>
  <c r="AR213" i="1"/>
  <c r="AS235" i="1"/>
  <c r="AR221" i="1"/>
  <c r="AU120" i="1"/>
  <c r="AR157" i="1"/>
  <c r="AQ243" i="1"/>
  <c r="AS183" i="1"/>
  <c r="AU62" i="1"/>
  <c r="AS161" i="1"/>
  <c r="AQ143" i="1"/>
  <c r="AS181" i="1"/>
  <c r="AR73" i="1"/>
  <c r="AR111" i="1"/>
  <c r="AQ121" i="1"/>
  <c r="AU183" i="1"/>
  <c r="AU103" i="1"/>
  <c r="AU196" i="1"/>
  <c r="AS130" i="1"/>
  <c r="AR165" i="1"/>
  <c r="AU175" i="1"/>
  <c r="AR191" i="1"/>
  <c r="AQ217" i="1"/>
  <c r="AR62" i="1"/>
  <c r="AU230" i="1"/>
  <c r="AQ99" i="1"/>
  <c r="AQ79" i="1"/>
  <c r="AU158" i="1"/>
  <c r="AS206" i="1"/>
  <c r="AQ150" i="1"/>
  <c r="AR114" i="1"/>
  <c r="AR179" i="1"/>
  <c r="AQ88" i="1"/>
  <c r="AR129" i="1"/>
  <c r="AR70" i="1"/>
  <c r="AQ152" i="1"/>
  <c r="AS237" i="1"/>
  <c r="AS88" i="1"/>
  <c r="AS152" i="1"/>
  <c r="AR110" i="1"/>
  <c r="AU211" i="1"/>
  <c r="AS136" i="1"/>
  <c r="AU226" i="1"/>
  <c r="AU98" i="1"/>
  <c r="AS115" i="1"/>
  <c r="AU122" i="1"/>
  <c r="AS116" i="1"/>
  <c r="AU81" i="1"/>
  <c r="AU237" i="1"/>
  <c r="AQ109" i="1"/>
  <c r="AU229" i="1"/>
  <c r="AU232" i="1"/>
  <c r="AQ167" i="1"/>
  <c r="AU221" i="1"/>
  <c r="AR67" i="1"/>
  <c r="AS185" i="1"/>
  <c r="AQ108" i="1"/>
  <c r="AR61" i="1"/>
  <c r="AU134" i="1"/>
  <c r="AU235" i="1"/>
  <c r="AU54" i="1"/>
  <c r="AR97" i="1"/>
  <c r="AQ91" i="1"/>
  <c r="AS240" i="1"/>
  <c r="AS133" i="1"/>
  <c r="AS247" i="1"/>
  <c r="AU243" i="1"/>
  <c r="AR143" i="1"/>
  <c r="AS80" i="1"/>
  <c r="AU68" i="1"/>
  <c r="AQ172" i="1"/>
  <c r="AR96" i="1"/>
  <c r="AU105" i="1"/>
  <c r="AS187" i="1"/>
  <c r="AU157" i="1"/>
  <c r="AR106" i="1"/>
  <c r="AQ237" i="1"/>
  <c r="AR151" i="1"/>
  <c r="AU72" i="1"/>
  <c r="AQ66" i="1"/>
  <c r="AS229" i="1"/>
  <c r="AR121" i="1"/>
  <c r="AU111" i="1"/>
  <c r="AQ63" i="1"/>
  <c r="AS174" i="1"/>
  <c r="AU164" i="1"/>
  <c r="AU222" i="1"/>
  <c r="AU99" i="1"/>
  <c r="AQ80" i="1"/>
  <c r="AR66" i="1"/>
  <c r="AU174" i="1"/>
  <c r="AU233" i="1"/>
  <c r="AR200" i="1"/>
  <c r="AQ145" i="1"/>
  <c r="AQ216" i="1"/>
  <c r="AS147" i="1"/>
  <c r="AR120" i="1"/>
  <c r="AU79" i="1"/>
  <c r="AS71" i="1"/>
  <c r="AU137" i="1"/>
  <c r="AS48" i="1"/>
  <c r="AR95" i="1"/>
  <c r="BB242" i="1"/>
  <c r="BB239" i="1"/>
  <c r="AU240" i="1"/>
  <c r="AR46" i="1"/>
  <c r="AU170" i="1"/>
  <c r="AU83" i="1"/>
  <c r="AU244" i="1"/>
  <c r="AR177" i="1"/>
  <c r="AR98" i="1"/>
  <c r="AS3" i="1"/>
  <c r="AQ122" i="1"/>
  <c r="AS217" i="1"/>
  <c r="AU194" i="1"/>
  <c r="AU115" i="1"/>
  <c r="AQ118" i="1"/>
  <c r="AR80" i="1"/>
  <c r="AS55" i="1"/>
  <c r="AU113" i="1"/>
  <c r="AQ236" i="1"/>
  <c r="AR225" i="1"/>
  <c r="AU59" i="1"/>
  <c r="AU220" i="1"/>
  <c r="AQ160" i="1"/>
  <c r="AU3" i="1"/>
  <c r="AR138" i="1"/>
  <c r="AU142" i="1"/>
  <c r="AR187" i="1"/>
  <c r="AS241" i="1"/>
  <c r="AS61" i="1"/>
  <c r="AU223" i="1"/>
  <c r="AU124" i="1"/>
  <c r="AR173" i="1"/>
  <c r="AR171" i="1"/>
  <c r="AS216" i="1"/>
  <c r="AS184" i="1"/>
  <c r="AR190" i="1"/>
  <c r="AR154" i="1"/>
  <c r="AS238" i="1"/>
  <c r="AS173" i="1"/>
  <c r="AQ202" i="1"/>
  <c r="AU225" i="1"/>
  <c r="AU155" i="1"/>
  <c r="AQ188" i="1"/>
  <c r="AU101" i="1"/>
  <c r="AQ194" i="1"/>
  <c r="AU217" i="1"/>
  <c r="AU190" i="1"/>
  <c r="AU184" i="1"/>
  <c r="AU169" i="1"/>
  <c r="AQ144" i="1"/>
  <c r="AR208" i="1"/>
  <c r="AR127" i="1"/>
  <c r="AS140" i="1"/>
  <c r="AR141" i="1"/>
  <c r="AU218" i="1"/>
  <c r="AS228" i="1"/>
  <c r="AU146" i="1"/>
  <c r="AS178" i="1"/>
  <c r="AU162" i="1"/>
  <c r="AU75" i="1"/>
  <c r="AR128" i="1"/>
  <c r="AU178" i="1"/>
  <c r="AS109" i="1"/>
  <c r="AQ102" i="1"/>
  <c r="AQ212" i="1"/>
  <c r="AU42" i="1"/>
  <c r="AR91" i="1"/>
  <c r="AR81" i="1"/>
  <c r="AU173" i="1"/>
  <c r="AU45" i="1"/>
  <c r="AS86" i="1"/>
  <c r="AQ62" i="1"/>
  <c r="AU71" i="1"/>
  <c r="AU210" i="1"/>
  <c r="AS170" i="1"/>
  <c r="AS126" i="1"/>
  <c r="AS158" i="1"/>
  <c r="AS186" i="1"/>
  <c r="AS224" i="1"/>
  <c r="AR45" i="1"/>
  <c r="AQ95" i="1"/>
  <c r="AS149" i="1"/>
  <c r="AU126" i="1"/>
  <c r="AU97" i="1"/>
  <c r="AS113" i="1"/>
  <c r="AU60" i="1"/>
  <c r="AU201" i="1"/>
  <c r="AQ196" i="1"/>
  <c r="AS90" i="1"/>
  <c r="AR172" i="1"/>
  <c r="AS179" i="1"/>
  <c r="AU202" i="1"/>
  <c r="AR54" i="1"/>
  <c r="AR118" i="1"/>
  <c r="AR116" i="1"/>
  <c r="AQ85" i="1"/>
  <c r="AR130" i="1"/>
  <c r="AU199" i="1"/>
  <c r="AQ104" i="1"/>
  <c r="AR119" i="1"/>
  <c r="AQ168" i="1"/>
  <c r="AS194" i="1"/>
  <c r="AU181" i="1"/>
  <c r="AR139" i="1"/>
  <c r="AS230" i="1"/>
  <c r="AU188" i="1"/>
  <c r="AU246" i="1"/>
  <c r="AQ156" i="1"/>
  <c r="AU245" i="1"/>
  <c r="AR233" i="1"/>
  <c r="AQ103" i="1"/>
  <c r="AQ213" i="1"/>
  <c r="AR247" i="1"/>
  <c r="AR99" i="1"/>
  <c r="AR209" i="1"/>
  <c r="AS108" i="1"/>
  <c r="AU86" i="1"/>
  <c r="AU160" i="1"/>
  <c r="AU189" i="1"/>
  <c r="AS132" i="1"/>
  <c r="AQ155" i="1"/>
  <c r="AR153" i="1"/>
  <c r="AQ239" i="1"/>
  <c r="AR144" i="1"/>
  <c r="AR184" i="1"/>
  <c r="AQ147" i="1"/>
  <c r="AQ176" i="1"/>
  <c r="AR50" i="1"/>
  <c r="AU227" i="1"/>
  <c r="AR182" i="1"/>
  <c r="AR204" i="1"/>
  <c r="AU106" i="1"/>
  <c r="AQ240" i="1"/>
  <c r="AR109" i="1"/>
  <c r="BB196" i="1"/>
  <c r="AR167" i="1"/>
  <c r="AS49" i="1"/>
  <c r="AR222" i="1"/>
  <c r="AU130" i="1"/>
  <c r="AR183" i="1"/>
  <c r="AS223" i="1"/>
  <c r="AR53" i="1"/>
  <c r="AS110" i="1"/>
  <c r="AQ180" i="1"/>
  <c r="AS75" i="1"/>
  <c r="AS138" i="1"/>
  <c r="AR57" i="1"/>
  <c r="AR149" i="1"/>
  <c r="AR140" i="1"/>
  <c r="AQ120" i="1"/>
  <c r="BB244" i="1"/>
  <c r="AR239" i="1"/>
  <c r="AS162" i="1"/>
  <c r="AS150" i="1"/>
  <c r="AR82" i="1"/>
  <c r="AR228" i="1"/>
  <c r="AQ100" i="1"/>
  <c r="AS208" i="1"/>
  <c r="AQ181" i="1"/>
  <c r="AS57" i="1"/>
  <c r="AR74" i="1"/>
  <c r="AQ197" i="1"/>
  <c r="AR65" i="1"/>
  <c r="AU138" i="1"/>
  <c r="AQ207" i="1"/>
  <c r="AS191" i="1"/>
  <c r="AQ247" i="1"/>
  <c r="AS68" i="1"/>
  <c r="AU151" i="1"/>
  <c r="AR188" i="1"/>
  <c r="AR123" i="1"/>
  <c r="AS127" i="1"/>
  <c r="AU180" i="1"/>
  <c r="AS180" i="1"/>
  <c r="AR133" i="1"/>
  <c r="AQ135" i="1"/>
  <c r="AS156" i="1"/>
  <c r="AS69" i="1"/>
  <c r="AU88" i="1"/>
  <c r="AR212" i="1"/>
  <c r="AS81" i="1"/>
  <c r="AQ107" i="1"/>
  <c r="AU247" i="1"/>
  <c r="AU148" i="1"/>
  <c r="AS104" i="1"/>
  <c r="AS112" i="1"/>
  <c r="AS166" i="1"/>
  <c r="AU55" i="1"/>
  <c r="AS175" i="1"/>
  <c r="AR160" i="1"/>
  <c r="AS59" i="1"/>
  <c r="AQ75" i="1"/>
  <c r="AU150" i="1"/>
  <c r="AQ232" i="1"/>
  <c r="AQ165" i="1"/>
  <c r="AU231" i="1"/>
  <c r="AS220" i="1"/>
  <c r="AR215" i="1"/>
  <c r="AQ111" i="1"/>
  <c r="AR217" i="1"/>
  <c r="AR201" i="1"/>
  <c r="AR131" i="1"/>
  <c r="AS210" i="1"/>
  <c r="AU84" i="1"/>
  <c r="AR241" i="1"/>
  <c r="AQ218" i="1"/>
  <c r="AU156" i="1"/>
  <c r="AU241" i="1"/>
  <c r="AR240" i="1"/>
  <c r="AS146" i="1"/>
  <c r="AQ61" i="1"/>
  <c r="AS52" i="1"/>
  <c r="AU152" i="1"/>
  <c r="AQ214" i="1"/>
  <c r="AR175" i="1"/>
  <c r="AQ195" i="1"/>
  <c r="AS159" i="1"/>
  <c r="AU129" i="1"/>
  <c r="AR176" i="1"/>
  <c r="AQ42" i="1"/>
  <c r="AR107" i="1"/>
  <c r="AU143" i="1"/>
  <c r="AU132" i="1"/>
  <c r="AS58" i="1"/>
  <c r="AU165" i="1"/>
  <c r="AQ115" i="1"/>
  <c r="AR100" i="1"/>
  <c r="AS44" i="1"/>
  <c r="AU118" i="1"/>
  <c r="AR244" i="1"/>
  <c r="AR59" i="1"/>
  <c r="AR75" i="1"/>
  <c r="AS222" i="1"/>
  <c r="AU102" i="1"/>
  <c r="AU131" i="1"/>
  <c r="AS105" i="1"/>
  <c r="AQ72" i="1"/>
  <c r="AQ131" i="1"/>
  <c r="AR229" i="1"/>
  <c r="BB240" i="1"/>
  <c r="AR69" i="1"/>
  <c r="BB199" i="1"/>
  <c r="AQ87" i="1"/>
  <c r="AR197" i="1"/>
  <c r="AR210" i="1"/>
  <c r="BB245" i="1"/>
  <c r="AQ94" i="1"/>
  <c r="AS234" i="1"/>
  <c r="AQ43" i="1"/>
  <c r="AR170" i="1"/>
  <c r="AR150" i="1"/>
  <c r="AS165" i="1"/>
  <c r="AU144" i="1"/>
  <c r="AU121" i="1"/>
  <c r="AU206" i="1"/>
  <c r="AR85" i="1"/>
  <c r="AU104" i="1"/>
  <c r="AQ204" i="1"/>
  <c r="AS70" i="1"/>
  <c r="AQ159" i="1"/>
  <c r="AS107" i="1"/>
  <c r="AR42" i="1"/>
  <c r="AQ65" i="1"/>
  <c r="AS82" i="1"/>
  <c r="AS151" i="1"/>
  <c r="AQ73" i="1"/>
  <c r="AR245" i="1"/>
  <c r="AS42" i="1"/>
  <c r="AR161" i="1"/>
  <c r="AR230" i="1"/>
  <c r="AS202" i="1"/>
  <c r="AQ90" i="1"/>
  <c r="AS54" i="1"/>
  <c r="AR78" i="1"/>
  <c r="AQ101" i="1"/>
  <c r="AS118" i="1"/>
  <c r="AQ184" i="1"/>
  <c r="BB202" i="1"/>
  <c r="AQ215" i="1"/>
  <c r="AR203" i="1"/>
  <c r="AS204" i="1"/>
  <c r="AR207" i="1"/>
  <c r="AU212" i="1"/>
  <c r="AQ67" i="1"/>
  <c r="AQ242" i="1"/>
  <c r="AU167" i="1"/>
  <c r="AU187" i="1"/>
  <c r="AS98" i="1"/>
  <c r="AU224" i="1"/>
  <c r="BB231" i="1"/>
  <c r="AR44" i="1"/>
  <c r="AS95" i="1"/>
  <c r="AU193" i="1"/>
  <c r="AR231" i="1"/>
  <c r="AR108" i="1"/>
  <c r="AU209" i="1"/>
  <c r="AR166" i="1"/>
  <c r="AQ46" i="1"/>
  <c r="AS99" i="1"/>
  <c r="BB233" i="1"/>
  <c r="AS225" i="1"/>
  <c r="AU140" i="1"/>
  <c r="AU53" i="1"/>
  <c r="AU47" i="1"/>
  <c r="AR174" i="1"/>
  <c r="AR48" i="1"/>
  <c r="AQ227" i="1"/>
  <c r="AU76" i="1"/>
  <c r="AQ56" i="1"/>
  <c r="BB169" i="1"/>
  <c r="BB130" i="1"/>
  <c r="BB75" i="1"/>
  <c r="BB103" i="1"/>
  <c r="BB65" i="1"/>
  <c r="BB112" i="1"/>
  <c r="BB133" i="1"/>
  <c r="BB160" i="1"/>
  <c r="AR93" i="1"/>
  <c r="AU166" i="1"/>
  <c r="AU153" i="1"/>
  <c r="AQ210" i="1"/>
  <c r="AQ3" i="1"/>
  <c r="AU208" i="1"/>
  <c r="AS74" i="1"/>
  <c r="AS103" i="1"/>
  <c r="AQ77" i="1"/>
  <c r="AQ199" i="1"/>
  <c r="AS221" i="1"/>
  <c r="AQ225" i="1"/>
  <c r="AU70" i="1"/>
  <c r="AS67" i="1"/>
  <c r="AR185" i="1"/>
  <c r="AS47" i="1"/>
  <c r="AQ48" i="1"/>
  <c r="BB136" i="1"/>
  <c r="BB155" i="1"/>
  <c r="AR224" i="1"/>
  <c r="BB109" i="1"/>
  <c r="BB138" i="1"/>
  <c r="BB128" i="1"/>
  <c r="BB194" i="1"/>
  <c r="BB218" i="1"/>
  <c r="AQ117" i="1"/>
  <c r="AR79" i="1"/>
  <c r="AQ59" i="1"/>
  <c r="BB234" i="1"/>
  <c r="BB114" i="1"/>
  <c r="BB188" i="1"/>
  <c r="BB180" i="1"/>
  <c r="AU145" i="1"/>
  <c r="AR88" i="1"/>
  <c r="BB235" i="1"/>
  <c r="AS242" i="1"/>
  <c r="AU40" i="1"/>
  <c r="BB230" i="1"/>
  <c r="BB122" i="1"/>
  <c r="BB147" i="1"/>
  <c r="BB171" i="1"/>
  <c r="BB77" i="1"/>
  <c r="BB123" i="1"/>
  <c r="BB118" i="1"/>
  <c r="BB73" i="1"/>
  <c r="BB164" i="1"/>
  <c r="BB40" i="1"/>
  <c r="AQ40" i="1"/>
  <c r="AR52" i="1"/>
  <c r="AU66" i="1"/>
  <c r="AQ60" i="1"/>
  <c r="AS192" i="1"/>
  <c r="BB43" i="1"/>
  <c r="BB186" i="1"/>
  <c r="BB62" i="1"/>
  <c r="BB104" i="1"/>
  <c r="BB48" i="1"/>
  <c r="BB152" i="1"/>
  <c r="BB168" i="1"/>
  <c r="BB198" i="1"/>
  <c r="BB110" i="1"/>
  <c r="BB50" i="1"/>
  <c r="BB66" i="1"/>
  <c r="BB119" i="1"/>
  <c r="BB207" i="1"/>
  <c r="BB156" i="1"/>
  <c r="BB63" i="1"/>
  <c r="BB132" i="1"/>
  <c r="AU182" i="1"/>
  <c r="AU90" i="1"/>
  <c r="AU161" i="1"/>
  <c r="AU89" i="1"/>
  <c r="AQ186" i="1"/>
  <c r="AS226" i="1"/>
  <c r="AQ179" i="1"/>
  <c r="AU74" i="1"/>
  <c r="AS102" i="1"/>
  <c r="AS193" i="1"/>
  <c r="AR192" i="1"/>
  <c r="AQ233" i="1"/>
  <c r="AR198" i="1"/>
  <c r="AR158" i="1"/>
  <c r="AS227" i="1"/>
  <c r="AQ139" i="1"/>
  <c r="AU73" i="1"/>
  <c r="AR196" i="1"/>
  <c r="AS196" i="1"/>
  <c r="AR219" i="1"/>
  <c r="AQ174" i="1"/>
  <c r="AS171" i="1"/>
  <c r="AS246" i="1"/>
  <c r="AU141" i="1"/>
  <c r="AR90" i="1"/>
  <c r="AR227" i="1"/>
  <c r="AU52" i="1"/>
  <c r="AU128" i="1"/>
  <c r="AR134" i="1"/>
  <c r="AS64" i="1"/>
  <c r="AS78" i="1"/>
  <c r="AU58" i="1"/>
  <c r="AQ92" i="1"/>
  <c r="AR194" i="1"/>
  <c r="AR3" i="1"/>
  <c r="AQ157" i="1"/>
  <c r="AU192" i="1"/>
  <c r="AS101" i="1"/>
  <c r="AS232" i="1"/>
  <c r="AS73" i="1"/>
  <c r="AQ55" i="1"/>
  <c r="AU95" i="1"/>
  <c r="AS244" i="1"/>
  <c r="AR101" i="1"/>
  <c r="AQ127" i="1"/>
  <c r="AU63" i="1"/>
  <c r="AR87" i="1"/>
  <c r="AQ132" i="1"/>
  <c r="AQ105" i="1"/>
  <c r="AU69" i="1"/>
  <c r="AR68" i="1"/>
  <c r="AQ223" i="1"/>
  <c r="AS137" i="1"/>
  <c r="AQ191" i="1"/>
  <c r="AR147" i="1"/>
  <c r="AR159" i="1"/>
  <c r="AS144" i="1"/>
  <c r="AR156" i="1"/>
  <c r="AS135" i="1"/>
  <c r="AR103" i="1"/>
  <c r="AU179" i="1"/>
  <c r="AR113" i="1"/>
  <c r="AQ49" i="1"/>
  <c r="AS236" i="1"/>
  <c r="AR43" i="1"/>
  <c r="AU57" i="1"/>
  <c r="AS84" i="1"/>
  <c r="BB206" i="1"/>
  <c r="AS89" i="1"/>
  <c r="BB221" i="1"/>
  <c r="AR211" i="1"/>
  <c r="AS218" i="1"/>
  <c r="BB176" i="1"/>
  <c r="BB97" i="1"/>
  <c r="BB90" i="1"/>
  <c r="BB158" i="1"/>
  <c r="BB70" i="1"/>
  <c r="BB59" i="1"/>
  <c r="AR205" i="1"/>
  <c r="AU215" i="1"/>
  <c r="AU159" i="1"/>
  <c r="AR214" i="1"/>
  <c r="AU163" i="1"/>
  <c r="AU85" i="1"/>
  <c r="AR124" i="1"/>
  <c r="AS141" i="1"/>
  <c r="AU205" i="1"/>
  <c r="AQ110" i="1"/>
  <c r="AS40" i="1"/>
  <c r="AQ64" i="1"/>
  <c r="AQ51" i="1"/>
  <c r="AU147" i="1"/>
  <c r="AS124" i="1"/>
  <c r="BB44" i="1"/>
  <c r="BB106" i="1"/>
  <c r="BB192" i="1"/>
  <c r="BB125" i="1"/>
  <c r="BB57" i="1"/>
  <c r="AS123" i="1"/>
  <c r="AQ138" i="1"/>
  <c r="AR155" i="1"/>
  <c r="AS134" i="1"/>
  <c r="AQ189" i="1"/>
  <c r="BB115" i="1"/>
  <c r="BB126" i="1"/>
  <c r="AU127" i="1"/>
  <c r="BB220" i="1"/>
  <c r="AS45" i="1"/>
  <c r="AU93" i="1"/>
  <c r="AS114" i="1"/>
  <c r="BB174" i="1"/>
  <c r="BB102" i="1"/>
  <c r="BB107" i="1"/>
  <c r="BB89" i="1"/>
  <c r="BB79" i="1"/>
  <c r="AS72" i="1"/>
  <c r="AQ226" i="1"/>
  <c r="AR60" i="1"/>
  <c r="AQ78" i="1"/>
  <c r="AS51" i="1"/>
  <c r="AS100" i="1"/>
  <c r="AU204" i="1"/>
  <c r="AS83" i="1"/>
  <c r="AR163" i="1"/>
  <c r="AU198" i="1"/>
  <c r="AU207" i="1"/>
  <c r="AQ246" i="1"/>
  <c r="AQ203" i="1"/>
  <c r="AR234" i="1"/>
  <c r="AS197" i="1"/>
  <c r="AS91" i="1"/>
  <c r="AS125" i="1"/>
  <c r="AS198" i="1"/>
  <c r="AU239" i="1"/>
  <c r="AS182" i="1"/>
  <c r="AQ209" i="1"/>
  <c r="AU107" i="1"/>
  <c r="AR125" i="1"/>
  <c r="AU46" i="1"/>
  <c r="AU80" i="1"/>
  <c r="AQ183" i="1"/>
  <c r="AQ171" i="1"/>
  <c r="AR168" i="1"/>
  <c r="AR112" i="1"/>
  <c r="AU61" i="1"/>
  <c r="AU135" i="1"/>
  <c r="AS120" i="1"/>
  <c r="AS199" i="1"/>
  <c r="AQ238" i="1"/>
  <c r="AQ149" i="1"/>
  <c r="AS231" i="1"/>
  <c r="AQ166" i="1"/>
  <c r="AQ50" i="1"/>
  <c r="AS56" i="1"/>
  <c r="BB223" i="1"/>
  <c r="AQ58" i="1"/>
  <c r="AQ113" i="1"/>
  <c r="AQ137" i="1"/>
  <c r="AQ219" i="1"/>
  <c r="AS121" i="1"/>
  <c r="AQ44" i="1"/>
  <c r="AR126" i="1"/>
  <c r="AQ234" i="1"/>
  <c r="AQ229" i="1"/>
  <c r="AR72" i="1"/>
  <c r="BB246" i="1"/>
  <c r="AR117" i="1"/>
  <c r="AR47" i="1"/>
  <c r="BB237" i="1"/>
  <c r="BB217" i="1"/>
  <c r="AR206" i="1"/>
  <c r="AR94" i="1"/>
  <c r="AQ201" i="1"/>
  <c r="AR132" i="1"/>
  <c r="AU203" i="1"/>
  <c r="AU67" i="1"/>
  <c r="AR146" i="1"/>
  <c r="AQ164" i="1"/>
  <c r="BB208" i="1"/>
  <c r="AR64" i="1"/>
  <c r="AS79" i="1"/>
  <c r="BB247" i="1"/>
  <c r="AQ134" i="1"/>
  <c r="AR162" i="1"/>
  <c r="AS87" i="1"/>
  <c r="AS200" i="1"/>
  <c r="AS122" i="1"/>
  <c r="BB214" i="1"/>
  <c r="AQ97" i="1"/>
  <c r="BB201" i="1"/>
  <c r="AS154" i="1"/>
  <c r="AS63" i="1"/>
  <c r="AS77" i="1"/>
  <c r="AU44" i="1"/>
  <c r="AR202" i="1"/>
  <c r="BB78" i="1"/>
  <c r="BB86" i="1"/>
  <c r="BB190" i="1"/>
  <c r="BB55" i="1"/>
  <c r="BB92" i="1"/>
  <c r="BB143" i="1"/>
  <c r="BB179" i="1"/>
  <c r="AU149" i="1"/>
  <c r="AU116" i="1"/>
  <c r="AU77" i="1"/>
  <c r="AQ161" i="1"/>
  <c r="AU119" i="1"/>
  <c r="AS106" i="1"/>
  <c r="AR55" i="1"/>
  <c r="AQ244" i="1"/>
  <c r="AQ206" i="1"/>
  <c r="AR246" i="1"/>
  <c r="AR135" i="1"/>
  <c r="BB216" i="1"/>
  <c r="AU216" i="1"/>
  <c r="AQ98" i="1"/>
  <c r="BB212" i="1"/>
  <c r="BB131" i="1"/>
  <c r="BB232" i="1"/>
  <c r="BB177" i="1"/>
  <c r="BB68" i="1"/>
  <c r="BB72" i="1"/>
  <c r="AU136" i="1"/>
  <c r="AR83" i="1"/>
  <c r="AS41" i="1"/>
  <c r="AQ71" i="1"/>
  <c r="AR181" i="1"/>
  <c r="BB69" i="1"/>
  <c r="AQ53" i="1"/>
  <c r="AS111" i="1"/>
  <c r="AS92" i="1"/>
  <c r="BB195" i="1"/>
  <c r="AU213" i="1"/>
  <c r="AQ70" i="1"/>
  <c r="BB105" i="1"/>
  <c r="BB181" i="1"/>
  <c r="BB74" i="1"/>
  <c r="BB41" i="1"/>
  <c r="BB93" i="1"/>
  <c r="BB166" i="1"/>
  <c r="AR216" i="1"/>
  <c r="AS117" i="1"/>
  <c r="BB222" i="1"/>
  <c r="AQ185" i="1"/>
  <c r="AR237" i="1"/>
  <c r="AS239" i="1"/>
  <c r="AR77" i="1"/>
  <c r="AU43" i="1"/>
  <c r="AQ224" i="1"/>
  <c r="AR243" i="1"/>
  <c r="AS96" i="1"/>
  <c r="AQ193" i="1"/>
  <c r="AU114" i="1"/>
  <c r="AU234" i="1"/>
  <c r="AR84" i="1"/>
  <c r="AR193" i="1"/>
  <c r="AQ52" i="1"/>
  <c r="AU236" i="1"/>
  <c r="AQ177" i="1"/>
  <c r="AS195" i="1"/>
  <c r="AS143" i="1"/>
  <c r="AU185" i="1"/>
  <c r="AS201" i="1"/>
  <c r="AQ128" i="1"/>
  <c r="AU117" i="1"/>
  <c r="AQ235" i="1"/>
  <c r="AU176" i="1"/>
  <c r="AS169" i="1"/>
  <c r="AS189" i="1"/>
  <c r="AS203" i="1"/>
  <c r="AU49" i="1"/>
  <c r="AS66" i="1"/>
  <c r="AQ153" i="1"/>
  <c r="AR115" i="1"/>
  <c r="BB229" i="1"/>
  <c r="AU168" i="1"/>
  <c r="AS119" i="1"/>
  <c r="AQ112" i="1"/>
  <c r="BB205" i="1"/>
  <c r="AU64" i="1"/>
  <c r="AQ82" i="1"/>
  <c r="AQ86" i="1"/>
  <c r="AR51" i="1"/>
  <c r="BB225" i="1"/>
  <c r="AR58" i="1"/>
  <c r="AU177" i="1"/>
  <c r="AS213" i="1"/>
  <c r="AS53" i="1"/>
  <c r="AQ173" i="1"/>
  <c r="AQ41" i="1"/>
  <c r="AS167" i="1"/>
  <c r="AQ68" i="1"/>
  <c r="AS190" i="1"/>
  <c r="AQ140" i="1"/>
  <c r="AU78" i="1"/>
  <c r="AQ187" i="1"/>
  <c r="AS233" i="1"/>
  <c r="AQ163" i="1"/>
  <c r="AU154" i="1"/>
  <c r="AU238" i="1"/>
  <c r="AR164" i="1"/>
  <c r="AQ175" i="1"/>
  <c r="AU56" i="1"/>
  <c r="AQ151" i="1"/>
  <c r="BB197" i="1"/>
  <c r="AR180" i="1"/>
  <c r="AQ83" i="1"/>
  <c r="AQ146" i="1"/>
  <c r="AR218" i="1"/>
  <c r="AS188" i="1"/>
  <c r="AR56" i="1"/>
  <c r="AU50" i="1"/>
  <c r="AQ124" i="1"/>
  <c r="AS145" i="1"/>
  <c r="AS85" i="1"/>
  <c r="AQ119" i="1"/>
  <c r="BB224" i="1"/>
  <c r="BB88" i="1"/>
  <c r="BB139" i="1"/>
  <c r="BB129" i="1"/>
  <c r="BB189" i="1"/>
  <c r="BB151" i="1"/>
  <c r="BB183" i="1"/>
  <c r="AS128" i="1"/>
  <c r="AS211" i="1"/>
  <c r="AQ178" i="1"/>
  <c r="AS160" i="1"/>
  <c r="AQ200" i="1"/>
  <c r="AU125" i="1"/>
  <c r="BB209" i="1"/>
  <c r="AR89" i="1"/>
  <c r="AQ74" i="1"/>
  <c r="AQ106" i="1"/>
  <c r="BB185" i="1"/>
  <c r="BB46" i="1"/>
  <c r="AS65" i="1"/>
  <c r="BB42" i="1"/>
  <c r="BB60" i="1"/>
  <c r="AR178" i="1"/>
  <c r="AQ125" i="1"/>
  <c r="AQ96" i="1"/>
  <c r="AS245" i="1"/>
  <c r="AU139" i="1"/>
  <c r="BB94" i="1"/>
  <c r="BB191" i="1"/>
  <c r="AQ205" i="1"/>
  <c r="AR104" i="1"/>
  <c r="AS157" i="1"/>
  <c r="AR223" i="1"/>
  <c r="AQ69" i="1"/>
  <c r="AU94" i="1"/>
  <c r="BB182" i="1"/>
  <c r="BB45" i="1"/>
  <c r="BB3" i="1"/>
  <c r="BB54" i="1"/>
  <c r="BB141" i="1"/>
  <c r="BB148" i="1"/>
  <c r="AU82" i="1"/>
  <c r="AS168" i="1"/>
  <c r="AS129" i="1"/>
  <c r="AU65" i="1"/>
  <c r="BB203" i="1"/>
  <c r="AR76" i="1"/>
  <c r="BB52" i="1"/>
  <c r="BB87" i="1"/>
  <c r="BB84" i="1"/>
  <c r="BB111" i="1"/>
  <c r="BB219" i="1"/>
  <c r="BB142" i="1"/>
  <c r="BB116" i="1"/>
  <c r="BB113" i="1"/>
  <c r="BB121" i="1"/>
  <c r="BB149" i="1"/>
  <c r="BB134" i="1"/>
  <c r="BB184" i="1"/>
  <c r="BB163" i="1"/>
  <c r="AS176" i="1"/>
  <c r="AS172" i="1"/>
  <c r="AU191" i="1"/>
  <c r="BB226" i="1"/>
  <c r="AS155" i="1"/>
  <c r="AU109" i="1"/>
  <c r="AS219" i="1"/>
  <c r="AS148" i="1"/>
  <c r="AR102" i="1"/>
  <c r="AQ142" i="1"/>
  <c r="AU242" i="1"/>
  <c r="AS209" i="1"/>
  <c r="AR186" i="1"/>
  <c r="AQ126" i="1"/>
  <c r="BB204" i="1"/>
  <c r="AQ198" i="1"/>
  <c r="AS163" i="1"/>
  <c r="AR152" i="1"/>
  <c r="AU92" i="1"/>
  <c r="AR145" i="1"/>
  <c r="AQ245" i="1"/>
  <c r="AU91" i="1"/>
  <c r="AS177" i="1"/>
  <c r="AQ190" i="1"/>
  <c r="AU219" i="1"/>
  <c r="AU197" i="1"/>
  <c r="AS60" i="1"/>
  <c r="AR232" i="1"/>
  <c r="AQ114" i="1"/>
  <c r="AQ47" i="1"/>
  <c r="AR195" i="1"/>
  <c r="AR169" i="1"/>
  <c r="AQ169" i="1"/>
  <c r="AQ228" i="1"/>
  <c r="AR40" i="1"/>
  <c r="BB210" i="1"/>
  <c r="AQ162" i="1"/>
  <c r="AR238" i="1"/>
  <c r="AQ136" i="1"/>
  <c r="AS62" i="1"/>
  <c r="BB238" i="1"/>
  <c r="BB211" i="1"/>
  <c r="AU195" i="1"/>
  <c r="AS153" i="1"/>
  <c r="AQ230" i="1"/>
  <c r="AQ84" i="1"/>
  <c r="AR105" i="1"/>
  <c r="BB236" i="1"/>
  <c r="AU41" i="1"/>
  <c r="AQ116" i="1"/>
  <c r="AQ54" i="1"/>
  <c r="AU110" i="1"/>
  <c r="AU87" i="1"/>
  <c r="AU186" i="1"/>
  <c r="AR137" i="1"/>
  <c r="BB215" i="1"/>
  <c r="AS212" i="1"/>
  <c r="AQ241" i="1"/>
  <c r="AS43" i="1"/>
  <c r="AR122" i="1"/>
  <c r="AU96" i="1"/>
  <c r="AQ154" i="1"/>
  <c r="AQ158" i="1"/>
  <c r="AQ220" i="1"/>
  <c r="AR71" i="1"/>
  <c r="AR92" i="1"/>
  <c r="BB91" i="1"/>
  <c r="BB153" i="1"/>
  <c r="AU228" i="1"/>
  <c r="AU108" i="1"/>
  <c r="BB61" i="1"/>
  <c r="BB167" i="1"/>
  <c r="AS50" i="1"/>
  <c r="AQ182" i="1"/>
  <c r="AR148" i="1"/>
  <c r="BB80" i="1"/>
  <c r="AQ45" i="1"/>
  <c r="AS214" i="1"/>
  <c r="AQ93" i="1"/>
  <c r="BB85" i="1"/>
  <c r="BB76" i="1"/>
  <c r="BB140" i="1"/>
  <c r="AQ76" i="1"/>
  <c r="BB135" i="1"/>
  <c r="BB159" i="1"/>
  <c r="BB162" i="1"/>
  <c r="BB161" i="1"/>
  <c r="BB170" i="1"/>
  <c r="BB124" i="1"/>
  <c r="BB200" i="1"/>
  <c r="AR226" i="1"/>
  <c r="AQ148" i="1"/>
  <c r="BB228" i="1"/>
  <c r="BB144" i="1"/>
  <c r="AR189" i="1"/>
  <c r="BB150" i="1"/>
  <c r="BB56" i="1"/>
  <c r="BB71" i="1"/>
  <c r="BB81" i="1"/>
  <c r="BB165" i="1"/>
  <c r="AR41" i="1"/>
  <c r="BB96" i="1"/>
  <c r="AQ211" i="1"/>
  <c r="AR199" i="1"/>
  <c r="BB108" i="1"/>
  <c r="BB157" i="1"/>
  <c r="AU48" i="1"/>
  <c r="BB51" i="1"/>
  <c r="BB98" i="1"/>
  <c r="BB83" i="1"/>
  <c r="AQ123" i="1"/>
  <c r="AQ89" i="1"/>
  <c r="AR220" i="1"/>
  <c r="BB154" i="1"/>
  <c r="AU112" i="1"/>
  <c r="BB213" i="1"/>
  <c r="AS97" i="1"/>
  <c r="AQ57" i="1"/>
  <c r="BB172" i="1"/>
  <c r="AS243" i="1"/>
  <c r="AS94" i="1"/>
  <c r="BB243" i="1"/>
  <c r="AS139" i="1"/>
  <c r="BB187" i="1"/>
  <c r="AS46" i="1"/>
  <c r="AQ133" i="1"/>
  <c r="BB100" i="1"/>
  <c r="BB175" i="1"/>
  <c r="BB178" i="1"/>
  <c r="AS93" i="1"/>
  <c r="BB117" i="1"/>
  <c r="BB58" i="1"/>
  <c r="BB82" i="1"/>
  <c r="AQ141" i="1"/>
  <c r="AQ222" i="1"/>
  <c r="BB145" i="1"/>
  <c r="AQ208" i="1"/>
  <c r="AS76" i="1"/>
  <c r="AR86" i="1"/>
  <c r="BB47" i="1"/>
  <c r="BB49" i="1"/>
  <c r="BB127" i="1"/>
  <c r="BB101" i="1"/>
  <c r="BB67" i="1"/>
  <c r="BB137" i="1"/>
  <c r="AS142" i="1"/>
  <c r="BB241" i="1"/>
  <c r="BB146" i="1"/>
  <c r="AQ129" i="1"/>
  <c r="AQ81" i="1"/>
  <c r="BB53" i="1"/>
  <c r="BB99" i="1"/>
  <c r="BB173" i="1"/>
  <c r="AQ130" i="1"/>
  <c r="BB193" i="1"/>
  <c r="AR49" i="1"/>
  <c r="BB95" i="1"/>
  <c r="BB227" i="1"/>
  <c r="BB120" i="1"/>
  <c r="BB64" i="1"/>
  <c r="AU39" i="1"/>
  <c r="AR36" i="1"/>
  <c r="AS35" i="1"/>
  <c r="AQ34" i="1"/>
  <c r="AR37" i="1"/>
  <c r="AQ35" i="1"/>
  <c r="AU37" i="1"/>
  <c r="AQ39" i="1"/>
  <c r="BB39" i="1"/>
  <c r="AQ38" i="1"/>
  <c r="AS37" i="1"/>
  <c r="AR35" i="1"/>
  <c r="BB36" i="1"/>
  <c r="BB35" i="1"/>
  <c r="AQ37" i="1"/>
  <c r="AQ36" i="1"/>
  <c r="AS36" i="1"/>
  <c r="AQ32" i="1"/>
  <c r="AR38" i="1"/>
  <c r="AR32" i="1"/>
  <c r="AU36" i="1"/>
  <c r="AU38" i="1"/>
  <c r="AR33" i="1"/>
  <c r="AR39" i="1"/>
  <c r="AS38" i="1"/>
  <c r="BB38" i="1"/>
  <c r="BB37" i="1"/>
  <c r="BB32" i="1"/>
  <c r="AU35" i="1"/>
  <c r="AU33" i="1"/>
  <c r="AU34" i="1"/>
  <c r="AR34" i="1"/>
  <c r="AS34" i="1"/>
  <c r="AS33" i="1"/>
  <c r="AQ33" i="1"/>
  <c r="AS39" i="1"/>
  <c r="BB33" i="1"/>
  <c r="BB34" i="1"/>
  <c r="AS32" i="1"/>
  <c r="AU32" i="1"/>
  <c r="AU31" i="1"/>
  <c r="AU25" i="1"/>
  <c r="AS19" i="1"/>
  <c r="AS6" i="1"/>
  <c r="AU9" i="1"/>
  <c r="AQ18" i="1"/>
  <c r="AU11" i="1"/>
  <c r="AQ27" i="1"/>
  <c r="AU29" i="1"/>
  <c r="AS24" i="1"/>
  <c r="AS29" i="1"/>
  <c r="AQ12" i="1"/>
  <c r="AR27" i="1"/>
  <c r="AU15" i="1"/>
  <c r="AR29" i="1"/>
  <c r="AR24" i="1"/>
  <c r="AU10" i="1"/>
  <c r="AS27" i="1"/>
  <c r="AQ16" i="1"/>
  <c r="AR28" i="1"/>
  <c r="AQ15" i="1"/>
  <c r="BB18" i="1"/>
  <c r="AR21" i="1"/>
  <c r="AQ17" i="1"/>
  <c r="AR22" i="1"/>
  <c r="AQ14" i="1"/>
  <c r="BB29" i="1"/>
  <c r="AR31" i="1"/>
  <c r="AS17" i="1"/>
  <c r="BB13" i="1"/>
  <c r="BB15" i="1"/>
  <c r="AQ30" i="1"/>
  <c r="AR8" i="1"/>
  <c r="AR26" i="1"/>
  <c r="AU26" i="1"/>
  <c r="AU14" i="1"/>
  <c r="AS5" i="1"/>
  <c r="AR11" i="1"/>
  <c r="AR14" i="1"/>
  <c r="AU22" i="1"/>
  <c r="AR7" i="1"/>
  <c r="AQ28" i="1"/>
  <c r="AQ10" i="1"/>
  <c r="AQ31" i="1"/>
  <c r="AR18" i="1"/>
  <c r="AS28" i="1"/>
  <c r="BB23" i="1"/>
  <c r="BB11" i="1"/>
  <c r="BB12" i="1"/>
  <c r="BB20" i="1"/>
  <c r="AR25" i="1"/>
  <c r="BB9" i="1"/>
  <c r="AS20" i="1"/>
  <c r="AU5" i="1"/>
  <c r="AS31" i="1"/>
  <c r="AQ19" i="1"/>
  <c r="BB10" i="1"/>
  <c r="BB31" i="1"/>
  <c r="BB5" i="1"/>
  <c r="AU8" i="1"/>
  <c r="AS12" i="1"/>
  <c r="AS30" i="1"/>
  <c r="BB14" i="1"/>
  <c r="AQ6" i="1"/>
  <c r="BB26" i="1"/>
  <c r="BB6" i="1"/>
  <c r="BB28" i="1"/>
  <c r="AU7" i="1"/>
  <c r="AU17" i="1"/>
  <c r="AS7" i="1"/>
  <c r="AS15" i="1"/>
  <c r="AU27" i="1"/>
  <c r="AR5" i="1"/>
  <c r="AU20" i="1"/>
  <c r="AR6" i="1"/>
  <c r="AU12" i="1"/>
  <c r="AQ20" i="1"/>
  <c r="AU30" i="1"/>
  <c r="AU19" i="1"/>
  <c r="AR10" i="1"/>
  <c r="AS11" i="1"/>
  <c r="AR19" i="1"/>
  <c r="AQ5" i="1"/>
  <c r="AS13" i="1"/>
  <c r="AR9" i="1"/>
  <c r="AQ22" i="1"/>
  <c r="AR30" i="1"/>
  <c r="AS21" i="1"/>
  <c r="AS18" i="1"/>
  <c r="AR15" i="1"/>
  <c r="AU13" i="1"/>
  <c r="AS25" i="1"/>
  <c r="BB21" i="1"/>
  <c r="BB30" i="1"/>
  <c r="AR13" i="1"/>
  <c r="AS9" i="1"/>
  <c r="AR17" i="1"/>
  <c r="BB24" i="1"/>
  <c r="BB27" i="1"/>
  <c r="BB19" i="1"/>
  <c r="BB25" i="1"/>
  <c r="BB16" i="1"/>
  <c r="BB22" i="1"/>
  <c r="AS8" i="1"/>
  <c r="AQ7" i="1"/>
  <c r="AU24" i="1"/>
  <c r="AU6" i="1"/>
  <c r="AQ21" i="1"/>
  <c r="AU16" i="1"/>
  <c r="AS22" i="1"/>
  <c r="AU21" i="1"/>
  <c r="AU23" i="1"/>
  <c r="AU18" i="1"/>
  <c r="AU28" i="1"/>
  <c r="AR16" i="1"/>
  <c r="AR20" i="1"/>
  <c r="AQ11" i="1"/>
  <c r="AS23" i="1"/>
  <c r="AQ25" i="1"/>
  <c r="AS26" i="1"/>
  <c r="AQ13" i="1"/>
  <c r="AS14" i="1"/>
  <c r="AQ23" i="1"/>
  <c r="AQ24" i="1"/>
  <c r="AS16" i="1"/>
  <c r="AR23" i="1"/>
  <c r="AQ9" i="1"/>
  <c r="AS10" i="1"/>
  <c r="AR12" i="1"/>
  <c r="BB8" i="1"/>
  <c r="AQ26" i="1"/>
  <c r="AQ29" i="1"/>
  <c r="BB17" i="1"/>
  <c r="BB7" i="1"/>
  <c r="AQ8" i="1"/>
  <c r="AY115" i="1" l="1"/>
  <c r="AY113" i="1"/>
  <c r="AY138" i="1"/>
  <c r="AY108" i="1"/>
  <c r="AZ189" i="1"/>
  <c r="AY82" i="1"/>
  <c r="AZ216" i="1"/>
  <c r="AY94" i="1"/>
  <c r="AY213" i="1"/>
  <c r="AY93" i="1"/>
  <c r="AZ223" i="1"/>
  <c r="AY127" i="1"/>
  <c r="AZ181" i="1"/>
  <c r="AY139" i="1"/>
  <c r="AY136" i="1"/>
  <c r="AY32" i="1"/>
  <c r="AZ224" i="1"/>
  <c r="AY147" i="1"/>
  <c r="AZ185" i="1"/>
  <c r="AY216" i="1"/>
  <c r="AZ246" i="1"/>
  <c r="AY228" i="1"/>
  <c r="AY125" i="1"/>
  <c r="AZ199" i="1"/>
  <c r="AY85" i="1"/>
  <c r="AY208" i="1"/>
  <c r="AZ226" i="1"/>
  <c r="AY119" i="1"/>
  <c r="AY163" i="1"/>
  <c r="AZ214" i="1"/>
  <c r="AY153" i="1"/>
  <c r="AY77" i="1"/>
  <c r="AY159" i="1"/>
  <c r="AY166" i="1"/>
  <c r="AY116" i="1"/>
  <c r="AY215" i="1"/>
  <c r="AY149" i="1"/>
  <c r="AZ205" i="1"/>
  <c r="AY112" i="1"/>
  <c r="AZ202" i="1"/>
  <c r="AZ220" i="1"/>
  <c r="AY13" i="1"/>
  <c r="AZ211" i="1"/>
  <c r="AY140" i="1"/>
  <c r="AZ218" i="1"/>
  <c r="AZ180" i="1"/>
  <c r="AZ231" i="1"/>
  <c r="AY37" i="1"/>
  <c r="AY96" i="1"/>
  <c r="AY224" i="1"/>
  <c r="AY238" i="1"/>
  <c r="AY154" i="1"/>
  <c r="AY212" i="1"/>
  <c r="AZ207" i="1"/>
  <c r="AY87" i="1"/>
  <c r="AY110" i="1"/>
  <c r="AZ203" i="1"/>
  <c r="AY78" i="1"/>
  <c r="AY10" i="1"/>
  <c r="AZ206" i="1"/>
  <c r="AZ230" i="1"/>
  <c r="AZ228" i="1"/>
  <c r="AY15" i="1"/>
  <c r="AZ245" i="1"/>
  <c r="AZ239" i="1"/>
  <c r="AY95" i="1"/>
  <c r="AY104" i="1"/>
  <c r="AZ238" i="1"/>
  <c r="AY121" i="1"/>
  <c r="AZ183" i="1"/>
  <c r="AY144" i="1"/>
  <c r="AY130" i="1"/>
  <c r="AZ222" i="1"/>
  <c r="AZ194" i="1"/>
  <c r="AY106" i="1"/>
  <c r="AZ210" i="1"/>
  <c r="AZ204" i="1"/>
  <c r="AZ197" i="1"/>
  <c r="AY170" i="1"/>
  <c r="AZ182" i="1"/>
  <c r="AY227" i="1"/>
  <c r="AY168" i="1"/>
  <c r="AY240" i="1"/>
  <c r="AZ195" i="1"/>
  <c r="AZ184" i="1"/>
  <c r="AY137" i="1"/>
  <c r="AZ229" i="1"/>
  <c r="AY128" i="1"/>
  <c r="AY79" i="1"/>
  <c r="AY38" i="1"/>
  <c r="AY131" i="1"/>
  <c r="AZ227" i="1"/>
  <c r="AZ232" i="1"/>
  <c r="AY102" i="1"/>
  <c r="AY36" i="1"/>
  <c r="AZ200" i="1"/>
  <c r="AY189" i="1"/>
  <c r="AY233" i="1"/>
  <c r="AY160" i="1"/>
  <c r="AY174" i="1"/>
  <c r="AY22" i="1"/>
  <c r="AY135" i="1"/>
  <c r="AY86" i="1"/>
  <c r="AY99" i="1"/>
  <c r="AZ244" i="1"/>
  <c r="AY222" i="1"/>
  <c r="AY219" i="1"/>
  <c r="AY118" i="1"/>
  <c r="AZ209" i="1"/>
  <c r="AY164" i="1"/>
  <c r="AY176" i="1"/>
  <c r="AY111" i="1"/>
  <c r="AY165" i="1"/>
  <c r="AZ247" i="1"/>
  <c r="AY34" i="1"/>
  <c r="AZ219" i="1"/>
  <c r="AY132" i="1"/>
  <c r="AY19" i="1"/>
  <c r="AY117" i="1"/>
  <c r="AY143" i="1"/>
  <c r="AZ233" i="1"/>
  <c r="AY28" i="1"/>
  <c r="AY91" i="1"/>
  <c r="AY245" i="1"/>
  <c r="AY80" i="1"/>
  <c r="AZ196" i="1"/>
  <c r="AY30" i="1"/>
  <c r="AY246" i="1"/>
  <c r="AY105" i="1"/>
  <c r="AY18" i="1"/>
  <c r="AY129" i="1"/>
  <c r="AY92" i="1"/>
  <c r="AY107" i="1"/>
  <c r="AY243" i="1"/>
  <c r="AY29" i="1"/>
  <c r="AY152" i="1"/>
  <c r="AZ198" i="1"/>
  <c r="AY236" i="1"/>
  <c r="AY12" i="1"/>
  <c r="AY239" i="1"/>
  <c r="AY235" i="1"/>
  <c r="AY134" i="1"/>
  <c r="AY23" i="1"/>
  <c r="AZ240" i="1"/>
  <c r="AZ193" i="1"/>
  <c r="AY241" i="1"/>
  <c r="AZ186" i="1"/>
  <c r="AY156" i="1"/>
  <c r="AY221" i="1"/>
  <c r="AZ192" i="1"/>
  <c r="AZ241" i="1"/>
  <c r="AY234" i="1"/>
  <c r="AY232" i="1"/>
  <c r="AY84" i="1"/>
  <c r="AY20" i="1"/>
  <c r="AY229" i="1"/>
  <c r="AY242" i="1"/>
  <c r="AY237" i="1"/>
  <c r="AY81" i="1"/>
  <c r="AY21" i="1"/>
  <c r="AZ201" i="1"/>
  <c r="AY201" i="1"/>
  <c r="AY217" i="1"/>
  <c r="AZ234" i="1"/>
  <c r="AY14" i="1"/>
  <c r="AZ217" i="1"/>
  <c r="AY122" i="1"/>
  <c r="AY101" i="1"/>
  <c r="AY98" i="1"/>
  <c r="AZ215" i="1"/>
  <c r="AY11" i="1"/>
  <c r="AY226" i="1"/>
  <c r="AY114" i="1"/>
  <c r="AY27" i="1"/>
  <c r="AY97" i="1"/>
  <c r="AY155" i="1"/>
  <c r="AY231" i="1"/>
  <c r="AY126" i="1"/>
  <c r="AY225" i="1"/>
  <c r="AY150" i="1"/>
  <c r="AZ190" i="1"/>
  <c r="AY33" i="1"/>
  <c r="AY124" i="1"/>
  <c r="AZ243" i="1"/>
  <c r="AY9" i="1"/>
  <c r="AY158" i="1"/>
  <c r="AY223" i="1"/>
  <c r="AY16" i="1"/>
  <c r="AY230" i="1"/>
  <c r="AY109" i="1"/>
  <c r="AZ187" i="1"/>
  <c r="AY173" i="1"/>
  <c r="AY198" i="1"/>
  <c r="AZ191" i="1"/>
  <c r="AY247" i="1"/>
  <c r="AY175" i="1"/>
  <c r="AY3" i="1"/>
  <c r="AY26" i="1"/>
  <c r="AY6" i="1"/>
  <c r="AZ212" i="1"/>
  <c r="AY220" i="1"/>
  <c r="AY88" i="1"/>
  <c r="AY103" i="1"/>
  <c r="AY24" i="1"/>
  <c r="AZ225" i="1"/>
  <c r="AY89" i="1"/>
  <c r="AY162" i="1"/>
  <c r="AY35" i="1"/>
  <c r="AY25" i="1"/>
  <c r="AY161" i="1"/>
  <c r="AY218" i="1"/>
  <c r="AY39" i="1"/>
  <c r="AZ188" i="1"/>
  <c r="AY120" i="1"/>
  <c r="AZ237" i="1"/>
  <c r="AZ221" i="1"/>
  <c r="AY151" i="1"/>
  <c r="AY31" i="1"/>
  <c r="AZ213" i="1"/>
  <c r="AY90" i="1"/>
  <c r="AY171" i="1"/>
  <c r="AY214" i="1"/>
  <c r="AY133" i="1"/>
  <c r="AY100" i="1"/>
  <c r="AZ208" i="1"/>
  <c r="AY172" i="1"/>
  <c r="AZ236" i="1"/>
  <c r="AY169" i="1"/>
  <c r="AY244" i="1"/>
  <c r="AZ235" i="1"/>
  <c r="AY123" i="1"/>
  <c r="AY17" i="1"/>
  <c r="AZ242" i="1"/>
  <c r="AY83" i="1"/>
  <c r="AY7" i="1"/>
  <c r="AY8" i="1"/>
  <c r="AZ32" i="1"/>
  <c r="AZ41" i="1"/>
  <c r="AZ151" i="1"/>
  <c r="AZ131" i="1"/>
  <c r="AZ9" i="1"/>
  <c r="AZ20" i="1"/>
  <c r="AZ136" i="1"/>
  <c r="AZ27" i="1"/>
  <c r="AZ99" i="1"/>
  <c r="AZ3" i="1"/>
  <c r="AZ28" i="1"/>
  <c r="AZ156" i="1"/>
  <c r="AZ166" i="1"/>
  <c r="AZ48" i="1"/>
  <c r="AZ65" i="1"/>
  <c r="AZ111" i="1"/>
  <c r="AZ46" i="1"/>
  <c r="AZ44" i="1"/>
  <c r="AZ25" i="1"/>
  <c r="AZ60" i="1"/>
  <c r="AZ26" i="1"/>
  <c r="AZ40" i="1"/>
  <c r="AZ70" i="1"/>
  <c r="AZ153" i="1"/>
  <c r="AZ23" i="1"/>
  <c r="AZ77" i="1"/>
  <c r="AZ79" i="1"/>
  <c r="AZ81" i="1"/>
  <c r="AZ157" i="1"/>
  <c r="AZ61" i="1"/>
  <c r="AZ179" i="1"/>
  <c r="AZ87" i="1"/>
  <c r="AZ160" i="1"/>
  <c r="AZ129" i="1"/>
  <c r="AZ39" i="1"/>
  <c r="AZ59" i="1"/>
  <c r="AZ55" i="1"/>
  <c r="AZ101" i="1"/>
  <c r="AZ142" i="1"/>
  <c r="AZ82" i="1"/>
  <c r="AZ172" i="1"/>
  <c r="AZ30" i="1"/>
  <c r="AZ73" i="1"/>
  <c r="AZ170" i="1"/>
  <c r="AZ138" i="1"/>
  <c r="AZ45" i="1"/>
  <c r="AZ145" i="1"/>
  <c r="AZ104" i="1"/>
  <c r="AZ127" i="1"/>
  <c r="AZ37" i="1"/>
  <c r="AZ176" i="1"/>
  <c r="AZ94" i="1"/>
  <c r="AZ148" i="1"/>
  <c r="AZ103" i="1"/>
  <c r="AZ168" i="1"/>
  <c r="AZ105" i="1"/>
  <c r="AZ110" i="1"/>
  <c r="AZ116" i="1"/>
  <c r="AZ96" i="1"/>
  <c r="AZ119" i="1"/>
  <c r="AZ74" i="1"/>
  <c r="AZ167" i="1"/>
  <c r="AZ161" i="1"/>
  <c r="AZ7" i="1"/>
  <c r="AZ169" i="1"/>
  <c r="AZ143" i="1"/>
  <c r="AZ177" i="1"/>
  <c r="AZ35" i="1"/>
  <c r="AZ137" i="1"/>
  <c r="AZ67" i="1"/>
  <c r="AZ51" i="1"/>
  <c r="AZ42" i="1"/>
  <c r="AZ130" i="1"/>
  <c r="AZ108" i="1"/>
  <c r="AZ56" i="1"/>
  <c r="AZ22" i="1"/>
  <c r="AZ102" i="1"/>
  <c r="AZ150" i="1"/>
  <c r="AZ10" i="1"/>
  <c r="AZ66" i="1"/>
  <c r="AZ95" i="1"/>
  <c r="AZ91" i="1"/>
  <c r="AZ117" i="1"/>
  <c r="AZ92" i="1"/>
  <c r="AZ72" i="1"/>
  <c r="AZ118" i="1"/>
  <c r="AZ98" i="1"/>
  <c r="AZ17" i="1"/>
  <c r="AZ12" i="1"/>
  <c r="AZ38" i="1"/>
  <c r="AZ31" i="1"/>
  <c r="AZ64" i="1"/>
  <c r="AZ106" i="1"/>
  <c r="AZ112" i="1"/>
  <c r="AZ162" i="1"/>
  <c r="AZ6" i="1"/>
  <c r="AZ5" i="1"/>
  <c r="AZ85" i="1"/>
  <c r="AZ34" i="1"/>
  <c r="AZ159" i="1"/>
  <c r="AZ124" i="1"/>
  <c r="AZ178" i="1"/>
  <c r="AZ107" i="1"/>
  <c r="AZ149" i="1"/>
  <c r="AZ132" i="1"/>
  <c r="AZ83" i="1"/>
  <c r="AZ63" i="1"/>
  <c r="AZ86" i="1"/>
  <c r="AZ175" i="1"/>
  <c r="AZ114" i="1"/>
  <c r="AZ141" i="1"/>
  <c r="AZ155" i="1"/>
  <c r="AZ158" i="1"/>
  <c r="AZ58" i="1"/>
  <c r="AZ43" i="1"/>
  <c r="AZ19" i="1"/>
  <c r="AZ123" i="1"/>
  <c r="AZ78" i="1"/>
  <c r="AZ126" i="1"/>
  <c r="AZ13" i="1"/>
  <c r="AZ144" i="1"/>
  <c r="AZ24" i="1"/>
  <c r="AZ11" i="1"/>
  <c r="AZ29" i="1"/>
  <c r="AZ15" i="1"/>
  <c r="AZ54" i="1"/>
  <c r="AZ115" i="1"/>
  <c r="AZ121" i="1"/>
  <c r="AZ152" i="1"/>
  <c r="AZ18" i="1"/>
  <c r="AZ171" i="1"/>
  <c r="AZ113" i="1"/>
  <c r="AZ16" i="1"/>
  <c r="AZ109" i="1"/>
  <c r="AZ90" i="1"/>
  <c r="AZ135" i="1"/>
  <c r="AZ80" i="1"/>
  <c r="AZ165" i="1"/>
  <c r="AZ93" i="1"/>
  <c r="AZ146" i="1"/>
  <c r="AZ97" i="1"/>
  <c r="AZ21" i="1"/>
  <c r="AZ133" i="1"/>
  <c r="AZ173" i="1"/>
  <c r="AZ122" i="1"/>
  <c r="AZ57" i="1"/>
  <c r="AZ154" i="1"/>
  <c r="AZ163" i="1"/>
  <c r="AZ71" i="1"/>
  <c r="AZ164" i="1"/>
  <c r="AZ128" i="1"/>
  <c r="AZ140" i="1"/>
  <c r="AZ49" i="1"/>
  <c r="AZ100" i="1"/>
  <c r="AZ134" i="1"/>
  <c r="AZ89" i="1"/>
  <c r="AZ33" i="1"/>
  <c r="AZ52" i="1"/>
  <c r="AZ147" i="1"/>
  <c r="AZ36" i="1"/>
  <c r="AZ120" i="1"/>
  <c r="AZ47" i="1"/>
  <c r="AZ14" i="1"/>
  <c r="AZ125" i="1"/>
  <c r="AZ139" i="1"/>
  <c r="AZ69" i="1"/>
  <c r="AZ76" i="1"/>
  <c r="AZ174" i="1"/>
  <c r="AZ88" i="1"/>
  <c r="AZ62" i="1"/>
  <c r="AZ68" i="1"/>
  <c r="AZ50" i="1"/>
  <c r="AZ53" i="1"/>
  <c r="AZ84" i="1"/>
  <c r="AZ75" i="1"/>
  <c r="AY5" i="1"/>
  <c r="AZ8" i="1"/>
</calcChain>
</file>

<file path=xl/sharedStrings.xml><?xml version="1.0" encoding="utf-8"?>
<sst xmlns="http://schemas.openxmlformats.org/spreadsheetml/2006/main" count="50117" uniqueCount="3257">
  <si>
    <t xml:space="preserve">Фамилия И. О.       </t>
  </si>
  <si>
    <t xml:space="preserve">Таб. №    </t>
  </si>
  <si>
    <t xml:space="preserve">Должность           </t>
  </si>
  <si>
    <t>Столбец1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</si>
  <si>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</si>
  <si>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</si>
  <si>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</si>
  <si>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</si>
  <si>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</si>
  <si>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</si>
  <si>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</si>
  <si>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</si>
  <si>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</si>
  <si>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</si>
  <si>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</si>
  <si>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</si>
  <si>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Столбец14</t>
  </si>
  <si>
    <t>Столбец15</t>
  </si>
  <si>
    <t>Столбец16</t>
  </si>
  <si>
    <t>Столбец17</t>
  </si>
  <si>
    <t>Столбец18</t>
  </si>
  <si>
    <t>Столбец19</t>
  </si>
  <si>
    <t>Столбец20</t>
  </si>
  <si>
    <t>Столбец21</t>
  </si>
  <si>
    <t>Столбец22</t>
  </si>
  <si>
    <t>Столбец23</t>
  </si>
  <si>
    <t>Столбец24</t>
  </si>
  <si>
    <t>Столбец25</t>
  </si>
  <si>
    <t>Столбец26</t>
  </si>
  <si>
    <t>Столбец27</t>
  </si>
  <si>
    <t>Столбец28</t>
  </si>
  <si>
    <t>Столбец29</t>
  </si>
  <si>
    <t>Столбец30</t>
  </si>
  <si>
    <t>Столбец31</t>
  </si>
  <si>
    <t>Столбец32</t>
  </si>
  <si>
    <t>Столбец33</t>
  </si>
  <si>
    <t>Столбец34</t>
  </si>
  <si>
    <t>1зм.</t>
  </si>
  <si>
    <t>2зм.</t>
  </si>
  <si>
    <t>Столбец35</t>
  </si>
  <si>
    <t>Столбец36</t>
  </si>
  <si>
    <t>ЗАГ годин</t>
  </si>
  <si>
    <t>Явка</t>
  </si>
  <si>
    <t>Столбец37</t>
  </si>
  <si>
    <t>Столбец38</t>
  </si>
  <si>
    <t>Столбец39</t>
  </si>
  <si>
    <t>Оклад</t>
  </si>
  <si>
    <t>1 зм.</t>
  </si>
  <si>
    <t>2 зм.</t>
  </si>
  <si>
    <t>Столбец40</t>
  </si>
  <si>
    <t>Всього</t>
  </si>
  <si>
    <t>Столбец41</t>
  </si>
  <si>
    <t>17</t>
  </si>
  <si>
    <t>21</t>
  </si>
  <si>
    <t>20</t>
  </si>
  <si>
    <t>10</t>
  </si>
  <si>
    <t>3зм.</t>
  </si>
  <si>
    <t>Столбец42</t>
  </si>
  <si>
    <t>Столбец43</t>
  </si>
  <si>
    <t>Столбец44</t>
  </si>
  <si>
    <t>Столбец45</t>
  </si>
  <si>
    <t>Обіди</t>
  </si>
  <si>
    <t>Столбец46</t>
  </si>
  <si>
    <t>ЗАГ годин/год.</t>
  </si>
  <si>
    <t>Нічні/грн.</t>
  </si>
  <si>
    <t>Доп Години/грн.</t>
  </si>
  <si>
    <t>Оплата друга зміна різниця/грн.</t>
  </si>
  <si>
    <t>TOTAL</t>
  </si>
  <si>
    <t>Столбец47</t>
  </si>
  <si>
    <t>13</t>
  </si>
  <si>
    <t>18</t>
  </si>
  <si>
    <t>11</t>
  </si>
  <si>
    <t>19</t>
  </si>
  <si>
    <t>12</t>
  </si>
  <si>
    <t>14</t>
  </si>
  <si>
    <t>15</t>
  </si>
  <si>
    <t>16</t>
  </si>
  <si>
    <t>ГРУПА</t>
  </si>
  <si>
    <t>1</t>
  </si>
  <si>
    <t>2</t>
  </si>
  <si>
    <t>3</t>
  </si>
  <si>
    <t>4</t>
  </si>
  <si>
    <t>5</t>
  </si>
  <si>
    <t>6</t>
  </si>
  <si>
    <t>7</t>
  </si>
  <si>
    <t>8</t>
  </si>
  <si>
    <t>9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</si>
  <si>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</si>
  <si>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</si>
  <si>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</si>
  <si>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</si>
  <si>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</si>
  <si>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</si>
  <si>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</si>
  <si>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</si>
  <si>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</si>
  <si>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</si>
  <si>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 shift</t>
  </si>
  <si>
    <t>ФамилияИ.О.</t>
  </si>
  <si>
    <t>Таб.№</t>
  </si>
  <si>
    <t>Должность</t>
  </si>
  <si>
    <t>Години Невизначені</t>
  </si>
  <si>
    <t>ЗАГгодин</t>
  </si>
  <si>
    <t>ДопГодини</t>
  </si>
  <si>
    <t>НічніСУМА</t>
  </si>
  <si>
    <t>Вартістьнічних</t>
  </si>
  <si>
    <t>ДОПгодиниСУМА</t>
  </si>
  <si>
    <t>ТС</t>
  </si>
  <si>
    <t>Столбец48</t>
  </si>
  <si>
    <t>Контракт</t>
  </si>
  <si>
    <t>Столбец49</t>
  </si>
  <si>
    <t>Столбец50</t>
  </si>
  <si>
    <t>Столбец51</t>
  </si>
  <si>
    <t>Столбец52</t>
  </si>
  <si>
    <t>Столбец53</t>
  </si>
  <si>
    <t>Столбец54</t>
  </si>
  <si>
    <t>Копиленко Олег Володимирович</t>
  </si>
  <si>
    <t>00/1194</t>
  </si>
  <si>
    <t>транспортувальник</t>
  </si>
  <si>
    <t>транспортув.</t>
  </si>
  <si>
    <t/>
  </si>
  <si>
    <t>Гамалюк Віталій Васильович</t>
  </si>
  <si>
    <t>10/0212</t>
  </si>
  <si>
    <t>налагоджувальник</t>
  </si>
  <si>
    <t>8/2(4:00)</t>
  </si>
  <si>
    <t>Летяцький Павло  Юрійович</t>
  </si>
  <si>
    <t>10/1549</t>
  </si>
  <si>
    <t>оператор</t>
  </si>
  <si>
    <t>Паршин  Сергій  Олександрович</t>
  </si>
  <si>
    <t>00/1027</t>
  </si>
  <si>
    <t>майстер дільниці</t>
  </si>
  <si>
    <t>Фокша Володимир Вікторович</t>
  </si>
  <si>
    <t>10/1548</t>
  </si>
  <si>
    <t>Петрушка Любомир</t>
  </si>
  <si>
    <t>10/0297</t>
  </si>
  <si>
    <t>8/2(8:00)</t>
  </si>
  <si>
    <t>Данилюк Ігор</t>
  </si>
  <si>
    <t>10/0066</t>
  </si>
  <si>
    <t>8/1(10:00)</t>
  </si>
  <si>
    <t>плешко</t>
  </si>
  <si>
    <t>немає</t>
  </si>
  <si>
    <t>8/1(8:00)</t>
  </si>
  <si>
    <t>Голик Вадим Олександрович</t>
  </si>
  <si>
    <t>10/0246</t>
  </si>
  <si>
    <t>59</t>
  </si>
  <si>
    <t>Гринчак Лариса Семенівна</t>
  </si>
  <si>
    <t>10/1518</t>
  </si>
  <si>
    <t>електромонтажник-схемник</t>
  </si>
  <si>
    <t>Петрушко Іван Васильович</t>
  </si>
  <si>
    <t>10/1520</t>
  </si>
  <si>
    <t>64</t>
  </si>
  <si>
    <t>Братний Ігор Миколайович</t>
  </si>
  <si>
    <t>10/1598</t>
  </si>
  <si>
    <t>68</t>
  </si>
  <si>
    <t>Струперська Інна Миколаївна</t>
  </si>
  <si>
    <t>10/1597</t>
  </si>
  <si>
    <t>Бабенко Мар'яна Степанівна</t>
  </si>
  <si>
    <t>00/0048</t>
  </si>
  <si>
    <t>адміністратор-тренер</t>
  </si>
  <si>
    <t>адміністрація</t>
  </si>
  <si>
    <t>Бабенко Катерина Костянтинівна</t>
  </si>
  <si>
    <t>00/0049</t>
  </si>
  <si>
    <t>Боднар Марина Віталіївна</t>
  </si>
  <si>
    <t>00/0082</t>
  </si>
  <si>
    <t>бухгалтер</t>
  </si>
  <si>
    <t>Бучацька Лідія Михайлівна</t>
  </si>
  <si>
    <t>00/0050</t>
  </si>
  <si>
    <t>менеджер ЗЕЗ</t>
  </si>
  <si>
    <t xml:space="preserve">Враголіч Саша </t>
  </si>
  <si>
    <t>00/0052</t>
  </si>
  <si>
    <t>генеральний директор</t>
  </si>
  <si>
    <t>Гаврилюк Таїсія Олексіївна</t>
  </si>
  <si>
    <t>00/0043</t>
  </si>
  <si>
    <t>фахівець з кадрів</t>
  </si>
  <si>
    <t>Гудан Юрій Віталійович</t>
  </si>
  <si>
    <t>00/0078</t>
  </si>
  <si>
    <t>адміністратор сестеми</t>
  </si>
  <si>
    <t>Гуменюк  Тарас  Володимирович</t>
  </si>
  <si>
    <t>00/0024</t>
  </si>
  <si>
    <t>економіст</t>
  </si>
  <si>
    <t>Деркач Олександр Корнійович</t>
  </si>
  <si>
    <t>00/0036</t>
  </si>
  <si>
    <t>нач. служби охорони праці</t>
  </si>
  <si>
    <t>Дзісь  Олександр  Миколайович</t>
  </si>
  <si>
    <t>00/0006</t>
  </si>
  <si>
    <t>старший інструктор виробничого навчання</t>
  </si>
  <si>
    <t>Жека Наталія Олександрівна</t>
  </si>
  <si>
    <t>00/0060</t>
  </si>
  <si>
    <t>Кердей Яна Василівна</t>
  </si>
  <si>
    <t>00/0059</t>
  </si>
  <si>
    <t xml:space="preserve">головний бухгалтер </t>
  </si>
  <si>
    <t>Кобевко  Дмитро  Онуфрійович</t>
  </si>
  <si>
    <t>00/0029</t>
  </si>
  <si>
    <t>завідувач господарства</t>
  </si>
  <si>
    <t>Кобзар  Наталія  Анатоліївна</t>
  </si>
  <si>
    <t>00/0032</t>
  </si>
  <si>
    <t>Корзіннікова Альона Василівна</t>
  </si>
  <si>
    <t>00/1114</t>
  </si>
  <si>
    <t>табельник</t>
  </si>
  <si>
    <t>Метельський Борис Євгенійович</t>
  </si>
  <si>
    <t>00/0064</t>
  </si>
  <si>
    <t>адміністратор системи</t>
  </si>
  <si>
    <t>Михайлович Наталя Іванівна</t>
  </si>
  <si>
    <t>00/0080</t>
  </si>
  <si>
    <t>Нашиба Олена Аркадіївна</t>
  </si>
  <si>
    <t>00/0061</t>
  </si>
  <si>
    <t>Онищенко Марія Леонідівна</t>
  </si>
  <si>
    <t>00/0072</t>
  </si>
  <si>
    <t>Пацарнюк Мар'яна  Ярославівна</t>
  </si>
  <si>
    <t>00/0057</t>
  </si>
  <si>
    <t>Перепьолкіна Оксана Володимирівна</t>
  </si>
  <si>
    <t>00/0063</t>
  </si>
  <si>
    <t>інспектор з кадрів</t>
  </si>
  <si>
    <t>Плєшко Ярина Миколаївна</t>
  </si>
  <si>
    <t>00/0055</t>
  </si>
  <si>
    <t>Повержук Геннадій Вікторович</t>
  </si>
  <si>
    <t>00/0056</t>
  </si>
  <si>
    <t>Поліщук Аліна Валентинівна</t>
  </si>
  <si>
    <t>10/0434</t>
  </si>
  <si>
    <t>Полякова  Наталія  Ігорівна</t>
  </si>
  <si>
    <t>00/0014</t>
  </si>
  <si>
    <t>начальник ВК</t>
  </si>
  <si>
    <t>Пуюл Наталя Анатоліївна</t>
  </si>
  <si>
    <t>00/0054</t>
  </si>
  <si>
    <t>Руснак Євгеній Степанович</t>
  </si>
  <si>
    <t>00/0079</t>
  </si>
  <si>
    <t>Ряба Людмила Іванівна</t>
  </si>
  <si>
    <t>00/0033</t>
  </si>
  <si>
    <t>Старикова Валентина Василівна</t>
  </si>
  <si>
    <t>00/0062</t>
  </si>
  <si>
    <t>Толмач  Марина  Анатоліївна</t>
  </si>
  <si>
    <t>00/0016</t>
  </si>
  <si>
    <t>Томулець  Олена  Ігнатівна</t>
  </si>
  <si>
    <t>00/0028</t>
  </si>
  <si>
    <t>Чікурлій Надія Петрівна</t>
  </si>
  <si>
    <t>00/0083</t>
  </si>
  <si>
    <t>Шарко Ольга Григоріївна</t>
  </si>
  <si>
    <t>00/0053</t>
  </si>
  <si>
    <t>старший бухгалтер</t>
  </si>
  <si>
    <t>Шпачкова Ольга  Юрівна</t>
  </si>
  <si>
    <t>00/0074</t>
  </si>
  <si>
    <t>Штефано Христина Петрівна</t>
  </si>
  <si>
    <t>00/0076</t>
  </si>
  <si>
    <t>асистент директора</t>
  </si>
  <si>
    <t>Юрченко Світлана Володимирівна</t>
  </si>
  <si>
    <t>00/0038</t>
  </si>
  <si>
    <t>фельдшер</t>
  </si>
  <si>
    <t>Януш Петро Володимирович</t>
  </si>
  <si>
    <t>00/0010</t>
  </si>
  <si>
    <t>начальник відділу ІТ</t>
  </si>
  <si>
    <t>Аврам Юрій Дем'янович</t>
  </si>
  <si>
    <t>00/1185</t>
  </si>
  <si>
    <t>технолог</t>
  </si>
  <si>
    <t>Андронік Степан Володимирович</t>
  </si>
  <si>
    <t>00/0069</t>
  </si>
  <si>
    <t>комірник</t>
  </si>
  <si>
    <t>Бабечко Надія Юріївна</t>
  </si>
  <si>
    <t>10/0201</t>
  </si>
  <si>
    <t>нач.технолог.відділу</t>
  </si>
  <si>
    <t>Гарасим  Анна  Сергіївна</t>
  </si>
  <si>
    <t>00/0017</t>
  </si>
  <si>
    <t>менеджер з логістики</t>
  </si>
  <si>
    <t>Дудка  Марина  Дмитрівна</t>
  </si>
  <si>
    <t>00/0018</t>
  </si>
  <si>
    <t>старший адміністратор системи</t>
  </si>
  <si>
    <t>Дяченко  Олександр  Миколайович</t>
  </si>
  <si>
    <t>00/1009</t>
  </si>
  <si>
    <t>ст.інженер з якості</t>
  </si>
  <si>
    <t>Єленюк Юрій Михайлович</t>
  </si>
  <si>
    <t>00/1072</t>
  </si>
  <si>
    <t>фахівець з якості</t>
  </si>
  <si>
    <t xml:space="preserve">Зелінський  Микола </t>
  </si>
  <si>
    <t>00/0067</t>
  </si>
  <si>
    <t>Каденюк Тетяна Ярославівна</t>
  </si>
  <si>
    <t>00/1193</t>
  </si>
  <si>
    <t>Кельбя Олександр Васильович</t>
  </si>
  <si>
    <t>10/0428</t>
  </si>
  <si>
    <t>Кичак  Людмила Іванівна</t>
  </si>
  <si>
    <t>10/1073</t>
  </si>
  <si>
    <t>контролер</t>
  </si>
  <si>
    <t>Кукурудзяк Андрій Васильович</t>
  </si>
  <si>
    <t>10/0226</t>
  </si>
  <si>
    <t>інженер з якості</t>
  </si>
  <si>
    <t>Купченко  Іван  Петрович</t>
  </si>
  <si>
    <t>00/1007</t>
  </si>
  <si>
    <t>7/3(7:00)</t>
  </si>
  <si>
    <t>Мафтей Іван Іванович</t>
  </si>
  <si>
    <t>00/1029</t>
  </si>
  <si>
    <t>лаборант</t>
  </si>
  <si>
    <t>Миронець Оксана  Антонівна</t>
  </si>
  <si>
    <t>00/0077</t>
  </si>
  <si>
    <t>Нікітін Олег  Георгійович</t>
  </si>
  <si>
    <t>10/0214</t>
  </si>
  <si>
    <t>менеджер відділу логістики</t>
  </si>
  <si>
    <t>Нікітіна Олена Миколаївна</t>
  </si>
  <si>
    <t>00/0051</t>
  </si>
  <si>
    <t>Процюк Анна Олександрівна</t>
  </si>
  <si>
    <t>00/0066</t>
  </si>
  <si>
    <t xml:space="preserve"> начальник відділу логістики</t>
  </si>
  <si>
    <t>Ротко Андрій Володимирович</t>
  </si>
  <si>
    <t>00/0058</t>
  </si>
  <si>
    <t>ст.технолог</t>
  </si>
  <si>
    <t>Сільченко  Антон  Володимирович</t>
  </si>
  <si>
    <t>00/0008</t>
  </si>
  <si>
    <t>директор з якості</t>
  </si>
  <si>
    <t>Слінько Маряна Дмитрівна</t>
  </si>
  <si>
    <t>10/0032</t>
  </si>
  <si>
    <t>Тарновецький Юрій Юрійович</t>
  </si>
  <si>
    <t>00/1071</t>
  </si>
  <si>
    <t xml:space="preserve">фахівець управління складом </t>
  </si>
  <si>
    <t>Штефура Олександра Іванівна</t>
  </si>
  <si>
    <t>00/0065</t>
  </si>
  <si>
    <t>Ярощук Євген Вікторович</t>
  </si>
  <si>
    <t>00/1102</t>
  </si>
  <si>
    <t>Матеоренко Микита Сергійович</t>
  </si>
  <si>
    <t>00/1095</t>
  </si>
  <si>
    <t>Атодиресе Віктор Васильович</t>
  </si>
  <si>
    <t>10/0673</t>
  </si>
  <si>
    <t>начальник дільниці</t>
  </si>
  <si>
    <t>Вольська  Олена  Михайлівна</t>
  </si>
  <si>
    <t>10/0011</t>
  </si>
  <si>
    <t>Іванець  Аліна  Василівна</t>
  </si>
  <si>
    <t>10/0100</t>
  </si>
  <si>
    <t>8/2(1:00)</t>
  </si>
  <si>
    <t>8/1(1:00)</t>
  </si>
  <si>
    <t>8/1(6:00)</t>
  </si>
  <si>
    <t>8/2(2:00)</t>
  </si>
  <si>
    <t>8/1(3:00)</t>
  </si>
  <si>
    <t>Констанчан Віталій Миколайович</t>
  </si>
  <si>
    <t>10/0409</t>
  </si>
  <si>
    <t>8/2(3:00)</t>
  </si>
  <si>
    <t>8/1(2:00)</t>
  </si>
  <si>
    <t>8/1(7:00)</t>
  </si>
  <si>
    <t>Нікульча Руслан Васильович</t>
  </si>
  <si>
    <t>10/0153</t>
  </si>
  <si>
    <t>Озімовська Наталія Валентинівна</t>
  </si>
  <si>
    <t>10/0321</t>
  </si>
  <si>
    <t>Перепічка Сергій Васильович</t>
  </si>
  <si>
    <t>10/0119</t>
  </si>
  <si>
    <t>Семенчев Валентин Олегович</t>
  </si>
  <si>
    <t>10/0318</t>
  </si>
  <si>
    <t>8/1(4:00)</t>
  </si>
  <si>
    <t>Хмель Володимир Мирославович</t>
  </si>
  <si>
    <t>10/0605</t>
  </si>
  <si>
    <t xml:space="preserve">   </t>
  </si>
  <si>
    <t>Алукій Юрій Васильович</t>
  </si>
  <si>
    <t>00/1119</t>
  </si>
  <si>
    <t>контролери</t>
  </si>
  <si>
    <t>Амаріє Георгій Георгійович</t>
  </si>
  <si>
    <t>00/1144</t>
  </si>
  <si>
    <t>Барчук Олександр Володимирович</t>
  </si>
  <si>
    <t>10/1468</t>
  </si>
  <si>
    <t>Гаврилюк  Алла  Дмитрівна</t>
  </si>
  <si>
    <t>10/0058</t>
  </si>
  <si>
    <t xml:space="preserve">контролер </t>
  </si>
  <si>
    <t>Палій  Людмила  Валентинівна</t>
  </si>
  <si>
    <t>00/1010</t>
  </si>
  <si>
    <t xml:space="preserve">старший контролер </t>
  </si>
  <si>
    <t>Герман Міхаела Іванівна</t>
  </si>
  <si>
    <t>10/0435</t>
  </si>
  <si>
    <t>Лотанюк Тетяна Михайлівна</t>
  </si>
  <si>
    <t>10/1281</t>
  </si>
  <si>
    <t>Мунтян Вікторія Віторівна</t>
  </si>
  <si>
    <t>10/0154</t>
  </si>
  <si>
    <t>Свідерська Лариса Романівна</t>
  </si>
  <si>
    <t>10/1470</t>
  </si>
  <si>
    <t>Чобан Артем Васильович</t>
  </si>
  <si>
    <t>10/0275</t>
  </si>
  <si>
    <t>старший контролер</t>
  </si>
  <si>
    <t>Александру Тетяна Георгіївна</t>
  </si>
  <si>
    <t>10/0220</t>
  </si>
  <si>
    <t>Аніна Еріка Олександрівна</t>
  </si>
  <si>
    <t>10/0178</t>
  </si>
  <si>
    <t>Кадишева Аліса Віталіївна</t>
  </si>
  <si>
    <t>10/0576</t>
  </si>
  <si>
    <t>Максимчук  Мар'яна  Василівна</t>
  </si>
  <si>
    <t>10/0050</t>
  </si>
  <si>
    <t>Рижук Андрій Сергійович</t>
  </si>
  <si>
    <t>10/1558</t>
  </si>
  <si>
    <t xml:space="preserve"> контролер</t>
  </si>
  <si>
    <t>Мельничук Василь Дмитрович</t>
  </si>
  <si>
    <t>00/1123</t>
  </si>
  <si>
    <t>Перко Вадим Сергійович</t>
  </si>
  <si>
    <t>10/1444</t>
  </si>
  <si>
    <t>Фочук Катерина Іванівна</t>
  </si>
  <si>
    <t>00/1182</t>
  </si>
  <si>
    <t>Берча Міхаєла Михайлівна</t>
  </si>
  <si>
    <t>10/0595</t>
  </si>
  <si>
    <t>Гладюк Микола Іванович</t>
  </si>
  <si>
    <t>00/1122</t>
  </si>
  <si>
    <t>Злий Назар Сергійович</t>
  </si>
  <si>
    <t>00/1172</t>
  </si>
  <si>
    <t>Саренку Інга Іванівна</t>
  </si>
  <si>
    <t>00/1159</t>
  </si>
  <si>
    <t>Антонічук Станіслав Володимирович</t>
  </si>
  <si>
    <t>00/1168</t>
  </si>
  <si>
    <t>Березіна Валентина Валентинівна</t>
  </si>
  <si>
    <t>10/1442</t>
  </si>
  <si>
    <t>Вітвіцький Богдан Йосопович</t>
  </si>
  <si>
    <t>00/1148</t>
  </si>
  <si>
    <t>Думанський Андрій Іванович</t>
  </si>
  <si>
    <t>10/0542</t>
  </si>
  <si>
    <t>Володько Вадим Андрійович</t>
  </si>
  <si>
    <t>00/1118</t>
  </si>
  <si>
    <t>Ляхова Тетяна Вікторівна</t>
  </si>
  <si>
    <t>00/1161</t>
  </si>
  <si>
    <t>Руссу Ілля Вячеславович</t>
  </si>
  <si>
    <t>10/0903</t>
  </si>
  <si>
    <t>Аронець Галина Миколаївна</t>
  </si>
  <si>
    <t>00/1085</t>
  </si>
  <si>
    <t>Іванчук Павло Миколайович</t>
  </si>
  <si>
    <t>00/1167</t>
  </si>
  <si>
    <t>Пасічник Констянтин Васильович</t>
  </si>
  <si>
    <t>10/0347</t>
  </si>
  <si>
    <t>Пінтя Іван Сергійович</t>
  </si>
  <si>
    <t>10/1499</t>
  </si>
  <si>
    <t>Повшин Ганна Юріївна</t>
  </si>
  <si>
    <t>00/1082</t>
  </si>
  <si>
    <t>Торак Олександр Петрович</t>
  </si>
  <si>
    <t>00/1195</t>
  </si>
  <si>
    <t>Гаврилюк В'ячеслав Михайлович</t>
  </si>
  <si>
    <t>00/1137</t>
  </si>
  <si>
    <t>слюсар-ремонтник</t>
  </si>
  <si>
    <t>наладчики</t>
  </si>
  <si>
    <t>Губчак Олександр Григорійович</t>
  </si>
  <si>
    <t>00/1179</t>
  </si>
  <si>
    <t>налажувальник</t>
  </si>
  <si>
    <t>Гусар  Тарас  Олегович</t>
  </si>
  <si>
    <t>00/1001</t>
  </si>
  <si>
    <t>начальник технічного відділу</t>
  </si>
  <si>
    <t>Дорош Василь Іванович</t>
  </si>
  <si>
    <t>00/1044</t>
  </si>
  <si>
    <t>заст.нач.технічного відділу</t>
  </si>
  <si>
    <t>Князь Богдан Васильвич</t>
  </si>
  <si>
    <t>00/1184</t>
  </si>
  <si>
    <t>наладчик</t>
  </si>
  <si>
    <t>Міронов Павло Володимирович</t>
  </si>
  <si>
    <t>00/1077</t>
  </si>
  <si>
    <t>Орос Оксана Анатолівна</t>
  </si>
  <si>
    <t>10/1354</t>
  </si>
  <si>
    <t>інженер з комплектації устаткування</t>
  </si>
  <si>
    <t>Панцир Віктор Сергійович</t>
  </si>
  <si>
    <t>00/1015</t>
  </si>
  <si>
    <t>механик</t>
  </si>
  <si>
    <t>Терещенко Сергій Едуардович</t>
  </si>
  <si>
    <t>00/1079</t>
  </si>
  <si>
    <t>Чеботар  Стеліан Федорович</t>
  </si>
  <si>
    <t>00/0073</t>
  </si>
  <si>
    <t>старший механік</t>
  </si>
  <si>
    <t>Бачикало Максим Валерійович</t>
  </si>
  <si>
    <t>00/1164</t>
  </si>
  <si>
    <t>Висоцький Євген Валентинович</t>
  </si>
  <si>
    <t>00/1097</t>
  </si>
  <si>
    <t>Грубий Микола Дмитрович</t>
  </si>
  <si>
    <t>10/1505</t>
  </si>
  <si>
    <t>Кушнірюк  Олександр  Петрович</t>
  </si>
  <si>
    <t>00/1026</t>
  </si>
  <si>
    <t>Маланюк Ярослав Богданович</t>
  </si>
  <si>
    <t>00/1036</t>
  </si>
  <si>
    <t>Томюк Василь Васильович</t>
  </si>
  <si>
    <t>00/1037</t>
  </si>
  <si>
    <t>Флорескул Микола Миколайович</t>
  </si>
  <si>
    <t>00/1108</t>
  </si>
  <si>
    <t>Шестобанський Олександр Володимирович</t>
  </si>
  <si>
    <t>00/1052</t>
  </si>
  <si>
    <t>Клим Лілія Вільгельмівна</t>
  </si>
  <si>
    <t>00/1165</t>
  </si>
  <si>
    <t>обліковець складу</t>
  </si>
  <si>
    <t>Козловський Богдан Вікторович</t>
  </si>
  <si>
    <t>00/1120</t>
  </si>
  <si>
    <t>Кочубей Євген Миколайович</t>
  </si>
  <si>
    <t>00/1106</t>
  </si>
  <si>
    <t>Наумчук Микола Миколайович</t>
  </si>
  <si>
    <t>00/1018</t>
  </si>
  <si>
    <t xml:space="preserve">налагоджувальник </t>
  </si>
  <si>
    <t>Столяренко  Анатолій  Олександрович</t>
  </si>
  <si>
    <t>00/1028</t>
  </si>
  <si>
    <t>Сухова  Тетяна  Олександрівна</t>
  </si>
  <si>
    <t>10/0102</t>
  </si>
  <si>
    <t>Шестобанський Вячеслав Володимирович</t>
  </si>
  <si>
    <t>10/0512</t>
  </si>
  <si>
    <t>Гречак Степан Васильович</t>
  </si>
  <si>
    <t>00/1115</t>
  </si>
  <si>
    <t>Іващенко Анастасія Сергіївна</t>
  </si>
  <si>
    <t>00/1080</t>
  </si>
  <si>
    <t>Клим  Олександр Іванович</t>
  </si>
  <si>
    <t>10/0639</t>
  </si>
  <si>
    <t>Кожуленко Тетяна Богданівна</t>
  </si>
  <si>
    <t>00/1094</t>
  </si>
  <si>
    <t>обліковець складу запчастин</t>
  </si>
  <si>
    <t>Скращук Максим Володимирович</t>
  </si>
  <si>
    <t>00/1100</t>
  </si>
  <si>
    <t>Стрієнко Володимир Георгійович</t>
  </si>
  <si>
    <t>00/1088</t>
  </si>
  <si>
    <t>Гажук Лазар Михайлович</t>
  </si>
  <si>
    <t>10/0539</t>
  </si>
  <si>
    <t>Гоян Олександр Вікторович</t>
  </si>
  <si>
    <t>10/0227</t>
  </si>
  <si>
    <t>Зверід  Леонід  Лазарович</t>
  </si>
  <si>
    <t>10/0112</t>
  </si>
  <si>
    <t>Кіріле Василь Васильович</t>
  </si>
  <si>
    <t>10/0850</t>
  </si>
  <si>
    <t>Романчук Петро Маріанович</t>
  </si>
  <si>
    <t>10/0854</t>
  </si>
  <si>
    <t>Шведик  Віталій  Анатолійович</t>
  </si>
  <si>
    <t>10/0111</t>
  </si>
  <si>
    <t>Власов Олександр Федорович</t>
  </si>
  <si>
    <t>00/1192</t>
  </si>
  <si>
    <t>Мохновид Валентин Васильович</t>
  </si>
  <si>
    <t>10/0731</t>
  </si>
  <si>
    <t>Тріфиуцяну Ярослав Іоганович</t>
  </si>
  <si>
    <t>10/0622</t>
  </si>
  <si>
    <t>Галуза Іван Михайлівна</t>
  </si>
  <si>
    <t>10/0567</t>
  </si>
  <si>
    <t>Гараміта Іван Миколайович</t>
  </si>
  <si>
    <t>00/1125</t>
  </si>
  <si>
    <t>Григорій Марин Михайлович</t>
  </si>
  <si>
    <t>00/1117</t>
  </si>
  <si>
    <t>Дідик Вячеслав Володимирович</t>
  </si>
  <si>
    <t>10/0136</t>
  </si>
  <si>
    <t>Казаку Андрій Романович</t>
  </si>
  <si>
    <t>00/1133</t>
  </si>
  <si>
    <t>Кукош Маріан Валентинович</t>
  </si>
  <si>
    <t>00/1056</t>
  </si>
  <si>
    <t>Лупу Василь Мірчевич</t>
  </si>
  <si>
    <t>00/1127</t>
  </si>
  <si>
    <t>Оксеєнко Микола Павлович</t>
  </si>
  <si>
    <t>10/0259</t>
  </si>
  <si>
    <t>Олару Ігор Костянтинович</t>
  </si>
  <si>
    <t>00/1135</t>
  </si>
  <si>
    <t>Олійник Георгій  Васильович</t>
  </si>
  <si>
    <t>00/1169</t>
  </si>
  <si>
    <t>Скрипа Володимир Дмитрович</t>
  </si>
  <si>
    <t>10/0701</t>
  </si>
  <si>
    <t>Філіпець Павло Валентинович</t>
  </si>
  <si>
    <t>10/0675</t>
  </si>
  <si>
    <t>Форкош Роман Ілліч</t>
  </si>
  <si>
    <t>10/0563</t>
  </si>
  <si>
    <t>Шуптар Сергій Іванович</t>
  </si>
  <si>
    <t>00/1070</t>
  </si>
  <si>
    <t>Балагура Василь Ілліч</t>
  </si>
  <si>
    <t>00/1138</t>
  </si>
  <si>
    <t>Вудвуд Владислав Віталійович</t>
  </si>
  <si>
    <t>00/1132</t>
  </si>
  <si>
    <t>Гаврилюк Віталій Михайлович</t>
  </si>
  <si>
    <t>00/1047</t>
  </si>
  <si>
    <t>Грекул Володимир Володимирович</t>
  </si>
  <si>
    <t>00/1131</t>
  </si>
  <si>
    <t>Гуцул Віталій Вікторович</t>
  </si>
  <si>
    <t>00/1059</t>
  </si>
  <si>
    <t>Зварич Дмитро Іванович</t>
  </si>
  <si>
    <t>00/1128</t>
  </si>
  <si>
    <t>Зрибнєв Олексій Олексійович</t>
  </si>
  <si>
    <t>00/1041</t>
  </si>
  <si>
    <t>Котельніков Валерій Володимерович</t>
  </si>
  <si>
    <t>00/1173</t>
  </si>
  <si>
    <t>Красовський  Іван  Васильович</t>
  </si>
  <si>
    <t>10/0101</t>
  </si>
  <si>
    <t>Михайлюк Іван Ігорович</t>
  </si>
  <si>
    <t>00/1116</t>
  </si>
  <si>
    <t>Мігалуш Федір Федорович</t>
  </si>
  <si>
    <t>00/1134</t>
  </si>
  <si>
    <t>Попович Віктор Сирафимович</t>
  </si>
  <si>
    <t>00/1191</t>
  </si>
  <si>
    <t>Продан Георгій Васильович</t>
  </si>
  <si>
    <t>00/1105</t>
  </si>
  <si>
    <t>Скиданов Олександр Вікторович</t>
  </si>
  <si>
    <t>00/1104</t>
  </si>
  <si>
    <t>Хожинський  Олександр  Анатолійович</t>
  </si>
  <si>
    <t>10/0105</t>
  </si>
  <si>
    <t>Аміхалакіоає Василь Дмитрович</t>
  </si>
  <si>
    <t>00/1058</t>
  </si>
  <si>
    <t>Борис Микола Ігорович</t>
  </si>
  <si>
    <t>10/0691</t>
  </si>
  <si>
    <t>Вакнюк Віорел Михайлович</t>
  </si>
  <si>
    <t>00/1170</t>
  </si>
  <si>
    <t>Каганов Юрій Миколайович</t>
  </si>
  <si>
    <t>00/1107</t>
  </si>
  <si>
    <t>Кицак Кристіан Григорович</t>
  </si>
  <si>
    <t>10/0386</t>
  </si>
  <si>
    <t>Крецу Марін Ілліч</t>
  </si>
  <si>
    <t>00/1075</t>
  </si>
  <si>
    <t>Лехман Володимир Теодорович</t>
  </si>
  <si>
    <t>10/0598</t>
  </si>
  <si>
    <t>Лупан Констянтин Констянтинович</t>
  </si>
  <si>
    <t>00/1043</t>
  </si>
  <si>
    <t>Марку Василь Іванович</t>
  </si>
  <si>
    <t>00/1136</t>
  </si>
  <si>
    <t>Процюк Сергій Вікторович</t>
  </si>
  <si>
    <t>00/1178</t>
  </si>
  <si>
    <t>Сергієнко Сергій Миколайович</t>
  </si>
  <si>
    <t>00/1171</t>
  </si>
  <si>
    <t>Тинку Костянтин Костянтинович</t>
  </si>
  <si>
    <t>00/1140</t>
  </si>
  <si>
    <t>Туранський Федір Михайлович</t>
  </si>
  <si>
    <t>10/0980</t>
  </si>
  <si>
    <t>Цюцюра  Микола  Богданович</t>
  </si>
  <si>
    <t>10/0075</t>
  </si>
  <si>
    <t>8/2(6:00)</t>
  </si>
  <si>
    <t>Куцик Олена Костянтинівна</t>
  </si>
  <si>
    <t>00/1190</t>
  </si>
  <si>
    <t>прибираньник</t>
  </si>
  <si>
    <t>прибиральниці</t>
  </si>
  <si>
    <t>Постевка Ганна Леонідівна</t>
  </si>
  <si>
    <t>00/1073</t>
  </si>
  <si>
    <t>прибиральник</t>
  </si>
  <si>
    <t>Борденюк Марія Петрівна</t>
  </si>
  <si>
    <t>00/1153</t>
  </si>
  <si>
    <t>Гінкул Інна Михайлівна</t>
  </si>
  <si>
    <t>00/1065</t>
  </si>
  <si>
    <t xml:space="preserve">прибиральник </t>
  </si>
  <si>
    <t>Мосорюк Валентина Іванівна</t>
  </si>
  <si>
    <t>00/1053</t>
  </si>
  <si>
    <t>Петруняк Анна Адамівна</t>
  </si>
  <si>
    <t>00/1141</t>
  </si>
  <si>
    <t>Стоян Георгіна Василівна</t>
  </si>
  <si>
    <t>00/1066</t>
  </si>
  <si>
    <t>Cкаловська Ольга Аурелівна</t>
  </si>
  <si>
    <t>00/1150</t>
  </si>
  <si>
    <t>Гуцуляк  Оксана  Аурелівна</t>
  </si>
  <si>
    <t>10/0038</t>
  </si>
  <si>
    <t>Кібак Євгенія Вікторівна</t>
  </si>
  <si>
    <t>00/1032</t>
  </si>
  <si>
    <t>Марфійчук Степанія Константинівна</t>
  </si>
  <si>
    <t>00/1147</t>
  </si>
  <si>
    <t>Рущак Віоріка Теофилівна</t>
  </si>
  <si>
    <t>00/1045</t>
  </si>
  <si>
    <t>Апопі Катирина Тодоровна</t>
  </si>
  <si>
    <t>00/1160</t>
  </si>
  <si>
    <t>Лупан  Тетяна  Дмитрівна</t>
  </si>
  <si>
    <t>00/1006</t>
  </si>
  <si>
    <t>Маращук Яна Василiвна</t>
  </si>
  <si>
    <t>00/1060</t>
  </si>
  <si>
    <t>Ністор Родіка Дмитрієвна</t>
  </si>
  <si>
    <t>00/1069</t>
  </si>
  <si>
    <t>Пиргару Валинтина  Георгіївна</t>
  </si>
  <si>
    <t>00/1146</t>
  </si>
  <si>
    <t>Городінко Інна Михайлівна</t>
  </si>
  <si>
    <t>00/1103</t>
  </si>
  <si>
    <t xml:space="preserve">комірник </t>
  </si>
  <si>
    <t>комірники</t>
  </si>
  <si>
    <t>Єфімова  Ірина  Василівна</t>
  </si>
  <si>
    <t>10/0061</t>
  </si>
  <si>
    <t>Жолобай Андрій  Васильвіч</t>
  </si>
  <si>
    <t>00/1174</t>
  </si>
  <si>
    <t>8/1(9:00)</t>
  </si>
  <si>
    <t>Іванишин Нозар Васильвич</t>
  </si>
  <si>
    <t>00/1189</t>
  </si>
  <si>
    <t>Кілару Василь Анатолійович</t>
  </si>
  <si>
    <t>00/1175</t>
  </si>
  <si>
    <t>Крикливець Юлія Василівна</t>
  </si>
  <si>
    <t>10/1247</t>
  </si>
  <si>
    <t>Крупецьков Ян Миколайович</t>
  </si>
  <si>
    <t>00/1176</t>
  </si>
  <si>
    <t>Кузьміна Христина Михайлівна</t>
  </si>
  <si>
    <t>10/1078</t>
  </si>
  <si>
    <t>Процюк Віталій Вікторович</t>
  </si>
  <si>
    <t>00/1019</t>
  </si>
  <si>
    <t>8/2(5:00)</t>
  </si>
  <si>
    <t>Савчук Адріан Троянович</t>
  </si>
  <si>
    <t>00/1126</t>
  </si>
  <si>
    <t>Скицько Віолета Володимирівна</t>
  </si>
  <si>
    <t>10/1335</t>
  </si>
  <si>
    <t>Тофан Сергій Валерійович</t>
  </si>
  <si>
    <t>10/0174</t>
  </si>
  <si>
    <t>Циганок Надія Іванівна</t>
  </si>
  <si>
    <t>10/0788</t>
  </si>
  <si>
    <t>Чабан Вячеслав Васильович</t>
  </si>
  <si>
    <t>10/0270</t>
  </si>
  <si>
    <t>Чемборович Андрій  Миколайович</t>
  </si>
  <si>
    <t>00/1109</t>
  </si>
  <si>
    <t>Юрнюк Ганна Дмитрівна</t>
  </si>
  <si>
    <t>10/1129</t>
  </si>
  <si>
    <t>Костів Ярослав Михайлович</t>
  </si>
  <si>
    <t>00/1121</t>
  </si>
  <si>
    <t>Крупецьков  Андрій  Георгійович</t>
  </si>
  <si>
    <t>10/0062</t>
  </si>
  <si>
    <t>Кузик Віталій Вікторович</t>
  </si>
  <si>
    <t>00/1110</t>
  </si>
  <si>
    <t>Сандуляк  Андрій  Миколайович</t>
  </si>
  <si>
    <t>00/1024</t>
  </si>
  <si>
    <t>Кочуров Сергій Анатолійович</t>
  </si>
  <si>
    <t>00/1063</t>
  </si>
  <si>
    <t>Постевка Георгій Петрович</t>
  </si>
  <si>
    <t>00/1039</t>
  </si>
  <si>
    <t>Северинец Федір Федорович</t>
  </si>
  <si>
    <t>10/0568</t>
  </si>
  <si>
    <t>Берлінський  Микола  Петрович</t>
  </si>
  <si>
    <t>10/0086</t>
  </si>
  <si>
    <t>35</t>
  </si>
  <si>
    <t>Горюк  Микола Іванович</t>
  </si>
  <si>
    <t>10/0777</t>
  </si>
  <si>
    <t>Новіков Владислав Анатолійович</t>
  </si>
  <si>
    <t>10/1483</t>
  </si>
  <si>
    <t>Фурсов Олег Володимирович</t>
  </si>
  <si>
    <t>00/1086</t>
  </si>
  <si>
    <t>Авакаріца Мар'яна Михайлівна</t>
  </si>
  <si>
    <t>10/1419</t>
  </si>
  <si>
    <t>Баскевич  Марія Іллівна</t>
  </si>
  <si>
    <t>10/0377</t>
  </si>
  <si>
    <t>Веньке Степан Йосипович</t>
  </si>
  <si>
    <t>10/0361</t>
  </si>
  <si>
    <t>Голик Інна Вікторівна</t>
  </si>
  <si>
    <t>10/0317</t>
  </si>
  <si>
    <t>Дідик  Раїса  Олексіївна</t>
  </si>
  <si>
    <t>10/0089</t>
  </si>
  <si>
    <t>Зав'язкіна  Альона  Вікторівна</t>
  </si>
  <si>
    <t>10/0053</t>
  </si>
  <si>
    <t>Зимбович  Тетяна  Василівна</t>
  </si>
  <si>
    <t>10/0092</t>
  </si>
  <si>
    <t>Крушельницька Тетяна Миколаївна</t>
  </si>
  <si>
    <t>10/1081</t>
  </si>
  <si>
    <t>Крушельницький Олег Миколайович</t>
  </si>
  <si>
    <t>10/1082</t>
  </si>
  <si>
    <t>Лішман Антоніна Констянтинівна</t>
  </si>
  <si>
    <t>10/0352</t>
  </si>
  <si>
    <t>Марку Анжела Георгіївна</t>
  </si>
  <si>
    <t>10/1012</t>
  </si>
  <si>
    <t>Мар'янчук Олена Євгенівна</t>
  </si>
  <si>
    <t>10/0309</t>
  </si>
  <si>
    <t>Моспанчук Надія Валеріївна</t>
  </si>
  <si>
    <t>10/0826</t>
  </si>
  <si>
    <t>Нікіфоряк Олександра Миколаївна</t>
  </si>
  <si>
    <t>10/1269</t>
  </si>
  <si>
    <t>Олару Олена Віорелівна</t>
  </si>
  <si>
    <t>10/1417</t>
  </si>
  <si>
    <t>Оліник Ауріка Василівна</t>
  </si>
  <si>
    <t>10/1312</t>
  </si>
  <si>
    <t>Паскарь Ганна Василівна</t>
  </si>
  <si>
    <t>10/1233</t>
  </si>
  <si>
    <t>Пілат Альона Іванівна</t>
  </si>
  <si>
    <t>10/1235</t>
  </si>
  <si>
    <t>Плантус Віоріка Василівна</t>
  </si>
  <si>
    <t>10/1314</t>
  </si>
  <si>
    <t>Постевка Надія Іллівна</t>
  </si>
  <si>
    <t>10/1234</t>
  </si>
  <si>
    <t>Постевка Наталія Володимирівна</t>
  </si>
  <si>
    <t>10/0370</t>
  </si>
  <si>
    <t>Прискурій  Людмила  Михайлівна</t>
  </si>
  <si>
    <t>10/0060</t>
  </si>
  <si>
    <t>Юрчук  Олена  Георгіївна</t>
  </si>
  <si>
    <t>10/0084</t>
  </si>
  <si>
    <t>Аєфтінкі Костянтин Марінелович</t>
  </si>
  <si>
    <t>10/0614</t>
  </si>
  <si>
    <t>Аміхалакіоає Марія Михайлівна</t>
  </si>
  <si>
    <t>10/0505</t>
  </si>
  <si>
    <t>Апакіцей Наталія Дмитрівна</t>
  </si>
  <si>
    <t>10/1202</t>
  </si>
  <si>
    <t>Аперчой Маріанна Дмитрівна</t>
  </si>
  <si>
    <t>10/1262</t>
  </si>
  <si>
    <t>Аперчой Олена Костянтинівна</t>
  </si>
  <si>
    <t>10/0807</t>
  </si>
  <si>
    <t>Бондаренко Ольга Петрівна</t>
  </si>
  <si>
    <t>10/0821</t>
  </si>
  <si>
    <t>Віксіч Ганна  Василівна</t>
  </si>
  <si>
    <t>10/1554</t>
  </si>
  <si>
    <t>Глізан Тетяна Василівна</t>
  </si>
  <si>
    <t>10/1476</t>
  </si>
  <si>
    <t>Дамян Віоріка Дмитрівна</t>
  </si>
  <si>
    <t>10/1191</t>
  </si>
  <si>
    <t>Дамян Габрієла Валентинівна</t>
  </si>
  <si>
    <t>10/0545</t>
  </si>
  <si>
    <t>Дамян Лілія Дмитрівна</t>
  </si>
  <si>
    <t>10/0372</t>
  </si>
  <si>
    <t>Ігнат  Василь  Іллєвич</t>
  </si>
  <si>
    <t>10/0093</t>
  </si>
  <si>
    <t>Лункаш Ірина Дмитрівна</t>
  </si>
  <si>
    <t>10/0449</t>
  </si>
  <si>
    <t>Мазуркевич Ірина Миколаївна</t>
  </si>
  <si>
    <t>10/0839</t>
  </si>
  <si>
    <t>Мельничук Світлана Ярославівна</t>
  </si>
  <si>
    <t>10/1428</t>
  </si>
  <si>
    <t>Павел Яна Костянтинівна</t>
  </si>
  <si>
    <t>10/1229</t>
  </si>
  <si>
    <t>Павел Тетяна Олександрівна</t>
  </si>
  <si>
    <t>10/1230</t>
  </si>
  <si>
    <t>Помотару Людмила Петрівна</t>
  </si>
  <si>
    <t>10/0648</t>
  </si>
  <si>
    <t>Теляге Олена Михайлівна</t>
  </si>
  <si>
    <t>10/0631</t>
  </si>
  <si>
    <t>Бажницька Ольга Валеріївна</t>
  </si>
  <si>
    <t>10/0274</t>
  </si>
  <si>
    <t>Бербуце Антоніна Іллівна</t>
  </si>
  <si>
    <t>10/1198</t>
  </si>
  <si>
    <t>Берча Оксана Траянівна</t>
  </si>
  <si>
    <t>10/0596</t>
  </si>
  <si>
    <t>Гунько Ольга Степанівна</t>
  </si>
  <si>
    <t>10/1267</t>
  </si>
  <si>
    <t>Гуцуляк Ірина Василівна</t>
  </si>
  <si>
    <t>10/0753</t>
  </si>
  <si>
    <t>Джурік Аліна Василівна</t>
  </si>
  <si>
    <t>10/1246</t>
  </si>
  <si>
    <t>Дубець Марія Іванівна</t>
  </si>
  <si>
    <t>10/1560</t>
  </si>
  <si>
    <t>8/2(10:00)</t>
  </si>
  <si>
    <t>Іванець  Олена  Вікторівна</t>
  </si>
  <si>
    <t>10/0079</t>
  </si>
  <si>
    <t>Ковальчук Леся Лазарівна</t>
  </si>
  <si>
    <t>10/1268</t>
  </si>
  <si>
    <t>Маник Людмила Георгіївна</t>
  </si>
  <si>
    <t>10/1270</t>
  </si>
  <si>
    <t>Мельник Діна Валеріївна</t>
  </si>
  <si>
    <t>10/1436</t>
  </si>
  <si>
    <t>Мельничук Оксана Захарівна</t>
  </si>
  <si>
    <t>10/0379</t>
  </si>
  <si>
    <t>Міхай Ірина Василівна</t>
  </si>
  <si>
    <t>10/1418</t>
  </si>
  <si>
    <t>Морараш Валентина Петрівна</t>
  </si>
  <si>
    <t>10/1264</t>
  </si>
  <si>
    <t>Ординська/Берсан Діана Дмитрівна</t>
  </si>
  <si>
    <t>10/1258</t>
  </si>
  <si>
    <t>Павлюк Олена Лазарівна</t>
  </si>
  <si>
    <t>10/0349</t>
  </si>
  <si>
    <t>Пухальська Лілія Петрівна</t>
  </si>
  <si>
    <t>10/0804</t>
  </si>
  <si>
    <t>Русу Людмила Аурелівна</t>
  </si>
  <si>
    <t>10/0912</t>
  </si>
  <si>
    <t>Сандулакій Анастасія Володимирівна</t>
  </si>
  <si>
    <t>10/1197</t>
  </si>
  <si>
    <t>Ткачук Валентина Миколаївна</t>
  </si>
  <si>
    <t>10/0388</t>
  </si>
  <si>
    <t>Черчел Лія Василівна</t>
  </si>
  <si>
    <t>10/0350</t>
  </si>
  <si>
    <t>Чортик Іван Миколайович</t>
  </si>
  <si>
    <t>10/0397</t>
  </si>
  <si>
    <t>Ястремська Тетяна Михайлівна</t>
  </si>
  <si>
    <t>10/0273</t>
  </si>
  <si>
    <t>Бабій Олександр Іванович</t>
  </si>
  <si>
    <t>10/1356</t>
  </si>
  <si>
    <t>Войцишен Вадим Миколайович</t>
  </si>
  <si>
    <t>10/1075</t>
  </si>
  <si>
    <t>Дутчин Дмитро Ярославович</t>
  </si>
  <si>
    <t>10/1378</t>
  </si>
  <si>
    <t>Костинян Микола Михайлович</t>
  </si>
  <si>
    <t>00/1084</t>
  </si>
  <si>
    <t>Кузнєцов Олег Юрійович</t>
  </si>
  <si>
    <t>10/0956</t>
  </si>
  <si>
    <t>Осиф Петро Іванович</t>
  </si>
  <si>
    <t>10/1213</t>
  </si>
  <si>
    <t>Савчук Микола Ігорович</t>
  </si>
  <si>
    <t>10/1399</t>
  </si>
  <si>
    <t>Скринник Іван Васильович</t>
  </si>
  <si>
    <t>10/0268</t>
  </si>
  <si>
    <t>7/3(6:00)</t>
  </si>
  <si>
    <t>Ткач  Ігор  Володимирович</t>
  </si>
  <si>
    <t>10/0099</t>
  </si>
  <si>
    <t>Туряк Анатолій Дмитрович</t>
  </si>
  <si>
    <t>10/1364</t>
  </si>
  <si>
    <t>Шведик Андрій Васильович</t>
  </si>
  <si>
    <t>10/0693</t>
  </si>
  <si>
    <t>Яськів Віктор Дмитрович</t>
  </si>
  <si>
    <t>10/1070</t>
  </si>
  <si>
    <t>Вовк Владислав Владиславович</t>
  </si>
  <si>
    <t>10/0803</t>
  </si>
  <si>
    <t>Іванченко Сергій Юрійович</t>
  </si>
  <si>
    <t>10/1503</t>
  </si>
  <si>
    <t>Капацин Сергій Іванович</t>
  </si>
  <si>
    <t>10/0392</t>
  </si>
  <si>
    <t>Кравцова Анастасія Ігорівна</t>
  </si>
  <si>
    <t>10/0204</t>
  </si>
  <si>
    <t>Лесюк Андрій Васильович</t>
  </si>
  <si>
    <t>10/1528</t>
  </si>
  <si>
    <t>Литвинський Євгеній Валерійович</t>
  </si>
  <si>
    <t>10/0814</t>
  </si>
  <si>
    <t>Манюк Дмитро Ігорович</t>
  </si>
  <si>
    <t>10/0547</t>
  </si>
  <si>
    <t>Марчак Володимир Миколайович</t>
  </si>
  <si>
    <t>10/0532</t>
  </si>
  <si>
    <t>Попович Богдан Ярославович</t>
  </si>
  <si>
    <t>10/1372</t>
  </si>
  <si>
    <t>Сака Дмитро Валерійович</t>
  </si>
  <si>
    <t>10/1593</t>
  </si>
  <si>
    <t>Тополюк Станіслав Анатолійович</t>
  </si>
  <si>
    <t>10/0558</t>
  </si>
  <si>
    <t>Аксентій Іван Іванович</t>
  </si>
  <si>
    <t>10/0749</t>
  </si>
  <si>
    <t>Апетроає Олександр Дмитрович</t>
  </si>
  <si>
    <t>10/0860</t>
  </si>
  <si>
    <t>Асіміонєсє Павло Миколайович</t>
  </si>
  <si>
    <t>10/1086</t>
  </si>
  <si>
    <t>Дорофтей Владислав Валерійович</t>
  </si>
  <si>
    <t>10/1083</t>
  </si>
  <si>
    <t>Думітру Андрій Тоадерович</t>
  </si>
  <si>
    <t>10/0165</t>
  </si>
  <si>
    <t>Костакі Василь Федорович</t>
  </si>
  <si>
    <t>10/0177</t>
  </si>
  <si>
    <t>Марчук Олександр Анатолійович</t>
  </si>
  <si>
    <t>10/1379</t>
  </si>
  <si>
    <t>Мочалова Тетяна Миколаївна</t>
  </si>
  <si>
    <t>10/0684</t>
  </si>
  <si>
    <t>Паламарчук Руслан Валерійович</t>
  </si>
  <si>
    <t>10/0182</t>
  </si>
  <si>
    <t>Тодорович Іван Петрович</t>
  </si>
  <si>
    <t>10/1588</t>
  </si>
  <si>
    <t>Чукля Георгій Васильович</t>
  </si>
  <si>
    <t>10/1462</t>
  </si>
  <si>
    <t>Котляревський В.Г</t>
  </si>
  <si>
    <t>10/1590</t>
  </si>
  <si>
    <t>Акрітова Людмила Миколаївна</t>
  </si>
  <si>
    <t>10/0983</t>
  </si>
  <si>
    <t>Александроає Інна Іванівна</t>
  </si>
  <si>
    <t>10/0342</t>
  </si>
  <si>
    <t>Апатрашоає Георгій Георгійович</t>
  </si>
  <si>
    <t>10/0357</t>
  </si>
  <si>
    <t>Аштефкулес Дмитро Васильович</t>
  </si>
  <si>
    <t>10/0783</t>
  </si>
  <si>
    <t>Аштефкулес Іван Васильович</t>
  </si>
  <si>
    <t>10/1585</t>
  </si>
  <si>
    <t>Богданюк Віолета Степанівна</t>
  </si>
  <si>
    <t>10/0763</t>
  </si>
  <si>
    <t>Боянчук Інна Павлівна</t>
  </si>
  <si>
    <t>10/0972</t>
  </si>
  <si>
    <t>Буга Валентина Михайлівна</t>
  </si>
  <si>
    <t>10/0978</t>
  </si>
  <si>
    <t>Васіліу  Олена  Олександрівна</t>
  </si>
  <si>
    <t>10/0094</t>
  </si>
  <si>
    <t>Верещагін Роман Сергійович</t>
  </si>
  <si>
    <t>10/1384</t>
  </si>
  <si>
    <t>Воробець  Ілона  Іванівна</t>
  </si>
  <si>
    <t>10/0070</t>
  </si>
  <si>
    <t>Григоренко Роман Володимирович</t>
  </si>
  <si>
    <t>10/0774</t>
  </si>
  <si>
    <t>Заришняк Світлана Юріввна</t>
  </si>
  <si>
    <t>10/1398</t>
  </si>
  <si>
    <t>Івашку Оксана Вікторівна</t>
  </si>
  <si>
    <t>10/1459</t>
  </si>
  <si>
    <t>Ілащук Георгій Дмитрович</t>
  </si>
  <si>
    <t>00/1051</t>
  </si>
  <si>
    <t>Ілку Марина Іванівна</t>
  </si>
  <si>
    <t>10/0600</t>
  </si>
  <si>
    <t>Казаку Альона Романівна</t>
  </si>
  <si>
    <t>10/1018</t>
  </si>
  <si>
    <t>Каленюк Зоя Григорівна</t>
  </si>
  <si>
    <t>10/1094</t>
  </si>
  <si>
    <t>Караушу Іванна Михайлівна</t>
  </si>
  <si>
    <t>10/0957</t>
  </si>
  <si>
    <t>Копчук Ольга Юріївна</t>
  </si>
  <si>
    <t>10/0415</t>
  </si>
  <si>
    <t>Костенюк Любов Григорівна</t>
  </si>
  <si>
    <t>10/0775</t>
  </si>
  <si>
    <t>Кузик Наталія Степанівна</t>
  </si>
  <si>
    <t>10/1460</t>
  </si>
  <si>
    <t>Лупу Родіка Михайлівна</t>
  </si>
  <si>
    <t>10/1016</t>
  </si>
  <si>
    <t>Матущак Сергій Олександрович</t>
  </si>
  <si>
    <t>10/0420</t>
  </si>
  <si>
    <t>Мельничук Михайло Іванович</t>
  </si>
  <si>
    <t>10/0973</t>
  </si>
  <si>
    <t>Наріжняк  Віоріка  Миколаївна</t>
  </si>
  <si>
    <t>10/0071</t>
  </si>
  <si>
    <t>Никифорюк Ігор Васильович</t>
  </si>
  <si>
    <t>10/0981</t>
  </si>
  <si>
    <t>Огільчин Владислав Миколайович</t>
  </si>
  <si>
    <t>10/0960</t>
  </si>
  <si>
    <t>Павлюк  Володимир  Степанович</t>
  </si>
  <si>
    <t>10/0072</t>
  </si>
  <si>
    <t>Паладій Вячеслав Михайлович</t>
  </si>
  <si>
    <t>10/1271</t>
  </si>
  <si>
    <t>Пентюк Наталія Миколіївна</t>
  </si>
  <si>
    <t>10/0832</t>
  </si>
  <si>
    <t>Петропавловська Ольга Вікторівна</t>
  </si>
  <si>
    <t>10/0480</t>
  </si>
  <si>
    <t>Понич Олег Сільвестрович</t>
  </si>
  <si>
    <t>10/1396</t>
  </si>
  <si>
    <t>Прікоп Лівія Миколаївна</t>
  </si>
  <si>
    <t>10/0919</t>
  </si>
  <si>
    <t>Ротар Микола Михайлович</t>
  </si>
  <si>
    <t>10/0968</t>
  </si>
  <si>
    <t>Савчук Вячеслав Петрович</t>
  </si>
  <si>
    <t>10/1473</t>
  </si>
  <si>
    <t>Стойка  Ірина  Петрівна</t>
  </si>
  <si>
    <t>10/0106</t>
  </si>
  <si>
    <t>Стоян Стела Октавівна</t>
  </si>
  <si>
    <t>10/0448</t>
  </si>
  <si>
    <t>Терлецька Марія Георгіївна</t>
  </si>
  <si>
    <t>10/1423</t>
  </si>
  <si>
    <t>Тимофті Маріана Михайлівна</t>
  </si>
  <si>
    <t>10/1454</t>
  </si>
  <si>
    <t>Тимофті Харламп Петрович</t>
  </si>
  <si>
    <t>10/1457</t>
  </si>
  <si>
    <t>Тутунару Ігор Петрович</t>
  </si>
  <si>
    <t>10/1227</t>
  </si>
  <si>
    <t>Чайка Ірина Сергіївна</t>
  </si>
  <si>
    <t>10/1102</t>
  </si>
  <si>
    <t>Чокобок Костянтин Іванович</t>
  </si>
  <si>
    <t>10/0469</t>
  </si>
  <si>
    <t>Яненко Сергій Сергійович</t>
  </si>
  <si>
    <t>10/0977</t>
  </si>
  <si>
    <t>Аміхалакіоає Алла Броніславівна</t>
  </si>
  <si>
    <t>10/0310</t>
  </si>
  <si>
    <t>32</t>
  </si>
  <si>
    <t>Андронік Іонел Михайлович</t>
  </si>
  <si>
    <t>10/0188</t>
  </si>
  <si>
    <t>Андронік Юлія Іонелівна</t>
  </si>
  <si>
    <t>00/1177</t>
  </si>
  <si>
    <t>Бадюк Анна Сергіївна</t>
  </si>
  <si>
    <t>10/0989</t>
  </si>
  <si>
    <t>Букан Володимир Валерійович</t>
  </si>
  <si>
    <t>10/0206</t>
  </si>
  <si>
    <t>Веклич Тетяна Миколаївна</t>
  </si>
  <si>
    <t>10/1261</t>
  </si>
  <si>
    <t>Гаврилюк Марина Дмитрівна</t>
  </si>
  <si>
    <t>10/1231</t>
  </si>
  <si>
    <t>Горлачук Олег Анатолійович</t>
  </si>
  <si>
    <t>10/0158</t>
  </si>
  <si>
    <t>Григоряк  Ганна  Михайлівна</t>
  </si>
  <si>
    <t>10/0088</t>
  </si>
  <si>
    <t>Грищук Ігор Петрович</t>
  </si>
  <si>
    <t>10/1589</t>
  </si>
  <si>
    <t>Долженкова  Наталія  Романівна</t>
  </si>
  <si>
    <t>10/0082</t>
  </si>
  <si>
    <t>Дуліна Світлана Олексіївна</t>
  </si>
  <si>
    <t>10/1088</t>
  </si>
  <si>
    <t>Єнакакі Георгій Іванович</t>
  </si>
  <si>
    <t>10/0187</t>
  </si>
  <si>
    <t>Житар Павло Васильович</t>
  </si>
  <si>
    <t>10/0262</t>
  </si>
  <si>
    <t>Заболотнюк  Олег  Олегович</t>
  </si>
  <si>
    <t>10/0107</t>
  </si>
  <si>
    <t>Заїць Ольга Михайлівна</t>
  </si>
  <si>
    <t>10/0647</t>
  </si>
  <si>
    <t>Заплітний Сергій Васильович</t>
  </si>
  <si>
    <t>10/0231</t>
  </si>
  <si>
    <t>Зегря Галина Іванівна</t>
  </si>
  <si>
    <t>10/1034</t>
  </si>
  <si>
    <t>Іонел Андрій Андрійович</t>
  </si>
  <si>
    <t>10/0616</t>
  </si>
  <si>
    <t>Іонел Олена Михайлівна</t>
  </si>
  <si>
    <t>10/1461</t>
  </si>
  <si>
    <t>Карп Марина Миколаївна</t>
  </si>
  <si>
    <t>10/0638</t>
  </si>
  <si>
    <t>Коблова Ніна Вікторівна</t>
  </si>
  <si>
    <t>10/0564</t>
  </si>
  <si>
    <t>Ковальчук Василь Георгійович</t>
  </si>
  <si>
    <t>10/0549</t>
  </si>
  <si>
    <t>Козубовська Ганна Іванівна</t>
  </si>
  <si>
    <t>10/1244</t>
  </si>
  <si>
    <t>Красовський Ярослав Казимірович</t>
  </si>
  <si>
    <t>10/1238</t>
  </si>
  <si>
    <t>Кривошеєва Ольга Олександрівна</t>
  </si>
  <si>
    <t>10/0815</t>
  </si>
  <si>
    <t>Курелару Альона Костянтинівна</t>
  </si>
  <si>
    <t>10/1288</t>
  </si>
  <si>
    <t>Кучурян Світлана Аркадіївна</t>
  </si>
  <si>
    <t>10/0313</t>
  </si>
  <si>
    <t>Лапушнян  Станіслав  Михайлович</t>
  </si>
  <si>
    <t>10/0110</t>
  </si>
  <si>
    <t>Пантя Валентин Миколайович</t>
  </si>
  <si>
    <t>10/1039</t>
  </si>
  <si>
    <t>Пепеля Марина Костянтинівна</t>
  </si>
  <si>
    <t>10/1031</t>
  </si>
  <si>
    <t>Пілат Марина Василівна</t>
  </si>
  <si>
    <t>10/1541</t>
  </si>
  <si>
    <t>Рошко Інна Петрівна</t>
  </si>
  <si>
    <t>10/0254</t>
  </si>
  <si>
    <t>Рошко  Віталій Семенович</t>
  </si>
  <si>
    <t>10/0301</t>
  </si>
  <si>
    <t>Руснак Іван Ілліч</t>
  </si>
  <si>
    <t>10/0994</t>
  </si>
  <si>
    <t>Сіміон Нуца Михайлівна</t>
  </si>
  <si>
    <t>10/0662</t>
  </si>
  <si>
    <t>Слушна  Наталія  Іванівна</t>
  </si>
  <si>
    <t>10/0091</t>
  </si>
  <si>
    <t>Сумарюк Олександр Олексійович</t>
  </si>
  <si>
    <t>10/1041</t>
  </si>
  <si>
    <t>Танасійчук Микола Ярославович</t>
  </si>
  <si>
    <t>10/1256</t>
  </si>
  <si>
    <t>Федорюк Домніка Петрівна</t>
  </si>
  <si>
    <t>10/0751</t>
  </si>
  <si>
    <t>Ходаковська Катерина Василівна</t>
  </si>
  <si>
    <t>10/0778</t>
  </si>
  <si>
    <t>Шеленко Орися Миколаївна</t>
  </si>
  <si>
    <t>10/1445</t>
  </si>
  <si>
    <t>Юркевич Іван Ілліч</t>
  </si>
  <si>
    <t>10/0966</t>
  </si>
  <si>
    <t>Амаранді Надія Георгіївна</t>
  </si>
  <si>
    <t>10/0970</t>
  </si>
  <si>
    <t>33</t>
  </si>
  <si>
    <t>Амброзевич Анатолій Валентивич</t>
  </si>
  <si>
    <t>10/0499</t>
  </si>
  <si>
    <t>Андрусяк Наталія Вікторівна</t>
  </si>
  <si>
    <t>10/0974</t>
  </si>
  <si>
    <t>Андрусяк Ольга Василівна</t>
  </si>
  <si>
    <t>10/0923</t>
  </si>
  <si>
    <t>Анкуца Анастасія Іванівна</t>
  </si>
  <si>
    <t>10/0954</t>
  </si>
  <si>
    <t>Баламутовська Аліна Володимирівна</t>
  </si>
  <si>
    <t>10/0809</t>
  </si>
  <si>
    <t>Борзенков Юрій Вячеславович</t>
  </si>
  <si>
    <t>10/0845</t>
  </si>
  <si>
    <t>Ботлунг Марта Тоадерівна</t>
  </si>
  <si>
    <t>10/0953</t>
  </si>
  <si>
    <t>Бурденюк Оксана Ярославівна</t>
  </si>
  <si>
    <t>10/1026</t>
  </si>
  <si>
    <t>Великголова Ніна Василівна</t>
  </si>
  <si>
    <t>10/0967</t>
  </si>
  <si>
    <t>Вишневська  Людмила  Степанівна</t>
  </si>
  <si>
    <t>10/0015</t>
  </si>
  <si>
    <t>Гураль Олекасандр Васильович</t>
  </si>
  <si>
    <t>10/0470</t>
  </si>
  <si>
    <t>Друцул Іван Романович</t>
  </si>
  <si>
    <t>10/1153</t>
  </si>
  <si>
    <t>Зеленько Петро Тодорович</t>
  </si>
  <si>
    <t>10/0789</t>
  </si>
  <si>
    <t>Іванчук Олена Іллівна</t>
  </si>
  <si>
    <t>10/0168</t>
  </si>
  <si>
    <t>Кавуля Галина Іллівна</t>
  </si>
  <si>
    <t>10/0747</t>
  </si>
  <si>
    <t>Каралаш Марина Анатоліївна</t>
  </si>
  <si>
    <t>10/0812</t>
  </si>
  <si>
    <t>Карпюк Денис Денисович</t>
  </si>
  <si>
    <t>10/1154</t>
  </si>
  <si>
    <t>Кац Надія Іванівна</t>
  </si>
  <si>
    <t>10/0461</t>
  </si>
  <si>
    <t>Кейван Роман Олексійович</t>
  </si>
  <si>
    <t>10/1005</t>
  </si>
  <si>
    <t>Кейван Ростислав Олексійович</t>
  </si>
  <si>
    <t>10/1004</t>
  </si>
  <si>
    <t>Клічук Оксана Дмитрівна</t>
  </si>
  <si>
    <t>10/1427</t>
  </si>
  <si>
    <t>Клічук Валерій Дмитрович</t>
  </si>
  <si>
    <t>10/1456</t>
  </si>
  <si>
    <t>Лукавська Оксана Станіславівна</t>
  </si>
  <si>
    <t>10/1061</t>
  </si>
  <si>
    <t>Лунгуляк Марія Флоріївна</t>
  </si>
  <si>
    <t>10/0306</t>
  </si>
  <si>
    <t>Лупу Микола Миколайович</t>
  </si>
  <si>
    <t>10/0971</t>
  </si>
  <si>
    <t>Манюк Людмила Валентинівна</t>
  </si>
  <si>
    <t>10/0553</t>
  </si>
  <si>
    <t>Манюк Мирослав Іванович</t>
  </si>
  <si>
    <t>10/0500</t>
  </si>
  <si>
    <t>Матущак  Галина  Дмитрівна</t>
  </si>
  <si>
    <t>10/0059</t>
  </si>
  <si>
    <t>Мацкуляк Павлина Василівна</t>
  </si>
  <si>
    <t>10/0135</t>
  </si>
  <si>
    <t>Мойсюк Людмила Петрівна</t>
  </si>
  <si>
    <t>10/1299</t>
  </si>
  <si>
    <t>Нікітін Вячеслав Веспазіянович</t>
  </si>
  <si>
    <t>10/1404</t>
  </si>
  <si>
    <t>Нікітіна Вероніка Костянтинівна</t>
  </si>
  <si>
    <t>10/0959</t>
  </si>
  <si>
    <t>Петращук Світлана Іванівна</t>
  </si>
  <si>
    <t>10/0305</t>
  </si>
  <si>
    <t>Петрушка Надія Іванівна</t>
  </si>
  <si>
    <t>10/0193</t>
  </si>
  <si>
    <t>Погореловський Віктор Іванович</t>
  </si>
  <si>
    <t>10/0195</t>
  </si>
  <si>
    <t>Попович Марина Григорівна</t>
  </si>
  <si>
    <t>10/0770</t>
  </si>
  <si>
    <t>Почтар  Наталія  Василівна</t>
  </si>
  <si>
    <t>10/0064</t>
  </si>
  <si>
    <t>Софроня Валерій Вікторович</t>
  </si>
  <si>
    <t>10/0958</t>
  </si>
  <si>
    <t>Стецюк Роман Андрійович</t>
  </si>
  <si>
    <t>10/0679</t>
  </si>
  <si>
    <t>Тудос Василь Георгійович</t>
  </si>
  <si>
    <t>10/0965</t>
  </si>
  <si>
    <t>Цепенюк Віктор Васильвич</t>
  </si>
  <si>
    <t>10/0471</t>
  </si>
  <si>
    <t>Цепенюк Ярослав Васильович</t>
  </si>
  <si>
    <t>10/0482</t>
  </si>
  <si>
    <t>Шарайчук Андрій Олександрович</t>
  </si>
  <si>
    <t>10/1458</t>
  </si>
  <si>
    <t>Шологон Борис Іванович</t>
  </si>
  <si>
    <t>10/0785</t>
  </si>
  <si>
    <t>Юга Наталія Василівна</t>
  </si>
  <si>
    <t>10/0161</t>
  </si>
  <si>
    <t>Воронова  Світлана  Іллівна</t>
  </si>
  <si>
    <t>10/0016</t>
  </si>
  <si>
    <t xml:space="preserve"> 40 реворк</t>
  </si>
  <si>
    <t>Гайдук Євгеній Юрійович</t>
  </si>
  <si>
    <t>10/0661</t>
  </si>
  <si>
    <t>Гула Олександр Миколайович</t>
  </si>
  <si>
    <t>10/1340</t>
  </si>
  <si>
    <t>Кіцак Олександр Володимирович</t>
  </si>
  <si>
    <t>10/1107</t>
  </si>
  <si>
    <t>Одинська Наталя Василівна</t>
  </si>
  <si>
    <t>10/1339</t>
  </si>
  <si>
    <t>Прескурі Валентин Костянтинович</t>
  </si>
  <si>
    <t>10/0624</t>
  </si>
  <si>
    <t>Савіна Тетяна Миколаївна</t>
  </si>
  <si>
    <t>10/1068</t>
  </si>
  <si>
    <t>Салієв Леонід Борисович</t>
  </si>
  <si>
    <t>10/1251</t>
  </si>
  <si>
    <t>Утченко Марина Дмитрівна</t>
  </si>
  <si>
    <t>10/1080</t>
  </si>
  <si>
    <t>Хоменко Тетяна Юріївна</t>
  </si>
  <si>
    <t>10/0896</t>
  </si>
  <si>
    <t>Бойчук  Юрій Юрійович</t>
  </si>
  <si>
    <t>10/1430</t>
  </si>
  <si>
    <t>40</t>
  </si>
  <si>
    <t>Гундерчук Олег Володимирович</t>
  </si>
  <si>
    <t>10/1426</t>
  </si>
  <si>
    <t>Наговічко Олександр Дмитрович</t>
  </si>
  <si>
    <t>10/1410</t>
  </si>
  <si>
    <t>Волощук Тетяна Іллівна</t>
  </si>
  <si>
    <t>10/0166</t>
  </si>
  <si>
    <t>41</t>
  </si>
  <si>
    <t>Ганчарук Олександр Миколайович</t>
  </si>
  <si>
    <t>10/0045</t>
  </si>
  <si>
    <t>Гашпан Лариса Іванівна</t>
  </si>
  <si>
    <t>10/0709</t>
  </si>
  <si>
    <t>Григореску Михайло Валентивич</t>
  </si>
  <si>
    <t>00/1050</t>
  </si>
  <si>
    <t>Данчіло Сільвія Аурелівна</t>
  </si>
  <si>
    <t>10/0264</t>
  </si>
  <si>
    <t>Константин Іван Гергійович</t>
  </si>
  <si>
    <t>10/0399</t>
  </si>
  <si>
    <t>Кучурян Марта Іллівна</t>
  </si>
  <si>
    <t>10/0328</t>
  </si>
  <si>
    <t>Леонтій Світлана Іванівна</t>
  </si>
  <si>
    <t>10/0706</t>
  </si>
  <si>
    <t>Лисий  Віталій  Михайлович</t>
  </si>
  <si>
    <t>10/0056</t>
  </si>
  <si>
    <t>Литвинюк Маріанна Володимірівна</t>
  </si>
  <si>
    <t>10/0320</t>
  </si>
  <si>
    <t>Лозінський  Олег  Анатолійович</t>
  </si>
  <si>
    <t>10/0046</t>
  </si>
  <si>
    <t>Лупу Василь Васильович</t>
  </si>
  <si>
    <t>10/0144</t>
  </si>
  <si>
    <t>Мар'янчук Валентина Миколаївна</t>
  </si>
  <si>
    <t>10/0278</t>
  </si>
  <si>
    <t>Медведь Діана Дмитрівна</t>
  </si>
  <si>
    <t>10/0525</t>
  </si>
  <si>
    <t>Мелевський Михайло Вікторович</t>
  </si>
  <si>
    <t>10/0234</t>
  </si>
  <si>
    <t>Москалу Іван Костянтинович</t>
  </si>
  <si>
    <t>10/0257</t>
  </si>
  <si>
    <t>Панасюк Оксана Михайлівна</t>
  </si>
  <si>
    <t>10/0281</t>
  </si>
  <si>
    <t>Паскал Віталій Харлампович</t>
  </si>
  <si>
    <t>10/1166</t>
  </si>
  <si>
    <t>Псяровська  Лариса  Олексіївна</t>
  </si>
  <si>
    <t>10/0090</t>
  </si>
  <si>
    <t>Сафронюк  Ірина  Львівна</t>
  </si>
  <si>
    <t>10/0026</t>
  </si>
  <si>
    <t>Смеречинська Даніела Георгіївна</t>
  </si>
  <si>
    <t>10/1542</t>
  </si>
  <si>
    <t>Сопрович Олена Михайлівна</t>
  </si>
  <si>
    <t>10/0286</t>
  </si>
  <si>
    <t>Спатару Тетяна Валентинівна</t>
  </si>
  <si>
    <t>10/1204</t>
  </si>
  <si>
    <t>Тинку Сорін Іванович</t>
  </si>
  <si>
    <t>10/0145</t>
  </si>
  <si>
    <t>Хангу Максим Ілліч</t>
  </si>
  <si>
    <t>10/0484</t>
  </si>
  <si>
    <t>Хангу Іван Ілліч</t>
  </si>
  <si>
    <t>10/0999</t>
  </si>
  <si>
    <t>Чобан Тимур Васильович</t>
  </si>
  <si>
    <t>10/0849</t>
  </si>
  <si>
    <t>Юріїв Василь Ігорович</t>
  </si>
  <si>
    <t>10/0266</t>
  </si>
  <si>
    <t>Бадюк Оксана Володимірівна</t>
  </si>
  <si>
    <t>10/0323</t>
  </si>
  <si>
    <t>42</t>
  </si>
  <si>
    <t>Безкровний Костянтин Григорович</t>
  </si>
  <si>
    <t>10/0124</t>
  </si>
  <si>
    <t>Білоус Микола Миколайович</t>
  </si>
  <si>
    <t>10/0533</t>
  </si>
  <si>
    <t>Бужніца Інна Іванівна</t>
  </si>
  <si>
    <t>10/1196</t>
  </si>
  <si>
    <t>Варнавська  Наталія  Михайлівна</t>
  </si>
  <si>
    <t>10/0041</t>
  </si>
  <si>
    <t>Дударчук Олександр Володимирович</t>
  </si>
  <si>
    <t>10/0126</t>
  </si>
  <si>
    <t>Дударчук Лариса Іванівна</t>
  </si>
  <si>
    <t>10/0561</t>
  </si>
  <si>
    <t>Задорожний Олександр Сергійович</t>
  </si>
  <si>
    <t>10/0152</t>
  </si>
  <si>
    <t xml:space="preserve"> </t>
  </si>
  <si>
    <t>Задорожний Михайло Сергійович</t>
  </si>
  <si>
    <t>10/0151</t>
  </si>
  <si>
    <t>Заплітний Віталій Вікторович</t>
  </si>
  <si>
    <t>10/0358</t>
  </si>
  <si>
    <t>Клеба Наталія Валентинівна</t>
  </si>
  <si>
    <t>10/0404</t>
  </si>
  <si>
    <t>Кондра Віталій Вікторович</t>
  </si>
  <si>
    <t>10/1545</t>
  </si>
  <si>
    <t>Ліщинська Людмила Борисівна</t>
  </si>
  <si>
    <t>10/0514</t>
  </si>
  <si>
    <t>Мазур Тетяна Валеріївна</t>
  </si>
  <si>
    <t>10/1273</t>
  </si>
  <si>
    <t>Малик  Юрій Дмитрович</t>
  </si>
  <si>
    <t>10/1573</t>
  </si>
  <si>
    <t xml:space="preserve">Миронець Надія Іванівна </t>
  </si>
  <si>
    <t>10/0115</t>
  </si>
  <si>
    <t>Молдован Віктор Федорович</t>
  </si>
  <si>
    <t>10/0196</t>
  </si>
  <si>
    <t>Мороз Алексій Дмитрович</t>
  </si>
  <si>
    <t>10/0198</t>
  </si>
  <si>
    <t>Попович Мар'яна Вікторівна</t>
  </si>
  <si>
    <t>10/0242</t>
  </si>
  <si>
    <t>Руссу Ірина Михайлівна</t>
  </si>
  <si>
    <t>10/0467</t>
  </si>
  <si>
    <t>Саінчук  Оксана  Миколаївна</t>
  </si>
  <si>
    <t>10/0040</t>
  </si>
  <si>
    <t>Себастьян Віталій Миколайович</t>
  </si>
  <si>
    <t>10/0976</t>
  </si>
  <si>
    <t>Середюк Віктор Вікторович</t>
  </si>
  <si>
    <t>10/0465</t>
  </si>
  <si>
    <t>Скакун Володимир Васильович</t>
  </si>
  <si>
    <t>10/0129</t>
  </si>
  <si>
    <t>Толмач Світліна Іванівна</t>
  </si>
  <si>
    <t>10/0117</t>
  </si>
  <si>
    <t>Трачук Наталія Миколаївна</t>
  </si>
  <si>
    <t>10/0123</t>
  </si>
  <si>
    <t>Тритяк Інна Василівна</t>
  </si>
  <si>
    <t>10/0218</t>
  </si>
  <si>
    <t>Чебан Іван Васильович</t>
  </si>
  <si>
    <t>10/0179</t>
  </si>
  <si>
    <t>Андрієш  Лариса Георгівна</t>
  </si>
  <si>
    <t>10/0141</t>
  </si>
  <si>
    <t>43</t>
  </si>
  <si>
    <t>Бельцик Олена Василівна</t>
  </si>
  <si>
    <t>10/0222</t>
  </si>
  <si>
    <t>Білоус Максим Анатолійович</t>
  </si>
  <si>
    <t>10/1527</t>
  </si>
  <si>
    <t>Бурлака  Олена  Михайлівна</t>
  </si>
  <si>
    <t>10/0019</t>
  </si>
  <si>
    <t>Гуцол Вікторія Олексіївна</t>
  </si>
  <si>
    <t>10/0541</t>
  </si>
  <si>
    <t>Дан Анжела Василівна</t>
  </si>
  <si>
    <t>10/1465</t>
  </si>
  <si>
    <t>Дан Юрій Юрійович</t>
  </si>
  <si>
    <t>10/1491</t>
  </si>
  <si>
    <t>Загарук Іван Васильович</t>
  </si>
  <si>
    <t>10/0382</t>
  </si>
  <si>
    <t>Загика Володимир Володимирович</t>
  </si>
  <si>
    <t>10/0260</t>
  </si>
  <si>
    <t>Кітлер Іван Тарасович</t>
  </si>
  <si>
    <t>10/0205</t>
  </si>
  <si>
    <t>Костакі Маріанна Михайлівна</t>
  </si>
  <si>
    <t>10/0176</t>
  </si>
  <si>
    <t>Кушульська Лідія Віссаріонівна</t>
  </si>
  <si>
    <t>10/0237</t>
  </si>
  <si>
    <t>Миндреску Михайло Михайлович</t>
  </si>
  <si>
    <t>10/1440</t>
  </si>
  <si>
    <t>Морарь  Юрій  Георгійович</t>
  </si>
  <si>
    <t>10/0108</t>
  </si>
  <si>
    <t>Ницюк Валентина Василівна</t>
  </si>
  <si>
    <t>10/0138</t>
  </si>
  <si>
    <t>Прекоб Христина Валеріївна</t>
  </si>
  <si>
    <t>10/1449</t>
  </si>
  <si>
    <t>Рачинська Тетяна Василівна</t>
  </si>
  <si>
    <t>10/1435</t>
  </si>
  <si>
    <t>Рачинський Анатолій Вікторович</t>
  </si>
  <si>
    <t>10/0199</t>
  </si>
  <si>
    <t>Русу Андрій Михайлович</t>
  </si>
  <si>
    <t>10/0223</t>
  </si>
  <si>
    <t>Штефан Тетяна Олександрівна</t>
  </si>
  <si>
    <t>10/0535</t>
  </si>
  <si>
    <t>Анкуца Костянтин Костянтинович</t>
  </si>
  <si>
    <t>10/1019</t>
  </si>
  <si>
    <t>44</t>
  </si>
  <si>
    <t>Бакалюк Ірина Володимирівна</t>
  </si>
  <si>
    <t>10/0405</t>
  </si>
  <si>
    <t>Беспалько Віктор Вікторович</t>
  </si>
  <si>
    <t>10/0998</t>
  </si>
  <si>
    <t>Боштега Яна Василівна</t>
  </si>
  <si>
    <t>10/0597</t>
  </si>
  <si>
    <t>Будзар Інна Андріївна</t>
  </si>
  <si>
    <t>10/0555</t>
  </si>
  <si>
    <t>Будзар Аліна Андріївна</t>
  </si>
  <si>
    <t>10/0413</t>
  </si>
  <si>
    <t>Витрикуш Олександр Володимирович</t>
  </si>
  <si>
    <t>10/1543</t>
  </si>
  <si>
    <t>Волощук Ольга Григорівна</t>
  </si>
  <si>
    <t>10/0683</t>
  </si>
  <si>
    <t>Гончар Крістіна В'ячеславівна</t>
  </si>
  <si>
    <t>10/1226</t>
  </si>
  <si>
    <t>Горбатенко Вадим Вікторович</t>
  </si>
  <si>
    <t>10/0474</t>
  </si>
  <si>
    <t>Заїць Валерій Філаретович</t>
  </si>
  <si>
    <t>10/0551</t>
  </si>
  <si>
    <t>Заїць Андрій Валерійович</t>
  </si>
  <si>
    <t>10/0594</t>
  </si>
  <si>
    <t>Запотічний Роман Орестович</t>
  </si>
  <si>
    <t>10/0332</t>
  </si>
  <si>
    <t>Іонел Лариса Гергіївна</t>
  </si>
  <si>
    <t>10/0367</t>
  </si>
  <si>
    <t>Карабуш Віоріка Федорівна</t>
  </si>
  <si>
    <t>10/1009</t>
  </si>
  <si>
    <t>Кістол Олена Георгівна</t>
  </si>
  <si>
    <t>10/0552</t>
  </si>
  <si>
    <t>Коцюруба Роман  Іванович</t>
  </si>
  <si>
    <t>10/1555</t>
  </si>
  <si>
    <t>Кузьмічова Марина Іванівна</t>
  </si>
  <si>
    <t>10/0157</t>
  </si>
  <si>
    <t>Малофій Сергій Рудольфович</t>
  </si>
  <si>
    <t>10/0537</t>
  </si>
  <si>
    <t>Незвещук Антон Олександрович</t>
  </si>
  <si>
    <t>10/0406</t>
  </si>
  <si>
    <t>Рябова Леся Ярославівна</t>
  </si>
  <si>
    <t>10/0441</t>
  </si>
  <si>
    <t>Санніков Олег Петрович</t>
  </si>
  <si>
    <t>10/0581</t>
  </si>
  <si>
    <t>Тірон Людмила Василівна</t>
  </si>
  <si>
    <t>10/0531</t>
  </si>
  <si>
    <t>Флореску Наталія Олександрівна</t>
  </si>
  <si>
    <t>10/0414</t>
  </si>
  <si>
    <t>Цимбалюк Альона Володимирівна</t>
  </si>
  <si>
    <t>10/0797</t>
  </si>
  <si>
    <t>Чебан Маріана Констянтинівна</t>
  </si>
  <si>
    <t>10/0365</t>
  </si>
  <si>
    <t>Шевчук Наталія Валентинівна</t>
  </si>
  <si>
    <t>10/0302</t>
  </si>
  <si>
    <t>Біла Роза Дмитрівна</t>
  </si>
  <si>
    <t>10/1568</t>
  </si>
  <si>
    <t>45</t>
  </si>
  <si>
    <t>Бутнару Марина Валентинівна</t>
  </si>
  <si>
    <t>10/0194</t>
  </si>
  <si>
    <t>Вікован Анна Миколаївна</t>
  </si>
  <si>
    <t>10/1133</t>
  </si>
  <si>
    <t>Гаврилюк Юлія Анатоліївна</t>
  </si>
  <si>
    <t>10/0387</t>
  </si>
  <si>
    <t>Гуцул Сніжана Василівна</t>
  </si>
  <si>
    <t>10/0293</t>
  </si>
  <si>
    <t>Дячук Ігор Петрович</t>
  </si>
  <si>
    <t>10/0185</t>
  </si>
  <si>
    <t>Ісанчук Олександр Петрович</t>
  </si>
  <si>
    <t>10/0472</t>
  </si>
  <si>
    <t>Карпляк Андрій Васильович</t>
  </si>
  <si>
    <t>10/1569</t>
  </si>
  <si>
    <t>Кожуленко Андрій Миколайович</t>
  </si>
  <si>
    <t>10/0848</t>
  </si>
  <si>
    <t>Коташ Василь Васильович</t>
  </si>
  <si>
    <t>10/1347</t>
  </si>
  <si>
    <t>Лакуста Олександр Васильович</t>
  </si>
  <si>
    <t>10/1007</t>
  </si>
  <si>
    <t>Мацьопа Юрій Іванович</t>
  </si>
  <si>
    <t>10/0419</t>
  </si>
  <si>
    <t>Моток Любов Василівна</t>
  </si>
  <si>
    <t>10/1504</t>
  </si>
  <si>
    <t>Надурак Анатолій Дмитрович</t>
  </si>
  <si>
    <t>10/0261</t>
  </si>
  <si>
    <t>Паладійчук Сергій Романович</t>
  </si>
  <si>
    <t>10/0292</t>
  </si>
  <si>
    <t>Петрушка Анатолій  Григорович</t>
  </si>
  <si>
    <t>10/0244</t>
  </si>
  <si>
    <t>Попович Іван Васильович</t>
  </si>
  <si>
    <t>10/0131</t>
  </si>
  <si>
    <t>Процюк Ганна Володимирівна</t>
  </si>
  <si>
    <t>10/0475</t>
  </si>
  <si>
    <t>Радомський Віталій Васильович</t>
  </si>
  <si>
    <t>10/1025</t>
  </si>
  <si>
    <t>Смолінські Дойна Константинівна</t>
  </si>
  <si>
    <t>10/1345</t>
  </si>
  <si>
    <t>Ткачук Уляна Дмитрівна</t>
  </si>
  <si>
    <t>10/0473</t>
  </si>
  <si>
    <t>Харина Тетяна Іванівна</t>
  </si>
  <si>
    <t>10/1517</t>
  </si>
  <si>
    <t>Цибуляк Іван Васильович</t>
  </si>
  <si>
    <t>10/1496</t>
  </si>
  <si>
    <t>Чорней В'ячеслав  Васильович</t>
  </si>
  <si>
    <t>10/0035</t>
  </si>
  <si>
    <t>Чорненька Наталія Павлівна</t>
  </si>
  <si>
    <t>10/0150</t>
  </si>
  <si>
    <t>Шлей Вячеслав Васильович</t>
  </si>
  <si>
    <t>10/0271</t>
  </si>
  <si>
    <t>Александру Тетяна Володимирівна</t>
  </si>
  <si>
    <t>10/0985</t>
  </si>
  <si>
    <t>46</t>
  </si>
  <si>
    <t>Александру Вержіна Миколаївна</t>
  </si>
  <si>
    <t>10/1015</t>
  </si>
  <si>
    <t>Баланюк Олена Михайлівна</t>
  </si>
  <si>
    <t>10/1183</t>
  </si>
  <si>
    <t>Вишинська  Лариса  Володимирівна</t>
  </si>
  <si>
    <t>10/0113</t>
  </si>
  <si>
    <t>Гафу Діана Дмитрівна</t>
  </si>
  <si>
    <t>10/0280</t>
  </si>
  <si>
    <t>Гуцул Надія Василівна</t>
  </si>
  <si>
    <t>10/0710</t>
  </si>
  <si>
    <t>Гуцул Алла Михайлівна</t>
  </si>
  <si>
    <t>10/0707</t>
  </si>
  <si>
    <t>Данчу  Віра  Іванівна</t>
  </si>
  <si>
    <t>10/0127</t>
  </si>
  <si>
    <t>Дребіт Оксана Миронівна</t>
  </si>
  <si>
    <t>10/0818</t>
  </si>
  <si>
    <t>Дульгер Юлія Іванівна</t>
  </si>
  <si>
    <t>10/0708</t>
  </si>
  <si>
    <t>Дульгер Степан Григорович</t>
  </si>
  <si>
    <t>00/1096</t>
  </si>
  <si>
    <t>Ілащук Сергій Васильович</t>
  </si>
  <si>
    <t>10/0507</t>
  </si>
  <si>
    <t>Каламанчук Віолета Дмитрівна</t>
  </si>
  <si>
    <t>10/1006</t>
  </si>
  <si>
    <t>Косован Ігор Іванович</t>
  </si>
  <si>
    <t>10/0519</t>
  </si>
  <si>
    <t>Косован Антон Юрійович</t>
  </si>
  <si>
    <t>10/0695</t>
  </si>
  <si>
    <t>Мар'янчук Світлана Василівна</t>
  </si>
  <si>
    <t>10/1374</t>
  </si>
  <si>
    <t>Никифорчук Роман Валентинович</t>
  </si>
  <si>
    <t>10/0515</t>
  </si>
  <si>
    <t>7/3(4:00)</t>
  </si>
  <si>
    <t>Роїк Олена Юріївна</t>
  </si>
  <si>
    <t>10/1090</t>
  </si>
  <si>
    <t>Сандуляк Ілля Аурелович</t>
  </si>
  <si>
    <t>10/1337</t>
  </si>
  <si>
    <t>Урсуляк Анетта Іванівна</t>
  </si>
  <si>
    <t>10/0447</t>
  </si>
  <si>
    <t>Фарфуляк Тетяна Генадіївна</t>
  </si>
  <si>
    <t>10/0522</t>
  </si>
  <si>
    <t>Шершень Степанія Іванівна</t>
  </si>
  <si>
    <t>10/1184</t>
  </si>
  <si>
    <t>Штефуряк Тетяна Іванівна</t>
  </si>
  <si>
    <t>10/1079</t>
  </si>
  <si>
    <t>Анкуца Тодор Васильович</t>
  </si>
  <si>
    <t>10/0873</t>
  </si>
  <si>
    <t>47</t>
  </si>
  <si>
    <t>Антоняк Марія Віорелівна</t>
  </si>
  <si>
    <t>10/1537</t>
  </si>
  <si>
    <t>Баранович Віктор Сергійович</t>
  </si>
  <si>
    <t>10/1319</t>
  </si>
  <si>
    <t>Бідіний Іван Юрійович</t>
  </si>
  <si>
    <t>10/0548</t>
  </si>
  <si>
    <t>Васильєва Галина Наільївна</t>
  </si>
  <si>
    <t>10/0359</t>
  </si>
  <si>
    <t>Жовноватюк Олександр Анатолійович</t>
  </si>
  <si>
    <t>10/0483</t>
  </si>
  <si>
    <t>Звірід Михайло Гергійович</t>
  </si>
  <si>
    <t>10/0486</t>
  </si>
  <si>
    <t>Ілаш Олена Костянтинівна</t>
  </si>
  <si>
    <t>10/0506</t>
  </si>
  <si>
    <t>Іордакій Родіка Василівна</t>
  </si>
  <si>
    <t>10/0560</t>
  </si>
  <si>
    <t>Кіріяк Лілія Валентинівна</t>
  </si>
  <si>
    <t>10/0327</t>
  </si>
  <si>
    <t>Ковтун Ауріка Григорівна</t>
  </si>
  <si>
    <t>10/0368</t>
  </si>
  <si>
    <t>Кругліков Констянтин Вікторович</t>
  </si>
  <si>
    <t>10/1495</t>
  </si>
  <si>
    <t>Легнер Руслан Олександрович</t>
  </si>
  <si>
    <t>10/0798</t>
  </si>
  <si>
    <t>Леонтій Марія Іванівна</t>
  </si>
  <si>
    <t>10/0705</t>
  </si>
  <si>
    <t>Марку Петро Михайлович</t>
  </si>
  <si>
    <t>10/0495</t>
  </si>
  <si>
    <t>Мігаєсі Оделя Даріївна</t>
  </si>
  <si>
    <t>10/0792</t>
  </si>
  <si>
    <t>Пархоменко Марина Григорівна</t>
  </si>
  <si>
    <t>10/0360</t>
  </si>
  <si>
    <t>Прокопович Аспазія Іванівна</t>
  </si>
  <si>
    <t>10/0704</t>
  </si>
  <si>
    <t>Просолова Віра Іванівна</t>
  </si>
  <si>
    <t>10/0442</t>
  </si>
  <si>
    <t>Слівко Володимир Вікторович</t>
  </si>
  <si>
    <t>10/1084</t>
  </si>
  <si>
    <t>Слівко Світлана Танасіївна</t>
  </si>
  <si>
    <t>10/1177</t>
  </si>
  <si>
    <t>Тодерян Марічела Вікторівна</t>
  </si>
  <si>
    <t>10/0550</t>
  </si>
  <si>
    <t>Тодирка Мар'яна Іванівна</t>
  </si>
  <si>
    <t>10/0326</t>
  </si>
  <si>
    <t>Ходан Лілія Петрівна</t>
  </si>
  <si>
    <t>10/0952</t>
  </si>
  <si>
    <t>Хожинська Тетяна Олександрівна</t>
  </si>
  <si>
    <t>10/0389</t>
  </si>
  <si>
    <t>Хрестек В'ячеслав Миколайович</t>
  </si>
  <si>
    <t>10/0423</t>
  </si>
  <si>
    <t>Акірі  Олег  Георгійович</t>
  </si>
  <si>
    <t>10/0033</t>
  </si>
  <si>
    <t>49</t>
  </si>
  <si>
    <t>Бачинська Наталія Миколаївна</t>
  </si>
  <si>
    <t>10/0057</t>
  </si>
  <si>
    <t>Мартинюк  Михайло  Васильович</t>
  </si>
  <si>
    <t>10/0023</t>
  </si>
  <si>
    <t>Паладян  Віталій  Георгійович</t>
  </si>
  <si>
    <t>10/0109</t>
  </si>
  <si>
    <t>Білий Денис Сергійович</t>
  </si>
  <si>
    <t>10/0333</t>
  </si>
  <si>
    <t>50</t>
  </si>
  <si>
    <t>Білий Сергій Іванович</t>
  </si>
  <si>
    <t>10/0243</t>
  </si>
  <si>
    <t>Бондарюк Вячеслав Володимирович</t>
  </si>
  <si>
    <t>10/1236</t>
  </si>
  <si>
    <t>Герасимюк Сергій Тодосійович</t>
  </si>
  <si>
    <t>10/1242</t>
  </si>
  <si>
    <t>Докієна Людмила Іванівна</t>
  </si>
  <si>
    <t>10/0529</t>
  </si>
  <si>
    <t>Домановська Домніка Петрівна</t>
  </si>
  <si>
    <t>10/0776</t>
  </si>
  <si>
    <t>Дяволюк Роксана Олександрівна</t>
  </si>
  <si>
    <t>10/0717</t>
  </si>
  <si>
    <t>Заплітний Владислав Романович</t>
  </si>
  <si>
    <t>10/0837</t>
  </si>
  <si>
    <t>Камбур Юрій Олександрович</t>
  </si>
  <si>
    <t>10/1311</t>
  </si>
  <si>
    <t>Коровін Віталій Павлович</t>
  </si>
  <si>
    <t>10/1318</t>
  </si>
  <si>
    <t>Котюшко Катерина Георгіївна</t>
  </si>
  <si>
    <t>10/0534</t>
  </si>
  <si>
    <t>Кравчук Іван Іванович</t>
  </si>
  <si>
    <t>10/0453</t>
  </si>
  <si>
    <t>Лазарюк Альона Дмитрівна</t>
  </si>
  <si>
    <t>10/0444</t>
  </si>
  <si>
    <t>Левчук Наталія Дмитрівна</t>
  </si>
  <si>
    <t>10/1176</t>
  </si>
  <si>
    <t>Логош Ольга Вікторівна</t>
  </si>
  <si>
    <t>10/0452</t>
  </si>
  <si>
    <t>Меріхова Людмиила Леонідівна</t>
  </si>
  <si>
    <t>10/0430</t>
  </si>
  <si>
    <t>Мушак Андрій Володимирович</t>
  </si>
  <si>
    <t>10/1265</t>
  </si>
  <si>
    <t>Неврянська  Оксана Володимирівна</t>
  </si>
  <si>
    <t>10/0554</t>
  </si>
  <si>
    <t>Отрешко Тетяна Анатоліївна</t>
  </si>
  <si>
    <t>10/0724</t>
  </si>
  <si>
    <t>Палій Наталія Василівна</t>
  </si>
  <si>
    <t>10/0445</t>
  </si>
  <si>
    <t>Ротар Ілля Васильович</t>
  </si>
  <si>
    <t>10/0454</t>
  </si>
  <si>
    <t>Смирнова Діана Леонідівна</t>
  </si>
  <si>
    <t>10/1497</t>
  </si>
  <si>
    <t>Стрільчук Тетяна Дмитрівна</t>
  </si>
  <si>
    <t>10/0492</t>
  </si>
  <si>
    <t>Чайковська Юлія Вікторівна</t>
  </si>
  <si>
    <t>10/1051</t>
  </si>
  <si>
    <t>Череватова Альона Михайлівна</t>
  </si>
  <si>
    <t>10/0838</t>
  </si>
  <si>
    <t>Шестобанський Валерій Петрович</t>
  </si>
  <si>
    <t>10/0577</t>
  </si>
  <si>
    <t>Бойчук Валентина Анатоліївна</t>
  </si>
  <si>
    <t>10/1515</t>
  </si>
  <si>
    <t>51</t>
  </si>
  <si>
    <t>Гаврилюк Лідія Карлівна</t>
  </si>
  <si>
    <t>10/0592</t>
  </si>
  <si>
    <t>Гаврилюк Артур Анатолійович</t>
  </si>
  <si>
    <t>10/0780</t>
  </si>
  <si>
    <t>Горелюк Людмила Василівна</t>
  </si>
  <si>
    <t>10/0571</t>
  </si>
  <si>
    <t>Грабовецький Ярослав Ярославович</t>
  </si>
  <si>
    <t>10/0948</t>
  </si>
  <si>
    <t>Дячук Віта Вікторівна</t>
  </si>
  <si>
    <t>10/0569</t>
  </si>
  <si>
    <t>Кирилюк Людмила Петрівна</t>
  </si>
  <si>
    <t>10/1514</t>
  </si>
  <si>
    <t>Короткошейко Микола Олександрович</t>
  </si>
  <si>
    <t>10/0562</t>
  </si>
  <si>
    <t>Криклива Анастасія Михайлівна</t>
  </si>
  <si>
    <t>10/1407</t>
  </si>
  <si>
    <t>Лекар Наталія Василівна</t>
  </si>
  <si>
    <t>10/1406</t>
  </si>
  <si>
    <t>Лекар Олександр Олександрович</t>
  </si>
  <si>
    <t>10/0391</t>
  </si>
  <si>
    <t>Лемішка Микола Іванович</t>
  </si>
  <si>
    <t>10/1475</t>
  </si>
  <si>
    <t>Лемішка Світлана Георгіївна</t>
  </si>
  <si>
    <t>10/1480</t>
  </si>
  <si>
    <t>Малік Маріанна Василівна</t>
  </si>
  <si>
    <t>10/0586</t>
  </si>
  <si>
    <t>Мельник Ольга Іванівна</t>
  </si>
  <si>
    <t>10/1502</t>
  </si>
  <si>
    <t>Мойсей Михайло Вячеславович</t>
  </si>
  <si>
    <t>10/0646</t>
  </si>
  <si>
    <t>Надурак Володимир Анатолійович</t>
  </si>
  <si>
    <t>10/1489</t>
  </si>
  <si>
    <t>Немцану Марина Дмитрівна</t>
  </si>
  <si>
    <t>10/0573</t>
  </si>
  <si>
    <t>8/1(3:30)</t>
  </si>
  <si>
    <t>Підгайчук Лідія Іванівна</t>
  </si>
  <si>
    <t>10/1546</t>
  </si>
  <si>
    <t>Стрілець Катерина Петрівна</t>
  </si>
  <si>
    <t>10/0574</t>
  </si>
  <si>
    <t>Ткачук Юрій Олексійович</t>
  </si>
  <si>
    <t>10/0721</t>
  </si>
  <si>
    <t>Хмель  Марія  Іванівна</t>
  </si>
  <si>
    <t>10/0081</t>
  </si>
  <si>
    <t>Вурсул Людмила Іванівна</t>
  </si>
  <si>
    <t>10/1259</t>
  </si>
  <si>
    <t>52</t>
  </si>
  <si>
    <t>Глебський Олександр Володимирович</t>
  </si>
  <si>
    <t>10/1249</t>
  </si>
  <si>
    <t>Гнидка Святослав Володимирович</t>
  </si>
  <si>
    <t>10/0601</t>
  </si>
  <si>
    <t>Гончарук Анжела Мірчівна</t>
  </si>
  <si>
    <t>10/0633</t>
  </si>
  <si>
    <t>Грижук Андрій Іванович</t>
  </si>
  <si>
    <t>10/0741</t>
  </si>
  <si>
    <t>Демченко Лариса Володимирівна</t>
  </si>
  <si>
    <t>10/0628</t>
  </si>
  <si>
    <t>Кирилюк Наталія Сергіївна</t>
  </si>
  <si>
    <t>10/0610</t>
  </si>
  <si>
    <t>Костенюк Олександр Михайлович</t>
  </si>
  <si>
    <t>10/0606</t>
  </si>
  <si>
    <t>Лупу Василь Валентинович</t>
  </si>
  <si>
    <t>10/0623</t>
  </si>
  <si>
    <t>Мельницький Олег Валер'янович</t>
  </si>
  <si>
    <t>10/0249</t>
  </si>
  <si>
    <t>Найман Інна Миколаївна</t>
  </si>
  <si>
    <t>10/1376</t>
  </si>
  <si>
    <t>Сарафінчан Сергій Іванович</t>
  </si>
  <si>
    <t>10/0607</t>
  </si>
  <si>
    <t>Тинку Кріна Іонівна</t>
  </si>
  <si>
    <t>10/0632</t>
  </si>
  <si>
    <t>Ткачук Роман Володимирович</t>
  </si>
  <si>
    <t>10/1260</t>
  </si>
  <si>
    <t>Трачук Олег Миколайович</t>
  </si>
  <si>
    <t>10/1326</t>
  </si>
  <si>
    <t>Тустановський Георгій Юрійович</t>
  </si>
  <si>
    <t>10/1570</t>
  </si>
  <si>
    <t>Хамкевич Сергій Іванович</t>
  </si>
  <si>
    <t>10/1179</t>
  </si>
  <si>
    <t>Цікал Крістіна Вікторівна</t>
  </si>
  <si>
    <t>10/0604</t>
  </si>
  <si>
    <t>Чевка Віталій Харлампович</t>
  </si>
  <si>
    <t>10/0620</t>
  </si>
  <si>
    <t>Чікановський Ігор Георгійович</t>
  </si>
  <si>
    <t>10/1182</t>
  </si>
  <si>
    <t>Щукіна Наталія Євзебіївна</t>
  </si>
  <si>
    <t>10/0627</t>
  </si>
  <si>
    <t>Бівзюк Галина Федорівна</t>
  </si>
  <si>
    <t>10/0636</t>
  </si>
  <si>
    <t>53</t>
  </si>
  <si>
    <t>Бостан Інна Георгіївна</t>
  </si>
  <si>
    <t>10/0593</t>
  </si>
  <si>
    <t>Буга Андрій Михайлович</t>
  </si>
  <si>
    <t>10/0462</t>
  </si>
  <si>
    <t>Буженица Домніка Іванівна</t>
  </si>
  <si>
    <t>10/1451</t>
  </si>
  <si>
    <t>Булезюк Віталій Ілліч</t>
  </si>
  <si>
    <t>10/1357</t>
  </si>
  <si>
    <t>Герман Тетяна Анатоліївна</t>
  </si>
  <si>
    <t>10/0649</t>
  </si>
  <si>
    <t>Драгомаца Сергій Віталійович</t>
  </si>
  <si>
    <t>10/0645</t>
  </si>
  <si>
    <t>Жерновник Валентин Юрійович</t>
  </si>
  <si>
    <t>10/0831</t>
  </si>
  <si>
    <t>Заіць Тетяна Дмитрівна</t>
  </si>
  <si>
    <t>10/1306</t>
  </si>
  <si>
    <t>Іліка Катерина Василівна</t>
  </si>
  <si>
    <t>10/0652</t>
  </si>
  <si>
    <t>Кравець Флоаря Іллівна</t>
  </si>
  <si>
    <t>10/0653</t>
  </si>
  <si>
    <t>Лесюк Віра Михайлівна</t>
  </si>
  <si>
    <t>10/0711</t>
  </si>
  <si>
    <t>Любера Роман Омелянович</t>
  </si>
  <si>
    <t>10/0650</t>
  </si>
  <si>
    <t>Лягу Крістіна Іванівна</t>
  </si>
  <si>
    <t>10/1450</t>
  </si>
  <si>
    <t>Маник  Віталій  Дмитрович</t>
  </si>
  <si>
    <t>10/0025</t>
  </si>
  <si>
    <t>8/2(23:00)</t>
  </si>
  <si>
    <t>Мологяну Єріка Валентинівна</t>
  </si>
  <si>
    <t>10/1466</t>
  </si>
  <si>
    <t>Надрага Оксана Леонідівна</t>
  </si>
  <si>
    <t>10/0991</t>
  </si>
  <si>
    <t>Нечта Інна Сергіївна</t>
  </si>
  <si>
    <t>10/1059</t>
  </si>
  <si>
    <t>Подобаний Віктор Миколайович</t>
  </si>
  <si>
    <t>10/0990</t>
  </si>
  <si>
    <t>8/2(16:00)</t>
  </si>
  <si>
    <t>Прудіус Олексій Анатолійович</t>
  </si>
  <si>
    <t>10/0637</t>
  </si>
  <si>
    <t>Савчук Любов Олександрівна</t>
  </si>
  <si>
    <t>10/0901</t>
  </si>
  <si>
    <t>Апетрой Анжела Степанівна</t>
  </si>
  <si>
    <t>10/1045</t>
  </si>
  <si>
    <t>54</t>
  </si>
  <si>
    <t>Бабюк Андрій Дмитрович</t>
  </si>
  <si>
    <t>10/1180</t>
  </si>
  <si>
    <t>Білоус Людмила Миколаївна</t>
  </si>
  <si>
    <t>10/1011</t>
  </si>
  <si>
    <t>Бойко Наталя Володимирівна</t>
  </si>
  <si>
    <t>10/0984</t>
  </si>
  <si>
    <t>Герман Люся Іванівна</t>
  </si>
  <si>
    <t>10/0700</t>
  </si>
  <si>
    <t>Герман Георгій Пинтелейович</t>
  </si>
  <si>
    <t>10/0801</t>
  </si>
  <si>
    <t>Грігорій Люмініца Петрівна</t>
  </si>
  <si>
    <t>10/0754</t>
  </si>
  <si>
    <t>Гулан Юлія Анатоліївна</t>
  </si>
  <si>
    <t>10/1222</t>
  </si>
  <si>
    <t>Гуцул Валерій Володимирович</t>
  </si>
  <si>
    <t>10/0671</t>
  </si>
  <si>
    <t>Жеребний Валерій Валерійович</t>
  </si>
  <si>
    <t>10/0864</t>
  </si>
  <si>
    <t>Заєць Вікторія Іллівна</t>
  </si>
  <si>
    <t>10/0757</t>
  </si>
  <si>
    <t>Заплітний Віктор Петрович</t>
  </si>
  <si>
    <t>10/0664</t>
  </si>
  <si>
    <t>Каланча Іван Іванович</t>
  </si>
  <si>
    <t>10/1409</t>
  </si>
  <si>
    <t>Крецу Михайло Михайлович</t>
  </si>
  <si>
    <t>10/0938</t>
  </si>
  <si>
    <t>Левітіна  Оксана  Вадимівна</t>
  </si>
  <si>
    <t>10/0074</t>
  </si>
  <si>
    <t>Лупашку Тетяна Михайлівна</t>
  </si>
  <si>
    <t>10/0686</t>
  </si>
  <si>
    <t>Мазур Надія Станіславівна</t>
  </si>
  <si>
    <t>10/1037</t>
  </si>
  <si>
    <t>Побережний Олег Володимирович</t>
  </si>
  <si>
    <t>10/1582</t>
  </si>
  <si>
    <t>Русу Євгенія Михайлівна</t>
  </si>
  <si>
    <t>10/0699</t>
  </si>
  <si>
    <t>Скорокиржа Маріан Васильович</t>
  </si>
  <si>
    <t>10/0720</t>
  </si>
  <si>
    <t>Скрипник Марта Юріївна</t>
  </si>
  <si>
    <t>10/1521</t>
  </si>
  <si>
    <t>Сопонару Георгій Георгійович</t>
  </si>
  <si>
    <t>10/0729</t>
  </si>
  <si>
    <t>Столяр Мирослава Миколаївна</t>
  </si>
  <si>
    <t>10/0865</t>
  </si>
  <si>
    <t>Терлецька Наталія Степанівна</t>
  </si>
  <si>
    <t>10/0666</t>
  </si>
  <si>
    <t>Тимофті Оксана Іллівна</t>
  </si>
  <si>
    <t>10/0687</t>
  </si>
  <si>
    <t>Ткач Галина Миколаївна</t>
  </si>
  <si>
    <t>10/1010</t>
  </si>
  <si>
    <t>Трасковська Стеніка Іванівна</t>
  </si>
  <si>
    <t>10/0668</t>
  </si>
  <si>
    <t>Труфен Володимир Васильович</t>
  </si>
  <si>
    <t>10/1175</t>
  </si>
  <si>
    <t>Якоб Віктор Петрович</t>
  </si>
  <si>
    <t>10/0665</t>
  </si>
  <si>
    <t>Бойко Сергій Миколайович</t>
  </si>
  <si>
    <t>10/1443</t>
  </si>
  <si>
    <t>55</t>
  </si>
  <si>
    <t>Буряк Юрій Петрович</t>
  </si>
  <si>
    <t>10/0765</t>
  </si>
  <si>
    <t>Гнатчук Денис Степанович</t>
  </si>
  <si>
    <t>10/0773</t>
  </si>
  <si>
    <t>Горенко Доменіка Іванівна</t>
  </si>
  <si>
    <t>10/1547</t>
  </si>
  <si>
    <t>Грицак Лілія Олексіївна</t>
  </si>
  <si>
    <t>10/0752</t>
  </si>
  <si>
    <t>Довбуш Олексій Богданович</t>
  </si>
  <si>
    <t>10/0761</t>
  </si>
  <si>
    <t>Іванчак Крістіна В'ячеславівна</t>
  </si>
  <si>
    <t>10/1439</t>
  </si>
  <si>
    <t>Івашку Марчел Михайлович</t>
  </si>
  <si>
    <t>10/0861</t>
  </si>
  <si>
    <t>Іонкіна Майя Ігорівна</t>
  </si>
  <si>
    <t>10/1322</t>
  </si>
  <si>
    <t>Кретініна Наталія Всеволодівна</t>
  </si>
  <si>
    <t>10/1561</t>
  </si>
  <si>
    <t>Кушнір Ганна Михайлівна</t>
  </si>
  <si>
    <t>10/1551</t>
  </si>
  <si>
    <t>Лішман Олена Іллівна</t>
  </si>
  <si>
    <t>10/1064</t>
  </si>
  <si>
    <t>Мазурашу Людмила Марянівна</t>
  </si>
  <si>
    <t>10/1477</t>
  </si>
  <si>
    <t>Майстер Євген Олександрович</t>
  </si>
  <si>
    <t>10/0767</t>
  </si>
  <si>
    <t>Малуш Олена Петрівна</t>
  </si>
  <si>
    <t>10/1478</t>
  </si>
  <si>
    <t>Мотовилець Марія Юріївна</t>
  </si>
  <si>
    <t>10/0688</t>
  </si>
  <si>
    <t>Негуляєв Віталій Володимирович</t>
  </si>
  <si>
    <t>10/0642</t>
  </si>
  <si>
    <t>Нелюбов Микола Єгорович</t>
  </si>
  <si>
    <t>10/0682</t>
  </si>
  <si>
    <t>Олейніков Андрій Миколайович</t>
  </si>
  <si>
    <t>10/0811</t>
  </si>
  <si>
    <t>Панчишин Микола Орестович</t>
  </si>
  <si>
    <t>10/0466</t>
  </si>
  <si>
    <t>Пустова Ірина Михайлівна</t>
  </si>
  <si>
    <t>10/0719</t>
  </si>
  <si>
    <t>Равлюк Олександр Іванович</t>
  </si>
  <si>
    <t>10/1040</t>
  </si>
  <si>
    <t>Рибінець Лілія Ярославівна</t>
  </si>
  <si>
    <t>10/0680</t>
  </si>
  <si>
    <t>Стифанчук Тетяна Мірчівна</t>
  </si>
  <si>
    <t>10/0762</t>
  </si>
  <si>
    <t>Хвостіков Олег Миколайович</t>
  </si>
  <si>
    <t>10/1552</t>
  </si>
  <si>
    <t>Чобану Александрина Артурівна</t>
  </si>
  <si>
    <t>10/1066</t>
  </si>
  <si>
    <t>Чобану Зоряна Михайлівна</t>
  </si>
  <si>
    <t>10/1562</t>
  </si>
  <si>
    <t>Чорней Ганна Миколаївна</t>
  </si>
  <si>
    <t>10/1150</t>
  </si>
  <si>
    <t>Александрюк Ніна Миколаївна</t>
  </si>
  <si>
    <t>10/0722</t>
  </si>
  <si>
    <t>56</t>
  </si>
  <si>
    <t>Барчинський Михайло Петрович</t>
  </si>
  <si>
    <t>10/0950</t>
  </si>
  <si>
    <t>Будеску Тетяна Танасівна</t>
  </si>
  <si>
    <t>10/0192</t>
  </si>
  <si>
    <t>Ворончук Людмила Олександрівна</t>
  </si>
  <si>
    <t>10/0202</t>
  </si>
  <si>
    <t>8/2(7:00)</t>
  </si>
  <si>
    <t>Воронюк Назарій Павлович</t>
  </si>
  <si>
    <t>10/0927</t>
  </si>
  <si>
    <t>Гудіма Ірина Іванівна</t>
  </si>
  <si>
    <t>10/1510</t>
  </si>
  <si>
    <t>Заіц Анжела Тодорівна</t>
  </si>
  <si>
    <t>10/0160</t>
  </si>
  <si>
    <t>Зеленюк Домніка Володимирівна</t>
  </si>
  <si>
    <t>10/0733</t>
  </si>
  <si>
    <t>Капітанчук  Андрій  Вікторович</t>
  </si>
  <si>
    <t>10/0052</t>
  </si>
  <si>
    <t>Кисельов Володимир Іванович</t>
  </si>
  <si>
    <t>10/0740</t>
  </si>
  <si>
    <t>Князько Наталія Олександрівна</t>
  </si>
  <si>
    <t>10/0742</t>
  </si>
  <si>
    <t>Костащук Андрій Васильович</t>
  </si>
  <si>
    <t>10/0737</t>
  </si>
  <si>
    <t>Кудла Михайло Васильович</t>
  </si>
  <si>
    <t>10/1507</t>
  </si>
  <si>
    <t>Кудла Людмила Дорелівна</t>
  </si>
  <si>
    <t>10/1508</t>
  </si>
  <si>
    <t>Лузіна Софія Володимирівна</t>
  </si>
  <si>
    <t>10/0723</t>
  </si>
  <si>
    <t>Маковій Юліана Василівна</t>
  </si>
  <si>
    <t>10/0455</t>
  </si>
  <si>
    <t>Мурару Лілія Валентинівна</t>
  </si>
  <si>
    <t>10/0734</t>
  </si>
  <si>
    <t>Нагірна Надія Дмитрівна</t>
  </si>
  <si>
    <t>10/0241</t>
  </si>
  <si>
    <t>Отришко Руслан Валерійович</t>
  </si>
  <si>
    <t>10/0735</t>
  </si>
  <si>
    <t>Романко Оксана Миколаївна</t>
  </si>
  <si>
    <t>10/0142</t>
  </si>
  <si>
    <t>Слушний Андрій Костянтинович</t>
  </si>
  <si>
    <t>10/0728</t>
  </si>
  <si>
    <t>Танас Георгій Іванович</t>
  </si>
  <si>
    <t>10/1114</t>
  </si>
  <si>
    <t>Тащук Анастасія Дмитрівна</t>
  </si>
  <si>
    <t>10/0287</t>
  </si>
  <si>
    <t>Федоряк Іван Іванович</t>
  </si>
  <si>
    <t>10/0725</t>
  </si>
  <si>
    <t>Апетрой Анжела Михайлівна</t>
  </si>
  <si>
    <t>10/1565</t>
  </si>
  <si>
    <t>57</t>
  </si>
  <si>
    <t>Байдак Мирослава Степанівна</t>
  </si>
  <si>
    <t>10/1375</t>
  </si>
  <si>
    <t>Басараб Ольга Георгіївна</t>
  </si>
  <si>
    <t>10/0833</t>
  </si>
  <si>
    <t>Біленький Павло Сергійович</t>
  </si>
  <si>
    <t>00/1152</t>
  </si>
  <si>
    <t>Білоросюк Сергій Романович</t>
  </si>
  <si>
    <t>10/1366</t>
  </si>
  <si>
    <t>Болбочан Іван Ілліч</t>
  </si>
  <si>
    <t>10/1089</t>
  </si>
  <si>
    <t>Булей Родіка Іванівна</t>
  </si>
  <si>
    <t>10/1048</t>
  </si>
  <si>
    <t>Данчук Альона Вікторівна</t>
  </si>
  <si>
    <t>10/0868</t>
  </si>
  <si>
    <t>Іванчук Микола Вікторович</t>
  </si>
  <si>
    <t>10/1054</t>
  </si>
  <si>
    <t>Кіфічак Ганна Іванівна</t>
  </si>
  <si>
    <t>10/1050</t>
  </si>
  <si>
    <t>Левко Євген Володимирович</t>
  </si>
  <si>
    <t>10/0884</t>
  </si>
  <si>
    <t>Любінецька Жанна Володимирівна</t>
  </si>
  <si>
    <t>10/0863</t>
  </si>
  <si>
    <t>Любінецька Елеонора Владиславівна</t>
  </si>
  <si>
    <t>10/1199</t>
  </si>
  <si>
    <t>Любінецький Владислав Леопольдович</t>
  </si>
  <si>
    <t>10/0920</t>
  </si>
  <si>
    <t>Мороз  Віталій Валеріанович</t>
  </si>
  <si>
    <t>10/0878</t>
  </si>
  <si>
    <t>Нижник Ольга Вікторівна</t>
  </si>
  <si>
    <t>10/1065</t>
  </si>
  <si>
    <t>Олар Марина Миколаївна</t>
  </si>
  <si>
    <t>10/0859</t>
  </si>
  <si>
    <t>Олексейчук Алла Михайлівна</t>
  </si>
  <si>
    <t>10/0858</t>
  </si>
  <si>
    <t>Роденкова Жаннетта Борисівна</t>
  </si>
  <si>
    <t>10/0866</t>
  </si>
  <si>
    <t>Сонеджі Катерина Вікторівна</t>
  </si>
  <si>
    <t>10/0857</t>
  </si>
  <si>
    <t>Таранець Христина Володимирівна</t>
  </si>
  <si>
    <t>10/0882</t>
  </si>
  <si>
    <t>Фаєр Світлана Вікторівна</t>
  </si>
  <si>
    <t>10/0120</t>
  </si>
  <si>
    <t>Флуєраш Ауріка Василівна</t>
  </si>
  <si>
    <t>10/0867</t>
  </si>
  <si>
    <t>Чорней Ілля Миколайович</t>
  </si>
  <si>
    <t>10/1253</t>
  </si>
  <si>
    <t>Янішевська Яна Василівна</t>
  </si>
  <si>
    <t>10/0870</t>
  </si>
  <si>
    <t>Анікулаєсі Таїсія Артурівна</t>
  </si>
  <si>
    <t>10/0681</t>
  </si>
  <si>
    <t>58</t>
  </si>
  <si>
    <t>Антонов Олександр Сергійович</t>
  </si>
  <si>
    <t>10/1536</t>
  </si>
  <si>
    <t>Барановська Оксана Миколаївна</t>
  </si>
  <si>
    <t>10/0852</t>
  </si>
  <si>
    <t>Бідашку Іван Костянтинович</t>
  </si>
  <si>
    <t>10/0847</t>
  </si>
  <si>
    <t>Гніденко Ігор Степанович</t>
  </si>
  <si>
    <t>10/1535</t>
  </si>
  <si>
    <t>Джуряк Марина Василівна</t>
  </si>
  <si>
    <t>10/0889</t>
  </si>
  <si>
    <t>Івашку Олена Олексіївна</t>
  </si>
  <si>
    <t>10/0651</t>
  </si>
  <si>
    <t>Лішман Стела Петрівна</t>
  </si>
  <si>
    <t>10/1389</t>
  </si>
  <si>
    <t>Мазуряк Христина Георгіївна</t>
  </si>
  <si>
    <t>10/1341</t>
  </si>
  <si>
    <t>Метлушан Галина Василівна</t>
  </si>
  <si>
    <t>10/1126</t>
  </si>
  <si>
    <t>Могильська Марія Миколаївна</t>
  </si>
  <si>
    <t>10/1532</t>
  </si>
  <si>
    <t>Москалу Валерій Віорелович</t>
  </si>
  <si>
    <t>10/0840</t>
  </si>
  <si>
    <t>Мосур Анна Василівна</t>
  </si>
  <si>
    <t>10/0890</t>
  </si>
  <si>
    <t>Няйко Василь Дмитрович</t>
  </si>
  <si>
    <t>10/1111</t>
  </si>
  <si>
    <t>Постевка Вячеслав Адамович</t>
  </si>
  <si>
    <t>10/1187</t>
  </si>
  <si>
    <t>Стьопенко Марія Юріївна</t>
  </si>
  <si>
    <t>10/0669</t>
  </si>
  <si>
    <t>Суружіу Валентин Євгенович</t>
  </si>
  <si>
    <t>10/1397</t>
  </si>
  <si>
    <t>Устінова Олена Юріївна</t>
  </si>
  <si>
    <t>10/0805</t>
  </si>
  <si>
    <t>Фагурел Віталій Валеріанович</t>
  </si>
  <si>
    <t>10/1556</t>
  </si>
  <si>
    <t>Шлек Сергій Васильович</t>
  </si>
  <si>
    <t>10/1172</t>
  </si>
  <si>
    <t>Шутак Любов Михайлівна</t>
  </si>
  <si>
    <t>10/1352</t>
  </si>
  <si>
    <t>Шутик Михайло Васильович</t>
  </si>
  <si>
    <t>10/1360</t>
  </si>
  <si>
    <t>Якимчук Лідія Василівна</t>
  </si>
  <si>
    <t>10/1484</t>
  </si>
  <si>
    <t>Яровий Михайло Васильович</t>
  </si>
  <si>
    <t>10/1074</t>
  </si>
  <si>
    <t>Анісимова Діана Олегівна</t>
  </si>
  <si>
    <t>10/0891</t>
  </si>
  <si>
    <t>Бабан Майя Василівна</t>
  </si>
  <si>
    <t>10/1519</t>
  </si>
  <si>
    <t>Бідашку Анастасія Георгіївна</t>
  </si>
  <si>
    <t>10/0880</t>
  </si>
  <si>
    <t>Голубєва Ніна Олександрівна</t>
  </si>
  <si>
    <t>10/1383</t>
  </si>
  <si>
    <t>Горбатюк Ольга Василівна</t>
  </si>
  <si>
    <t>10/1513</t>
  </si>
  <si>
    <t>Городенський Олександр Іларіонович</t>
  </si>
  <si>
    <t>10/1533</t>
  </si>
  <si>
    <t>Гринчук Віктор Іванович</t>
  </si>
  <si>
    <t>10/1049</t>
  </si>
  <si>
    <t>Гуцуляк Кароліна Анатоліївна</t>
  </si>
  <si>
    <t>10/0844</t>
  </si>
  <si>
    <t>Дроняк Марія Михайлівна</t>
  </si>
  <si>
    <t>10/0893</t>
  </si>
  <si>
    <t>Медвідь Євгена Василівна</t>
  </si>
  <si>
    <t>10/1072</t>
  </si>
  <si>
    <t>Никула Степан Дмирович</t>
  </si>
  <si>
    <t>10/0881</t>
  </si>
  <si>
    <t>Оленюк Марія Степанівна</t>
  </si>
  <si>
    <t>10/1329</t>
  </si>
  <si>
    <t>Папук Віктор Миколайович</t>
  </si>
  <si>
    <t>10/0842</t>
  </si>
  <si>
    <t>Пелих Олег Андрійович</t>
  </si>
  <si>
    <t>10/1200</t>
  </si>
  <si>
    <t>Понич Микола Мірчович</t>
  </si>
  <si>
    <t>10/0895</t>
  </si>
  <si>
    <t>Ротарь Олександр Володимирович</t>
  </si>
  <si>
    <t>10/0897</t>
  </si>
  <si>
    <t>Сандуляк Олена Анатоліївна</t>
  </si>
  <si>
    <t>10/0892</t>
  </si>
  <si>
    <t>Топорівський Василь Васильович</t>
  </si>
  <si>
    <t>10/0887</t>
  </si>
  <si>
    <t>Черній Віктор Антонович</t>
  </si>
  <si>
    <t>10/0883</t>
  </si>
  <si>
    <t>Юрчак Олена Володимирівна</t>
  </si>
  <si>
    <t>10/0876</t>
  </si>
  <si>
    <t>Яцюк Валентина Гергіївна</t>
  </si>
  <si>
    <t>10/0862</t>
  </si>
  <si>
    <t>Адамович Оксана Василівна</t>
  </si>
  <si>
    <t>10/0908</t>
  </si>
  <si>
    <t>60</t>
  </si>
  <si>
    <t>Алунгулес Василь Васильович</t>
  </si>
  <si>
    <t>10/1400</t>
  </si>
  <si>
    <t>Арушті Ігор Михайлович</t>
  </si>
  <si>
    <t>10/1157</t>
  </si>
  <si>
    <t>Белінська Ганна Іванівна</t>
  </si>
  <si>
    <t>10/1481</t>
  </si>
  <si>
    <t>Герман Олена Петрівна</t>
  </si>
  <si>
    <t>10/0909</t>
  </si>
  <si>
    <t>Герман Ілля Ілліч</t>
  </si>
  <si>
    <t>10/0911</t>
  </si>
  <si>
    <t>Грігореску Марина Михайлівна</t>
  </si>
  <si>
    <t>10/1206</t>
  </si>
  <si>
    <t>Квасниця Анна Іванівна</t>
  </si>
  <si>
    <t>10/1192</t>
  </si>
  <si>
    <t>Кучейник Дмитро Вікторович</t>
  </si>
  <si>
    <t>10/0916</t>
  </si>
  <si>
    <t>Люліс Юліана Валентинівна</t>
  </si>
  <si>
    <t>10/1168</t>
  </si>
  <si>
    <t>Мігай Маріана Миколаївна</t>
  </si>
  <si>
    <t>10/1195</t>
  </si>
  <si>
    <t>Мігоряну Василь Миколайович</t>
  </si>
  <si>
    <t>10/1158</t>
  </si>
  <si>
    <t>Молодяну Северин Миколайович</t>
  </si>
  <si>
    <t>10/0918</t>
  </si>
  <si>
    <t>Морошан Петро Іванович</t>
  </si>
  <si>
    <t>10/1186</t>
  </si>
  <si>
    <t>Никифоряк Василь Юрійович</t>
  </si>
  <si>
    <t>10/1076</t>
  </si>
  <si>
    <t>Обелець Руслан Олександрович</t>
  </si>
  <si>
    <t>10/1368</t>
  </si>
  <si>
    <t>Панциру Василь Георгійович</t>
  </si>
  <si>
    <t>10/1062</t>
  </si>
  <si>
    <t>Паскар Наталя Валеріївна</t>
  </si>
  <si>
    <t>10/0921</t>
  </si>
  <si>
    <t>Побіжан Валентина Аркадіївна</t>
  </si>
  <si>
    <t>10/1077</t>
  </si>
  <si>
    <t>Прокопій Тетяна Георгіївна</t>
  </si>
  <si>
    <t>10/0906</t>
  </si>
  <si>
    <t>Руссу Ірина Петрівна</t>
  </si>
  <si>
    <t>10/0922</t>
  </si>
  <si>
    <t>Скрипник Ірина Михайлівна</t>
  </si>
  <si>
    <t>10/0910</t>
  </si>
  <si>
    <t>Скріпкару Тетяна Віорелівна</t>
  </si>
  <si>
    <t>10/1169</t>
  </si>
  <si>
    <t>Тимчук Ірина Іванівна</t>
  </si>
  <si>
    <t>10/1488</t>
  </si>
  <si>
    <t>Тодорюк Андрій Володимирович</t>
  </si>
  <si>
    <t>10/1173</t>
  </si>
  <si>
    <t>Туркулець Іван Мирчевич</t>
  </si>
  <si>
    <t>10/1165</t>
  </si>
  <si>
    <t>Чилимок Сергій Георгійович</t>
  </si>
  <si>
    <t>10/1539</t>
  </si>
  <si>
    <t>Алукі Михайло Михайлович</t>
  </si>
  <si>
    <t>10/1469</t>
  </si>
  <si>
    <t>61</t>
  </si>
  <si>
    <t>Бугаєко Інна Миколаївна</t>
  </si>
  <si>
    <t>10/1553</t>
  </si>
  <si>
    <t>Буць Володимир Ігорович</t>
  </si>
  <si>
    <t>10/1463</t>
  </si>
  <si>
    <t>Гаврилюк Любов Михайлівна</t>
  </si>
  <si>
    <t>10/0934</t>
  </si>
  <si>
    <t>Галицька Марія Григорівна</t>
  </si>
  <si>
    <t>10/1017</t>
  </si>
  <si>
    <t>Гушелік Олександр Дмитрович</t>
  </si>
  <si>
    <t>10/1500</t>
  </si>
  <si>
    <t>Данилюк Василь Петрович</t>
  </si>
  <si>
    <t>10/0945</t>
  </si>
  <si>
    <t>Дмитращук Ольга Афанасіївна</t>
  </si>
  <si>
    <t>10/1385</t>
  </si>
  <si>
    <t>Домітращук Іван Юрійович</t>
  </si>
  <si>
    <t>10/1212</t>
  </si>
  <si>
    <t>Кміт Ольга Миколаївна</t>
  </si>
  <si>
    <t>10/0925</t>
  </si>
  <si>
    <t>Кох Іван Самойлович</t>
  </si>
  <si>
    <t>10/0926</t>
  </si>
  <si>
    <t>Лазарович Володимир Євгенович</t>
  </si>
  <si>
    <t>10/0944</t>
  </si>
  <si>
    <t>Маращук Іван Іванович</t>
  </si>
  <si>
    <t>10/1156</t>
  </si>
  <si>
    <t>Марчук Сніжана Василівна</t>
  </si>
  <si>
    <t>10/1471</t>
  </si>
  <si>
    <t>Мосійчук Юрій Вікторович</t>
  </si>
  <si>
    <t>10/1228</t>
  </si>
  <si>
    <t>Олійник Олексій Васильович</t>
  </si>
  <si>
    <t>10/0941</t>
  </si>
  <si>
    <t>Павлюк Дмитро Васильович</t>
  </si>
  <si>
    <t>10/1452</t>
  </si>
  <si>
    <t>Паламарчук Олександр Іванович</t>
  </si>
  <si>
    <t>10/0543</t>
  </si>
  <si>
    <t>Пінчукова Людмила Іллівна</t>
  </si>
  <si>
    <t>10/0703</t>
  </si>
  <si>
    <t>Порайко Валентина Василівна</t>
  </si>
  <si>
    <t>10/0932</t>
  </si>
  <si>
    <t>П'ятницький Леонід Вікторович</t>
  </si>
  <si>
    <t>10/1403</t>
  </si>
  <si>
    <t>Романюк Оксана Лазарівна</t>
  </si>
  <si>
    <t>10/1472</t>
  </si>
  <si>
    <t>Русаль Любов Михайлівна</t>
  </si>
  <si>
    <t>10/1286</t>
  </si>
  <si>
    <t>Русу Дмитро Валерійович</t>
  </si>
  <si>
    <t>10/1494</t>
  </si>
  <si>
    <t>Сава Леся Олександрівна</t>
  </si>
  <si>
    <t>10/0935</t>
  </si>
  <si>
    <t>Фісел Микола Георгійович</t>
  </si>
  <si>
    <t>10/0727</t>
  </si>
  <si>
    <t>Боднарюк Іван Васильович</t>
  </si>
  <si>
    <t>10/1174</t>
  </si>
  <si>
    <t>62</t>
  </si>
  <si>
    <t>Бражнікова Олена  Миколаївна</t>
  </si>
  <si>
    <t>10/1572</t>
  </si>
  <si>
    <t>Вітюк Дмитро Аркадійович</t>
  </si>
  <si>
    <t>10/1492</t>
  </si>
  <si>
    <t>Гаврилюк  Костянтин Ілліч</t>
  </si>
  <si>
    <t>10/0394</t>
  </si>
  <si>
    <t>Гарбуз Оксана Михайлівна</t>
  </si>
  <si>
    <t>10/1557</t>
  </si>
  <si>
    <t>Димидюк Григорій Вікторович</t>
  </si>
  <si>
    <t>10/1105</t>
  </si>
  <si>
    <t>Дмитрук Світлана Петрівна</t>
  </si>
  <si>
    <t>10/1493</t>
  </si>
  <si>
    <t>Іванцок Юлія Миколаївна</t>
  </si>
  <si>
    <t>10/0907</t>
  </si>
  <si>
    <t>Ісак Петро Михайлович</t>
  </si>
  <si>
    <t>10/1113</t>
  </si>
  <si>
    <t>Камеліна Олена Анатоліївна</t>
  </si>
  <si>
    <t>10/1136</t>
  </si>
  <si>
    <t>7/3(3:00)</t>
  </si>
  <si>
    <t>Кіцак Флоріка Іванівна</t>
  </si>
  <si>
    <t>10/1485</t>
  </si>
  <si>
    <t>Куцак Світлана Миколаївна</t>
  </si>
  <si>
    <t>10/1131</t>
  </si>
  <si>
    <t>Марич Олександра Анатоліївна</t>
  </si>
  <si>
    <t>10/1143</t>
  </si>
  <si>
    <t>Миронюк Анжела Петрівна</t>
  </si>
  <si>
    <t>10/1116</t>
  </si>
  <si>
    <t>Мищишен Станіслав Петрович</t>
  </si>
  <si>
    <t>10/1125</t>
  </si>
  <si>
    <t>Опаєц Діана Ігорівна</t>
  </si>
  <si>
    <t>10/1544</t>
  </si>
  <si>
    <t>Пилипенко  Юлія Миколаївна</t>
  </si>
  <si>
    <t>10/1401</t>
  </si>
  <si>
    <t>Пінчуков Андрій Олексійович</t>
  </si>
  <si>
    <t>10/0946</t>
  </si>
  <si>
    <t>Погребняк Ніна Петрівна</t>
  </si>
  <si>
    <t>10/1559</t>
  </si>
  <si>
    <t>Полінчук Марина Сергіївна</t>
  </si>
  <si>
    <t>10/1132</t>
  </si>
  <si>
    <t>Пшебишевський Сергій Сільвестрович</t>
  </si>
  <si>
    <t>10/1151</t>
  </si>
  <si>
    <t>Скіцько Оксана Дмитрівна</t>
  </si>
  <si>
    <t>10/1112</t>
  </si>
  <si>
    <t>Скриннікова Ірина Вікторівна</t>
  </si>
  <si>
    <t>10/1104</t>
  </si>
  <si>
    <t>Тутунару Микола Миколайович</t>
  </si>
  <si>
    <t>10/1124</t>
  </si>
  <si>
    <t>Фіявчук Галина Григорівна</t>
  </si>
  <si>
    <t>10/1189</t>
  </si>
  <si>
    <t>Чікан Олена Іллівна</t>
  </si>
  <si>
    <t>10/1134</t>
  </si>
  <si>
    <t>Авраменко Наталія Віталіївна</t>
  </si>
  <si>
    <t>10/1123</t>
  </si>
  <si>
    <t>63</t>
  </si>
  <si>
    <t>Алукі Оксана Онисимівна</t>
  </si>
  <si>
    <t>10/1479</t>
  </si>
  <si>
    <t>Боднарюк Вячеслав Миколайович</t>
  </si>
  <si>
    <t>10/0899</t>
  </si>
  <si>
    <t>Бурла Ірина Георгіїєвна</t>
  </si>
  <si>
    <t>10/1320</t>
  </si>
  <si>
    <t>Бурла  Анжела Михайлівна</t>
  </si>
  <si>
    <t>10/1321</t>
  </si>
  <si>
    <t>Ватаманюк Марія Петрівна</t>
  </si>
  <si>
    <t>10/1127</t>
  </si>
  <si>
    <t>Вергелес Любов Вікторівна</t>
  </si>
  <si>
    <t>10/1524</t>
  </si>
  <si>
    <t>Вільховецький Валентин Михайлович</t>
  </si>
  <si>
    <t>10/1135</t>
  </si>
  <si>
    <t>Гандюк Ольга Миколаївна</t>
  </si>
  <si>
    <t>10/1351</t>
  </si>
  <si>
    <t>Гусак Наталія Володимирівна</t>
  </si>
  <si>
    <t>10/1498</t>
  </si>
  <si>
    <t>Діденко Олександра Володимирівна</t>
  </si>
  <si>
    <t>10/0982</t>
  </si>
  <si>
    <t>Долгова Світлана Валентинівна</t>
  </si>
  <si>
    <t>10/1146</t>
  </si>
  <si>
    <t>Житарюк Сергій Миколайович</t>
  </si>
  <si>
    <t>10/1097</t>
  </si>
  <si>
    <t>Каланча Михайло Дмитрович</t>
  </si>
  <si>
    <t>10/1139</t>
  </si>
  <si>
    <t>Лукова Юлія Василівна</t>
  </si>
  <si>
    <t>10/1437</t>
  </si>
  <si>
    <t>Макашев Максим Олексійович</t>
  </si>
  <si>
    <t>10/1387</t>
  </si>
  <si>
    <t>Мігоряну Іра Михайлівна</t>
  </si>
  <si>
    <t>10/1160</t>
  </si>
  <si>
    <t>Павлова Валентина Василівна</t>
  </si>
  <si>
    <t>10/1128</t>
  </si>
  <si>
    <t>Паньков Андрій Григорович</t>
  </si>
  <si>
    <t>10/1353</t>
  </si>
  <si>
    <t>Радівілен Денис Олександрович</t>
  </si>
  <si>
    <t>10/1149</t>
  </si>
  <si>
    <t>Радівілін Олександр Олександрович</t>
  </si>
  <si>
    <t>10/1152</t>
  </si>
  <si>
    <t>Рошкулець Людмила Сергіївна</t>
  </si>
  <si>
    <t>10/1148</t>
  </si>
  <si>
    <t>Сєнакосов Анатолій Вікторович</t>
  </si>
  <si>
    <t>10/1181</t>
  </si>
  <si>
    <t>Танасов Сергій Олегович</t>
  </si>
  <si>
    <t>10/1185</t>
  </si>
  <si>
    <t>Тімофті Кристина Романівна</t>
  </si>
  <si>
    <t>10/1103</t>
  </si>
  <si>
    <t>Трохін Лідія Василівна</t>
  </si>
  <si>
    <t>10/1108</t>
  </si>
  <si>
    <t>Федоряк Роман Михайлович</t>
  </si>
  <si>
    <t>10/1099</t>
  </si>
  <si>
    <t>Шевчук Сорін Мірчович</t>
  </si>
  <si>
    <t>10/1145</t>
  </si>
  <si>
    <t>Ватрич Настасія Олексіївна</t>
  </si>
  <si>
    <t>10/1564</t>
  </si>
  <si>
    <t>Гайдеєк Тетяна Валентинівна</t>
  </si>
  <si>
    <t>10/1571</t>
  </si>
  <si>
    <t>Головатий Олександр Валерійович</t>
  </si>
  <si>
    <t>10/1592</t>
  </si>
  <si>
    <t>Данилюк Наталія Іллівна</t>
  </si>
  <si>
    <t>10/1221</t>
  </si>
  <si>
    <t>Козелко Марія Степанівна</t>
  </si>
  <si>
    <t>10/1411</t>
  </si>
  <si>
    <t>Колчанова Ірина Богданівна</t>
  </si>
  <si>
    <t>10/1511</t>
  </si>
  <si>
    <t>Лупул Вікторія Миколаївна</t>
  </si>
  <si>
    <t>10/1594</t>
  </si>
  <si>
    <t>Мошой Валентин Георгійович</t>
  </si>
  <si>
    <t>10/1550</t>
  </si>
  <si>
    <t>Мужаровська Ніна Михалівна</t>
  </si>
  <si>
    <t>10/1414</t>
  </si>
  <si>
    <t>Олійник Роман Вікторович</t>
  </si>
  <si>
    <t>10/1219</t>
  </si>
  <si>
    <t>Патраш Дарія Василівна</t>
  </si>
  <si>
    <t>10/1208</t>
  </si>
  <si>
    <t>Перепелюк Михайло Васильович</t>
  </si>
  <si>
    <t>10/1020</t>
  </si>
  <si>
    <t>Пінкас Марія Миколаївна</t>
  </si>
  <si>
    <t>10/1501</t>
  </si>
  <si>
    <t>Попов Василь Вячеславович</t>
  </si>
  <si>
    <t>10/1591</t>
  </si>
  <si>
    <t>Радукан Олена Іванівна</t>
  </si>
  <si>
    <t>10/1487</t>
  </si>
  <si>
    <t>Ропчан Ольга Лазарівна</t>
  </si>
  <si>
    <t>10/1523</t>
  </si>
  <si>
    <t>Садовник Наталя Василівна</t>
  </si>
  <si>
    <t>10/1531</t>
  </si>
  <si>
    <t>Садовник Вячеслав Дмитрович</t>
  </si>
  <si>
    <t>10/1530</t>
  </si>
  <si>
    <t>Темінська Світлана Василівна</t>
  </si>
  <si>
    <t>10/1207</t>
  </si>
  <si>
    <t>Атвіновський Ігор Леонідович</t>
  </si>
  <si>
    <t>10/1390</t>
  </si>
  <si>
    <t>65</t>
  </si>
  <si>
    <t>Василинюк Світлана Василівна</t>
  </si>
  <si>
    <t>10/1293</t>
  </si>
  <si>
    <t>Гемблюк Домініка Іванівна</t>
  </si>
  <si>
    <t>10/1282</t>
  </si>
  <si>
    <t>Гончаренко Віктор Сергійович</t>
  </si>
  <si>
    <t>10/1363</t>
  </si>
  <si>
    <t>Дущак Сільва Дмитрівна</t>
  </si>
  <si>
    <t>10/1291</t>
  </si>
  <si>
    <t>Казюк Володимир Ілліч</t>
  </si>
  <si>
    <t>10/1325</t>
  </si>
  <si>
    <t>Кілару Олена Ананіївна</t>
  </si>
  <si>
    <t>10/1283</t>
  </si>
  <si>
    <t>Клічук Ганна Василівна</t>
  </si>
  <si>
    <t>10/1455</t>
  </si>
  <si>
    <t>Колєсніков Дмитро Родіонович</t>
  </si>
  <si>
    <t>10/1506</t>
  </si>
  <si>
    <t>Константинов Сергій Вікторович</t>
  </si>
  <si>
    <t>10/1362</t>
  </si>
  <si>
    <t>Кузьменюк Олена Михайлівна</t>
  </si>
  <si>
    <t>10/1316</t>
  </si>
  <si>
    <t>Леко Тарас Богданович</t>
  </si>
  <si>
    <t>10/1296</t>
  </si>
  <si>
    <t>Мельник  Світлана Євгенівна</t>
  </si>
  <si>
    <t>10/1563</t>
  </si>
  <si>
    <t>Новіков Сергій Вадимович</t>
  </si>
  <si>
    <t>10/0429</t>
  </si>
  <si>
    <t>Овадюк Галина Василівна</t>
  </si>
  <si>
    <t>10/1310</t>
  </si>
  <si>
    <t>Паладійчук Лариса Іванівна</t>
  </si>
  <si>
    <t>10/1275</t>
  </si>
  <si>
    <t>Савка Людмила Петрівна</t>
  </si>
  <si>
    <t>10/1290</t>
  </si>
  <si>
    <t>Тенкалюк Тетяна Іванівна</t>
  </si>
  <si>
    <t>10/1522</t>
  </si>
  <si>
    <t>Тимош Георгій Константинович</t>
  </si>
  <si>
    <t>10/1349</t>
  </si>
  <si>
    <t>Ходан Іван Віталійович</t>
  </si>
  <si>
    <t>10/1278</t>
  </si>
  <si>
    <t>Цар Крістін Ілліч</t>
  </si>
  <si>
    <t>10/1317</t>
  </si>
  <si>
    <t>Шевчук Настасія Дмитрівна</t>
  </si>
  <si>
    <t>10/1294</t>
  </si>
  <si>
    <t>Бадюк Олексій Михайлович</t>
  </si>
  <si>
    <t>10/1429</t>
  </si>
  <si>
    <t>66</t>
  </si>
  <si>
    <t>Березинець Руслан Валерійович</t>
  </si>
  <si>
    <t>10/1420</t>
  </si>
  <si>
    <t>Буздуга Михайло Васильович</t>
  </si>
  <si>
    <t>10/1297</t>
  </si>
  <si>
    <t>Герцану Олександр Васильович</t>
  </si>
  <si>
    <t>10/1464</t>
  </si>
  <si>
    <t>Гой Олеся Петрівна</t>
  </si>
  <si>
    <t>10/1448</t>
  </si>
  <si>
    <t>Гудима Віталій Вікторович</t>
  </si>
  <si>
    <t>10/1274</t>
  </si>
  <si>
    <t>Гумайло Ганна Богданівна</t>
  </si>
  <si>
    <t>10/1287</t>
  </si>
  <si>
    <t>Довгалюк Сергій Ростиславович</t>
  </si>
  <si>
    <t>10/1388</t>
  </si>
  <si>
    <t>Довгалюк Руслан Ростиславович</t>
  </si>
  <si>
    <t>10/1395</t>
  </si>
  <si>
    <t>Дронік Наталія Миколаївна</t>
  </si>
  <si>
    <t>10/1289</t>
  </si>
  <si>
    <t>Іванова Марина Миколаївна</t>
  </si>
  <si>
    <t>10/0641</t>
  </si>
  <si>
    <t>8/1(14:00)</t>
  </si>
  <si>
    <t>Ілларіонов Євген Генадійович</t>
  </si>
  <si>
    <t>10/1328</t>
  </si>
  <si>
    <t>Катеренюк Олександр Дмитрович</t>
  </si>
  <si>
    <t>10/1346</t>
  </si>
  <si>
    <t>Котенко Євгеній Миколайович</t>
  </si>
  <si>
    <t>10/1432</t>
  </si>
  <si>
    <t>Максимець Георгій Георгійович</t>
  </si>
  <si>
    <t>10/1381</t>
  </si>
  <si>
    <t>Оліник Василь Вікентійович</t>
  </si>
  <si>
    <t>10/1313</t>
  </si>
  <si>
    <t>Петрушко Оксана Василівна</t>
  </si>
  <si>
    <t>10/1333</t>
  </si>
  <si>
    <t>Подгорний Дмитро Олександрович</t>
  </si>
  <si>
    <t>10/1344</t>
  </si>
  <si>
    <t>Прискурі Марія Петрівна</t>
  </si>
  <si>
    <t>10/1295</t>
  </si>
  <si>
    <t>Солодка Марія Іванівна</t>
  </si>
  <si>
    <t>10/1303</t>
  </si>
  <si>
    <t>Стадлер Наталія Михайлівна</t>
  </si>
  <si>
    <t>10/1324</t>
  </si>
  <si>
    <t>Стрельніков Юрій Євгенович</t>
  </si>
  <si>
    <t>10/1431</t>
  </si>
  <si>
    <t>Тевтул Ігор Романович</t>
  </si>
  <si>
    <t>10/1292</t>
  </si>
  <si>
    <t>Шугані Інна Михайлівна</t>
  </si>
  <si>
    <t>10/1308</t>
  </si>
  <si>
    <t>Адамович Аспазія Іванівна</t>
  </si>
  <si>
    <t>10/1534</t>
  </si>
  <si>
    <t>67</t>
  </si>
  <si>
    <t xml:space="preserve">Біла Янна </t>
  </si>
  <si>
    <t>10/1574</t>
  </si>
  <si>
    <t>Бодак Марина Вікторівна</t>
  </si>
  <si>
    <t>10/1474</t>
  </si>
  <si>
    <t>Боднар Галина Віталіївна</t>
  </si>
  <si>
    <t>10/0345</t>
  </si>
  <si>
    <t>Ботезат Яна Василівна</t>
  </si>
  <si>
    <t>10/0284</t>
  </si>
  <si>
    <t>Буліга Андрій Андрійович</t>
  </si>
  <si>
    <t>10/1580</t>
  </si>
  <si>
    <t>Ванзар Георгій Петрович</t>
  </si>
  <si>
    <t>10/1576</t>
  </si>
  <si>
    <t>Ванзар Яна Ористівна</t>
  </si>
  <si>
    <t>10/1577</t>
  </si>
  <si>
    <t>Дудуца Денис Георгійович</t>
  </si>
  <si>
    <t>10/1584</t>
  </si>
  <si>
    <t>Заіць Юлія Іванівна</t>
  </si>
  <si>
    <t>10/1583</t>
  </si>
  <si>
    <t>Захаров Володимир Валерійович</t>
  </si>
  <si>
    <t>10/1579</t>
  </si>
  <si>
    <t>Корсей Володимир Васильович</t>
  </si>
  <si>
    <t>10/1581</t>
  </si>
  <si>
    <t>Коцюбан Тамара Василівна</t>
  </si>
  <si>
    <t>10/1575</t>
  </si>
  <si>
    <t>Кучуряну Кармелла Іллівна</t>
  </si>
  <si>
    <t>10/1587</t>
  </si>
  <si>
    <t>Махмутова Катерина Вікторівна</t>
  </si>
  <si>
    <t>10/0143</t>
  </si>
  <si>
    <t>Мельник Валентина Василівна</t>
  </si>
  <si>
    <t>10/1600</t>
  </si>
  <si>
    <t>Миронів  Сергій Іванович</t>
  </si>
  <si>
    <t>10/1606</t>
  </si>
  <si>
    <t>Нікітіна Андріана В'ячиславівна</t>
  </si>
  <si>
    <t>10/1578</t>
  </si>
  <si>
    <t>Попович Ганна Петрівна</t>
  </si>
  <si>
    <t>10/0130</t>
  </si>
  <si>
    <t>Попович Вадим Володимирович</t>
  </si>
  <si>
    <t>10/1405</t>
  </si>
  <si>
    <t>Асофроній Оксана Іванівна</t>
  </si>
  <si>
    <t>10/1602</t>
  </si>
  <si>
    <t>Атодересі Марія Дмитрівна</t>
  </si>
  <si>
    <t>10/1601</t>
  </si>
  <si>
    <t>Будзар Віра Георгіївна</t>
  </si>
  <si>
    <t>10/1599</t>
  </si>
  <si>
    <t>Вієру Віра Іванівна</t>
  </si>
  <si>
    <t>10/1525</t>
  </si>
  <si>
    <t>Кітура Михайло Миколайович</t>
  </si>
  <si>
    <t>10/1415</t>
  </si>
  <si>
    <t>Костик Віталій Дмитрович</t>
  </si>
  <si>
    <t>10/1605</t>
  </si>
  <si>
    <t>Кричун Андрій Васильович</t>
  </si>
  <si>
    <t>10/1603</t>
  </si>
  <si>
    <t>Лашкіба Інна Павлівна</t>
  </si>
  <si>
    <t>10/1604</t>
  </si>
  <si>
    <t>Перепічка Алла Сильвестрівна</t>
  </si>
  <si>
    <t>10/1595</t>
  </si>
  <si>
    <t>Раціборська Анастасія Романівна</t>
  </si>
  <si>
    <t>10/0396</t>
  </si>
  <si>
    <t>Савіцкий Максим Миколайович</t>
  </si>
  <si>
    <t>10/1586</t>
  </si>
  <si>
    <t>Середяк Богдан Михайлович</t>
  </si>
  <si>
    <t>10/1490</t>
  </si>
  <si>
    <t>Соцька Наталія Михайлівна</t>
  </si>
  <si>
    <t>10/1620</t>
  </si>
  <si>
    <t xml:space="preserve">40 бригада(реворк)  </t>
  </si>
  <si>
    <t>пр(-)</t>
  </si>
  <si>
    <t>вх(-)</t>
  </si>
  <si>
    <t>вп(-)
зп(-)
пз(-)
8/1(8:00)</t>
  </si>
  <si>
    <t>вп(-)
пз(-)
8/1(8:00)</t>
  </si>
  <si>
    <t>зп(-)
вп(-)
пз(-)
8/1(8:00)</t>
  </si>
  <si>
    <t>вп(-)
зп(-)
8/1(8:00)</t>
  </si>
  <si>
    <t>ТО(-)
вп(-)
8/1(4:00)</t>
  </si>
  <si>
    <t>ХВ(-)</t>
  </si>
  <si>
    <t>зп(-)
вп(-)
8/1(8:00)</t>
  </si>
  <si>
    <t>вп(-)
8/1(8:00)</t>
  </si>
  <si>
    <t>БЛ(-)</t>
  </si>
  <si>
    <t>пз(-)
8/1(8:00)</t>
  </si>
  <si>
    <t>вп(-)
пз(-)
зп(-)
8/1(8:00)</t>
  </si>
  <si>
    <t>пз(-)
вп(-)
8/1(8:00)</t>
  </si>
  <si>
    <t>зп(-)
8/1(8:00)</t>
  </si>
  <si>
    <t xml:space="preserve">42 бригада  </t>
  </si>
  <si>
    <t>О(-)</t>
  </si>
  <si>
    <t xml:space="preserve">43 бригада  </t>
  </si>
  <si>
    <t>пз(-)
зп(-)
8/2(8:00)</t>
  </si>
  <si>
    <t>пз(-)
8/2(8:00)</t>
  </si>
  <si>
    <t>вп(-)
пз(-)
зп(-)
8/2(8:00)</t>
  </si>
  <si>
    <t>зп(-)
пз(-)
8/2(8:00)</t>
  </si>
  <si>
    <t>вп(-)
пз(-)
8/2(8:00)</t>
  </si>
  <si>
    <t>вп(-)
8/2(8:00)</t>
  </si>
  <si>
    <t xml:space="preserve">44 бригада  </t>
  </si>
  <si>
    <t>вп(-)
зп(-)
8/2(8:00)</t>
  </si>
  <si>
    <t>пз(-)
зп(-)
вп(-)
8/2(8:00)</t>
  </si>
  <si>
    <t>зп(-)
вп(-)
пз(-)
8/2(8:00)</t>
  </si>
  <si>
    <t>зп(-)
пз(-)
8/1(8:00)</t>
  </si>
  <si>
    <t>майстр дільниці</t>
  </si>
  <si>
    <t xml:space="preserve">46 бригада  </t>
  </si>
  <si>
    <t>пз(-)
зп(-)
8/1(8:00)</t>
  </si>
  <si>
    <t>зп(-)
8/2(8:00)</t>
  </si>
  <si>
    <t xml:space="preserve">47 бригада  </t>
  </si>
  <si>
    <t xml:space="preserve">49 бригада  </t>
  </si>
  <si>
    <t xml:space="preserve">50 бригада  </t>
  </si>
  <si>
    <t>зп(-)
пз(-)
вп(-)
8/1(8:00)</t>
  </si>
  <si>
    <t>зп(-)
пз(-)
вп(-)
8/2(8:00)</t>
  </si>
  <si>
    <t xml:space="preserve">51 бригада  </t>
  </si>
  <si>
    <t xml:space="preserve">52 бригада  </t>
  </si>
  <si>
    <t>ТО(-)
вп(-)
8/1(6:00)</t>
  </si>
  <si>
    <t xml:space="preserve">53 бригада  </t>
  </si>
  <si>
    <t>зп(-)
вп(-)
8/2(8:00)</t>
  </si>
  <si>
    <t xml:space="preserve">54 бригада  </t>
  </si>
  <si>
    <t xml:space="preserve">55 бригада  </t>
  </si>
  <si>
    <t xml:space="preserve">56 бригада  </t>
  </si>
  <si>
    <t>АЗ(-)</t>
  </si>
  <si>
    <t xml:space="preserve">57 бригада  </t>
  </si>
  <si>
    <t xml:space="preserve">58 бригада  </t>
  </si>
  <si>
    <t xml:space="preserve">59 бригада  </t>
  </si>
  <si>
    <t xml:space="preserve">60 бригада  </t>
  </si>
  <si>
    <t xml:space="preserve">61 бригада  </t>
  </si>
  <si>
    <t xml:space="preserve">62 бригада  </t>
  </si>
  <si>
    <t xml:space="preserve">63 бригада  </t>
  </si>
  <si>
    <t>пз(-)
вп(-)
8/2(8:00)</t>
  </si>
  <si>
    <t xml:space="preserve">64 бригада  </t>
  </si>
  <si>
    <t xml:space="preserve">65 бригада  </t>
  </si>
  <si>
    <t xml:space="preserve">
8/2(8:00)</t>
  </si>
  <si>
    <t xml:space="preserve">
8/1(8:00)</t>
  </si>
  <si>
    <t xml:space="preserve">66 бригада  </t>
  </si>
  <si>
    <t xml:space="preserve">67 бригада  </t>
  </si>
  <si>
    <t xml:space="preserve">68 бригада  </t>
  </si>
  <si>
    <t>К(8:00)</t>
  </si>
  <si>
    <t>ТО(-)
пз(-)
8/2(6:00)</t>
  </si>
  <si>
    <t xml:space="preserve">майстер дільниці </t>
  </si>
  <si>
    <t xml:space="preserve">11 бригада  </t>
  </si>
  <si>
    <t xml:space="preserve">12 бригада  </t>
  </si>
  <si>
    <t>ТО(-)
зп(-)
пз(-)
8/2(6:29)</t>
  </si>
  <si>
    <t>ТО(-)
8/1(3:00)</t>
  </si>
  <si>
    <t xml:space="preserve">13 бригада  </t>
  </si>
  <si>
    <t>ТО(-)
вп(-)
8/1(7:39)</t>
  </si>
  <si>
    <t xml:space="preserve">21 бригада  </t>
  </si>
  <si>
    <t>Петрушка Любомир Анатолійович</t>
  </si>
  <si>
    <t xml:space="preserve">22 бригада  </t>
  </si>
  <si>
    <t>ТО(-)
вп(-)
пз(-)
8/2(2:55)</t>
  </si>
  <si>
    <t xml:space="preserve">23 бригада  </t>
  </si>
  <si>
    <t>ТО(-)
вп(-)
пз(-)
зп(-)
8/2(7:40)</t>
  </si>
  <si>
    <t xml:space="preserve">32 бригада  </t>
  </si>
  <si>
    <t xml:space="preserve">33 бригада  </t>
  </si>
  <si>
    <t>NO TEAM</t>
  </si>
  <si>
    <t xml:space="preserve">
8/1(6:00)</t>
  </si>
  <si>
    <t>065:00</t>
  </si>
  <si>
    <t>159:00</t>
  </si>
  <si>
    <t>069:00</t>
  </si>
  <si>
    <t>120:00</t>
  </si>
  <si>
    <t xml:space="preserve">
8/1(7:00)</t>
  </si>
  <si>
    <t>151:00</t>
  </si>
  <si>
    <t>176:00</t>
  </si>
  <si>
    <t xml:space="preserve"> 8</t>
  </si>
  <si>
    <t>119:00</t>
  </si>
  <si>
    <t xml:space="preserve">
8/1(5:00)</t>
  </si>
  <si>
    <t>127:00</t>
  </si>
  <si>
    <t>155:30</t>
  </si>
  <si>
    <t>128:00</t>
  </si>
  <si>
    <t>135:00</t>
  </si>
  <si>
    <t>160:00</t>
  </si>
  <si>
    <t>ОД(-)</t>
  </si>
  <si>
    <t>104:00</t>
  </si>
  <si>
    <t>112:00</t>
  </si>
  <si>
    <t>072:00</t>
  </si>
  <si>
    <t xml:space="preserve"> 9</t>
  </si>
  <si>
    <t>136:00</t>
  </si>
  <si>
    <t>088:00</t>
  </si>
  <si>
    <t>080:00</t>
  </si>
  <si>
    <t>079:00</t>
  </si>
  <si>
    <t>040:00</t>
  </si>
  <si>
    <t xml:space="preserve"> 5</t>
  </si>
  <si>
    <t>149:30</t>
  </si>
  <si>
    <t>103:00</t>
  </si>
  <si>
    <t xml:space="preserve">
8/1(4:00)</t>
  </si>
  <si>
    <t xml:space="preserve">
8/1(1:00)</t>
  </si>
  <si>
    <t>085:00</t>
  </si>
  <si>
    <t>152:00</t>
  </si>
  <si>
    <t>075:00</t>
  </si>
  <si>
    <t>056:00</t>
  </si>
  <si>
    <t xml:space="preserve"> 7</t>
  </si>
  <si>
    <t>144:00</t>
  </si>
  <si>
    <t>старший контролер каб.виробів</t>
  </si>
  <si>
    <t xml:space="preserve">
8/2(4:00)</t>
  </si>
  <si>
    <t>149:00</t>
  </si>
  <si>
    <t>141:00</t>
  </si>
  <si>
    <t xml:space="preserve">
8/2(7:00)</t>
  </si>
  <si>
    <t>154:05</t>
  </si>
  <si>
    <t>156:30</t>
  </si>
  <si>
    <t>131:30</t>
  </si>
  <si>
    <t>158:30</t>
  </si>
  <si>
    <t xml:space="preserve">
8/2(5:00)</t>
  </si>
  <si>
    <t>155:00</t>
  </si>
  <si>
    <t xml:space="preserve">
8/2(6:00)</t>
  </si>
  <si>
    <t>135:05</t>
  </si>
  <si>
    <t>048:00</t>
  </si>
  <si>
    <t xml:space="preserve"> 6</t>
  </si>
  <si>
    <t>Гринчак Андрій Олегович</t>
  </si>
  <si>
    <t>039:00</t>
  </si>
  <si>
    <t xml:space="preserve">
8/1(2:00)</t>
  </si>
  <si>
    <t>114:00</t>
  </si>
  <si>
    <t>031:00</t>
  </si>
  <si>
    <t xml:space="preserve"> 4</t>
  </si>
  <si>
    <t>157:00</t>
  </si>
  <si>
    <t>8/1(5:00)</t>
  </si>
  <si>
    <t>148:30</t>
  </si>
  <si>
    <t>000:00</t>
  </si>
  <si>
    <t xml:space="preserve"> 0</t>
  </si>
  <si>
    <t>156:00</t>
  </si>
  <si>
    <t>105:00</t>
  </si>
  <si>
    <t>129:05</t>
  </si>
  <si>
    <t>135:30</t>
  </si>
  <si>
    <t>090:30</t>
  </si>
  <si>
    <t>148:00</t>
  </si>
  <si>
    <t>100:00</t>
  </si>
  <si>
    <t>Данилюк  Ігор  Миколайович</t>
  </si>
  <si>
    <t>140:30</t>
  </si>
  <si>
    <t>063:00</t>
  </si>
  <si>
    <t>128:30</t>
  </si>
  <si>
    <t>154:30</t>
  </si>
  <si>
    <t>153:30</t>
  </si>
  <si>
    <t>150:00</t>
  </si>
  <si>
    <t>80:00</t>
  </si>
  <si>
    <t>024:00</t>
  </si>
  <si>
    <t>096:00</t>
  </si>
  <si>
    <t xml:space="preserve"> 3</t>
  </si>
  <si>
    <t xml:space="preserve"> транспортувальник</t>
  </si>
  <si>
    <t>064:00</t>
  </si>
  <si>
    <t xml:space="preserve">транспортувальник </t>
  </si>
  <si>
    <t>транспортувальник.</t>
  </si>
  <si>
    <t>Транспортувальник</t>
  </si>
  <si>
    <t>00/1196</t>
  </si>
  <si>
    <t>Електромонтажник-схемник</t>
  </si>
  <si>
    <t>Матущак Галина Дмитрівна</t>
  </si>
  <si>
    <t>Оператор автоматичних ліній верстатів та установок</t>
  </si>
  <si>
    <t>Сандуляк Андрій Миколайович</t>
  </si>
  <si>
    <t>Комірник</t>
  </si>
  <si>
    <t>Адміністратор системи</t>
  </si>
  <si>
    <t>Тимош Георгій Костянтинович</t>
  </si>
  <si>
    <t>Сафронюк Ірина Львівна</t>
  </si>
  <si>
    <t>Звірід Михайло Георгійович</t>
  </si>
  <si>
    <t>10/0937</t>
  </si>
  <si>
    <t>Семенюк Владислав Дмитрович</t>
  </si>
  <si>
    <t>Майстер дільниці</t>
  </si>
  <si>
    <t>Кретініна Натаклія Всеволодівна</t>
  </si>
  <si>
    <t>10/1331</t>
  </si>
  <si>
    <t>Мазуряк Іван Михайлович</t>
  </si>
  <si>
    <t>10/1622</t>
  </si>
  <si>
    <t>Клим Ілля Іванович</t>
  </si>
  <si>
    <t>Лаборант</t>
  </si>
  <si>
    <t>Боднар Галина Віталівна</t>
  </si>
  <si>
    <t>Фахівець з кадрів</t>
  </si>
  <si>
    <t>Інженер з якості</t>
  </si>
  <si>
    <t>00/1188</t>
  </si>
  <si>
    <t>Гаврилюк Олексій Аркадійович</t>
  </si>
  <si>
    <t>Кур'єр</t>
  </si>
  <si>
    <t>10/1055</t>
  </si>
  <si>
    <t>Олексейчук Дмитро Вікторович</t>
  </si>
  <si>
    <t>00/1186</t>
  </si>
  <si>
    <t>Панасенко Євгенія Василівна</t>
  </si>
  <si>
    <t>Контролер кабельних виробів</t>
  </si>
  <si>
    <t>Начальник служби охорони праці</t>
  </si>
  <si>
    <t>Галуза Іван Михайлович</t>
  </si>
  <si>
    <t>Короткошейко Микола Олексійович</t>
  </si>
  <si>
    <t>Заїць Юлія Іванівна</t>
  </si>
  <si>
    <t>10/1482</t>
  </si>
  <si>
    <t>Грінберг Ліліяна Дмитрівна</t>
  </si>
  <si>
    <t>10/1391</t>
  </si>
  <si>
    <t>Столяров Юрій Володимирович</t>
  </si>
  <si>
    <t>Заіць Ольга Михайлівна</t>
  </si>
  <si>
    <t>10/0855</t>
  </si>
  <si>
    <t>Щербак Григорій Іванович</t>
  </si>
  <si>
    <t>20/0014</t>
  </si>
  <si>
    <t>Токарюк Іван Ігорович</t>
  </si>
  <si>
    <t>10/1211</t>
  </si>
  <si>
    <t>Тесніцька Катерина Михайлівна</t>
  </si>
  <si>
    <t>Миронець Оксана Анатоліївна</t>
  </si>
  <si>
    <t>Фахівець з якості</t>
  </si>
  <si>
    <t>Налагоджувальник технологічного устаткування</t>
  </si>
  <si>
    <t>10/0613</t>
  </si>
  <si>
    <t>Олару Іван Іванович</t>
  </si>
  <si>
    <t>Палій Людмила Валентинівна</t>
  </si>
  <si>
    <t>Контролер кабельних виробів (старший)</t>
  </si>
  <si>
    <t>Литвинюк Маріанна Володимирівна</t>
  </si>
  <si>
    <t>Іванишин Назар Васильович</t>
  </si>
  <si>
    <t>Хожинський Олександр Анатолійович</t>
  </si>
  <si>
    <t>10/0489</t>
  </si>
  <si>
    <t>Іонел Олена Андріївна</t>
  </si>
  <si>
    <t>10/1654</t>
  </si>
  <si>
    <t>Ткачук Денис Віталійович</t>
  </si>
  <si>
    <t>Механік</t>
  </si>
  <si>
    <t>Лапушнян Станіслав Михайлович</t>
  </si>
  <si>
    <t>Неврянська Оксана Володимирівна</t>
  </si>
  <si>
    <t>Садовник В'ячеслав Дмитрович</t>
  </si>
  <si>
    <t>Васіліу Олена Олександрівна</t>
  </si>
  <si>
    <t>Зимбович Тетяна Василівна</t>
  </si>
  <si>
    <t>Бражнікова Олена Миколаївна</t>
  </si>
  <si>
    <t>10/1617</t>
  </si>
  <si>
    <t>Романович Валентина Василівна</t>
  </si>
  <si>
    <t>Купченко Іван Петрович</t>
  </si>
  <si>
    <t>Менеджер з логістики</t>
  </si>
  <si>
    <t>Миронець Надія Іванівна</t>
  </si>
  <si>
    <t>Попович Віктор Серафимович</t>
  </si>
  <si>
    <t>Григоряк Ганна Михайлівна</t>
  </si>
  <si>
    <t>10/0279</t>
  </si>
  <si>
    <t>Тимофті Лівія Василівна</t>
  </si>
  <si>
    <t>10/1624</t>
  </si>
  <si>
    <t>Бойко Іван Тимофійович</t>
  </si>
  <si>
    <t>10/0997</t>
  </si>
  <si>
    <t>Степанюк Олег Олександрович</t>
  </si>
  <si>
    <t>Павлюк Володимир Степанович</t>
  </si>
  <si>
    <t>Адміністратор (тренер)</t>
  </si>
  <si>
    <t>Чемборович Андрій Миколайович</t>
  </si>
  <si>
    <t>Прибиральник виробничих приміщень</t>
  </si>
  <si>
    <t>Смолінські Дойна Костянтинівна</t>
  </si>
  <si>
    <t>Бухгалтер по розрахунку заробітної плати</t>
  </si>
  <si>
    <t>Табельник</t>
  </si>
  <si>
    <t>10/0233</t>
  </si>
  <si>
    <t>Жалба Анна Федорівна</t>
  </si>
  <si>
    <t>Тодорович Іван Романович</t>
  </si>
  <si>
    <t>00/1151</t>
  </si>
  <si>
    <t>Гордей Валерій Штефанович</t>
  </si>
  <si>
    <t>20/0016</t>
  </si>
  <si>
    <t>Герасимчук Артем Миколайович</t>
  </si>
  <si>
    <t>Почтарь Наталія Василівна</t>
  </si>
  <si>
    <t>00/1091</t>
  </si>
  <si>
    <t>Пепеля Василь Степанович</t>
  </si>
  <si>
    <t>Віксіч Ганна Василівна</t>
  </si>
  <si>
    <t>Григорій Марін Михайлович</t>
  </si>
  <si>
    <t>Зверід Леонід Лазарович</t>
  </si>
  <si>
    <t>Чорней В'ячеслав Васильович</t>
  </si>
  <si>
    <t>10/0992</t>
  </si>
  <si>
    <t>Пантелей Світлана Миколаївна</t>
  </si>
  <si>
    <t>10/0793</t>
  </si>
  <si>
    <t>Бундук Маріан Васильович</t>
  </si>
  <si>
    <t>Мазурашу Людмила Маріянівна</t>
  </si>
  <si>
    <t>Обліковець</t>
  </si>
  <si>
    <t>10/1021</t>
  </si>
  <si>
    <t>Панчук Павло Вікторович</t>
  </si>
  <si>
    <t>00/0084</t>
  </si>
  <si>
    <t>Філіпчук Сергій Олександрович</t>
  </si>
  <si>
    <t>Головний енергетик</t>
  </si>
  <si>
    <t>Котельніков Валерій Володимирович</t>
  </si>
  <si>
    <t>10/1639</t>
  </si>
  <si>
    <t>Єнакакі Іван Георгійович</t>
  </si>
  <si>
    <t>00/1183</t>
  </si>
  <si>
    <t>Антошевська  Світлана Іллівна</t>
  </si>
  <si>
    <t>10/1118</t>
  </si>
  <si>
    <t>Хамкевич Михайло Олексійович</t>
  </si>
  <si>
    <t>Харіна Тетяна Іванівна (осн.)</t>
  </si>
  <si>
    <t>Бурла Анжела Михайлівна</t>
  </si>
  <si>
    <t>Бойчук Юрій Юрійович</t>
  </si>
  <si>
    <t>10/1638</t>
  </si>
  <si>
    <t>Леуш Тетяна Миколаївна</t>
  </si>
  <si>
    <t>Крупецьков Андрій Георгійович</t>
  </si>
  <si>
    <t>10/1453</t>
  </si>
  <si>
    <t>Мацкуляк Світлана Дмитрівна</t>
  </si>
  <si>
    <t>Слушна Наталія Іванівна</t>
  </si>
  <si>
    <t>Ступерська Інна Миколаївна</t>
  </si>
  <si>
    <t>Вишинська Лариса Володимирівна</t>
  </si>
  <si>
    <t>Одинська Наталія Василівна</t>
  </si>
  <si>
    <t>10/1618</t>
  </si>
  <si>
    <t>Біблюк Василь Дмитрович</t>
  </si>
  <si>
    <t>Ткач Ігор Володимирович</t>
  </si>
  <si>
    <t>Столяренко Анатолій Олександрович</t>
  </si>
  <si>
    <t>Вітвіцький Богдан Йосипович</t>
  </si>
  <si>
    <t>Лунгуляк Марія Флорїівна</t>
  </si>
  <si>
    <t>10/0400</t>
  </si>
  <si>
    <t>Малімон Наталія Борисівна</t>
  </si>
  <si>
    <t>10/1636</t>
  </si>
  <si>
    <t>Гуцул Аліна Сергіївна</t>
  </si>
  <si>
    <t>Кох Іван Самійлович</t>
  </si>
  <si>
    <t>Воробець Ілона Іванівна</t>
  </si>
  <si>
    <t>00/1129</t>
  </si>
  <si>
    <t>Митрофанов Віктор Юрійович</t>
  </si>
  <si>
    <t>10/0758</t>
  </si>
  <si>
    <t>Осипчук Ірина Володимирівна</t>
  </si>
  <si>
    <t>10/1365</t>
  </si>
  <si>
    <t>Пероган Майя Григорівна</t>
  </si>
  <si>
    <t>10/0076</t>
  </si>
  <si>
    <t>Олійник Руслана Вікторівна</t>
  </si>
  <si>
    <t>20/0021</t>
  </si>
  <si>
    <t>Онуфрійчук Андрій Павлович</t>
  </si>
  <si>
    <t>Капітанчук Андрій Вікторович</t>
  </si>
  <si>
    <t>Інспектор з кадрів</t>
  </si>
  <si>
    <t>Сільченко Антон Володимирович</t>
  </si>
  <si>
    <t>Директор з якості</t>
  </si>
  <si>
    <t>Паладян Віталій Георгійович</t>
  </si>
  <si>
    <t>10/0619</t>
  </si>
  <si>
    <t>Карпюк Іван Васильович</t>
  </si>
  <si>
    <t>10/1137</t>
  </si>
  <si>
    <t>Крульковський Олександр Іванович</t>
  </si>
  <si>
    <t>10/0504</t>
  </si>
  <si>
    <t>Спринчану Даніела Семенівна</t>
  </si>
  <si>
    <t>Ординська Діана Дмитрівна</t>
  </si>
  <si>
    <t>10/1063</t>
  </si>
  <si>
    <t>Александроає Георгій Васильович</t>
  </si>
  <si>
    <t>10/1093</t>
  </si>
  <si>
    <t>Тихоліз Марія Василівна</t>
  </si>
  <si>
    <t>Берлінський Микола Петрович</t>
  </si>
  <si>
    <t>10/1609</t>
  </si>
  <si>
    <t>Букреєв Сергій Олександрович</t>
  </si>
  <si>
    <t>Паладій Вячіслав Михайлович</t>
  </si>
  <si>
    <t>Бухгалтер</t>
  </si>
  <si>
    <t>Єфімова Ірина Василівна</t>
  </si>
  <si>
    <t>Начальник дільниці</t>
  </si>
  <si>
    <t>20/0018</t>
  </si>
  <si>
    <t>Пилип'юк Микола Любомирович</t>
  </si>
  <si>
    <t>Лисий Віталій Михайлович</t>
  </si>
  <si>
    <t>10/1467</t>
  </si>
  <si>
    <t>Воренко Михайло Петрович</t>
  </si>
  <si>
    <t>Лозінський Олег Анатолійович</t>
  </si>
  <si>
    <t>10/0289</t>
  </si>
  <si>
    <t>Гунько Микола Васильович</t>
  </si>
  <si>
    <t>Руссу Ілля В'ячеславович</t>
  </si>
  <si>
    <t>Горенко Домніка Іванівна</t>
  </si>
  <si>
    <t>00/1163</t>
  </si>
  <si>
    <t>Хрищук Олексій Дмитрович</t>
  </si>
  <si>
    <t>Дяченко Олександр Миколайович</t>
  </si>
  <si>
    <t>Старший інженер з якості</t>
  </si>
  <si>
    <t>Бойко Наталія Володимирівна</t>
  </si>
  <si>
    <t>Воронова Світлана Іллівна</t>
  </si>
  <si>
    <t>Дудка Марина Дмитрівна</t>
  </si>
  <si>
    <t>Старший адміністратор системи</t>
  </si>
  <si>
    <t>Малик Юрій Дмитрович</t>
  </si>
  <si>
    <t>10/1434</t>
  </si>
  <si>
    <t>Манченко Олег Сергійович</t>
  </si>
  <si>
    <t>Баскевич Марія Іллівна</t>
  </si>
  <si>
    <t>Хмель Марія Іванівна</t>
  </si>
  <si>
    <t>Асистент директора</t>
  </si>
  <si>
    <t>00/1145</t>
  </si>
  <si>
    <t>Балук Владислав Олегович</t>
  </si>
  <si>
    <t>Старший технолог</t>
  </si>
  <si>
    <t>Начальник відділу ІТ</t>
  </si>
  <si>
    <t>Ілларіонов Євген Геннадійович</t>
  </si>
  <si>
    <t>Гаврилюк Алла Дмитрівна</t>
  </si>
  <si>
    <t>10/1626</t>
  </si>
  <si>
    <t>Ткач Людмила Миколаївна</t>
  </si>
  <si>
    <t>Фахівець з управління складом</t>
  </si>
  <si>
    <t>Горюк Микола Іванович</t>
  </si>
  <si>
    <t>10/1567</t>
  </si>
  <si>
    <t>Колесник Катерина Василівна</t>
  </si>
  <si>
    <t>Котляревський Владислав Георгійович</t>
  </si>
  <si>
    <t>10/1369</t>
  </si>
  <si>
    <t>Московчук Андрій Васильович</t>
  </si>
  <si>
    <t>Летяцький Павло Юрійович</t>
  </si>
  <si>
    <t>10/1615</t>
  </si>
  <si>
    <t>Годжа Борис Вікторович</t>
  </si>
  <si>
    <t>Лупан Тетяна Дмитрівна</t>
  </si>
  <si>
    <t>Фельдшер</t>
  </si>
  <si>
    <t>Кобевко Дмитро Онуфрійович</t>
  </si>
  <si>
    <t>Завідувач господарства</t>
  </si>
  <si>
    <t>10/1633</t>
  </si>
  <si>
    <t>Матушевська Валентина Богданівна</t>
  </si>
  <si>
    <t>00/1130</t>
  </si>
  <si>
    <t>Дроник Андрій Степанович</t>
  </si>
  <si>
    <t>00/1180</t>
  </si>
  <si>
    <t>Якубовський Євгеній Вікторович</t>
  </si>
  <si>
    <t>Цепенюк Віктор Васильович</t>
  </si>
  <si>
    <t>Кругліков Костянтин Вікторович</t>
  </si>
  <si>
    <t>Толмач Марина Анатоліївна</t>
  </si>
  <si>
    <t>Маращук Яна Василівна</t>
  </si>
  <si>
    <t>Менеджер відділу ЗЕЗ</t>
  </si>
  <si>
    <t>00/0040</t>
  </si>
  <si>
    <t>Дубик Ганна Володимирівна</t>
  </si>
  <si>
    <t>Фахівець з нормування праці</t>
  </si>
  <si>
    <t>20/0011</t>
  </si>
  <si>
    <t>Киселиця Олексій Георгійович</t>
  </si>
  <si>
    <t>Наріжняк Віоріка Миколаївна</t>
  </si>
  <si>
    <t>Шарко Ольга Григорівна</t>
  </si>
  <si>
    <t>10/1610</t>
  </si>
  <si>
    <t>Кульчицький Роман Юрійович</t>
  </si>
  <si>
    <t>10/0228</t>
  </si>
  <si>
    <t>Пиргару Валентин Петрович</t>
  </si>
  <si>
    <t>Апопі Катерина Тодорівна</t>
  </si>
  <si>
    <t>20/0017</t>
  </si>
  <si>
    <t>Чийчук Степан Степанович</t>
  </si>
  <si>
    <t>Аронець Галина Михайлівна</t>
  </si>
  <si>
    <t>Ністор Родіка Дмитрівна</t>
  </si>
  <si>
    <t>Дзісь Олександр Миколайович</t>
  </si>
  <si>
    <t>Старший інструктор виробничого навчання</t>
  </si>
  <si>
    <t>Слюсар-ремонтник</t>
  </si>
  <si>
    <t>20/0008</t>
  </si>
  <si>
    <t>Іващук Василь Васильович</t>
  </si>
  <si>
    <t>Враголіч Саша</t>
  </si>
  <si>
    <t>Генеральний директор</t>
  </si>
  <si>
    <t>10/0851</t>
  </si>
  <si>
    <t>Німичка Ігор Васильович</t>
  </si>
  <si>
    <t>Юрчук Олена Георгіївна</t>
  </si>
  <si>
    <t>заступник начальника технічного відділу</t>
  </si>
  <si>
    <t>Орос Оксана Анатоліївна</t>
  </si>
  <si>
    <t>Інженер з комплектації</t>
  </si>
  <si>
    <t>20/0022</t>
  </si>
  <si>
    <t>Мякота Степан Васильович</t>
  </si>
  <si>
    <t>Гаврилюк Костянтин Ілліч</t>
  </si>
  <si>
    <t>10/1203</t>
  </si>
  <si>
    <t>Факас Марина Михайлівна</t>
  </si>
  <si>
    <t>20/0025</t>
  </si>
  <si>
    <t>Станкевич Марк Олександрович</t>
  </si>
  <si>
    <t>10/0373</t>
  </si>
  <si>
    <t>Сандулова Юліана Георгіївна</t>
  </si>
  <si>
    <t>10/0692</t>
  </si>
  <si>
    <t>Зигря Ірина Флорівна</t>
  </si>
  <si>
    <t>Мартинюк Михайло Васильович</t>
  </si>
  <si>
    <t>Ігнат Василь Іллєвич</t>
  </si>
  <si>
    <t>Чеботар Стеліан Федорович</t>
  </si>
  <si>
    <t>Старший механік</t>
  </si>
  <si>
    <t>10/1377</t>
  </si>
  <si>
    <t>Візітіу Іван Георгійович</t>
  </si>
  <si>
    <t>Данилюк Ігор Миколайович</t>
  </si>
  <si>
    <t>Герман Міхаєла Іванівна</t>
  </si>
  <si>
    <t>Фарфуляк Тетяна Геннадіївна</t>
  </si>
  <si>
    <t>Шлей В'ячеслав Васильович</t>
  </si>
  <si>
    <t>10/1413</t>
  </si>
  <si>
    <t>Баскаков Віктор Олександрович</t>
  </si>
  <si>
    <t>Пентюк Наталія Миколаївна</t>
  </si>
  <si>
    <t>Будеску Тетяна Танасіївна</t>
  </si>
  <si>
    <t>Гуцуляк Оксана Аурелівна</t>
  </si>
  <si>
    <t>Міщук Василь Петрович</t>
  </si>
  <si>
    <t>10/1634</t>
  </si>
  <si>
    <t>Бойчук Анатолій Дмитрович</t>
  </si>
  <si>
    <t>Ванзар Яна Орестівна</t>
  </si>
  <si>
    <t>10/1014</t>
  </si>
  <si>
    <t>Донецька Віра Дмитрівна</t>
  </si>
  <si>
    <t>20/0006</t>
  </si>
  <si>
    <t>Флорескул Валентин Любомирович</t>
  </si>
  <si>
    <t>Акірі Олег Георгійович</t>
  </si>
  <si>
    <t>20/0013</t>
  </si>
  <si>
    <t>Онофрейчук Себастян Русланович</t>
  </si>
  <si>
    <t>Андрієш Лариса Георгіївна</t>
  </si>
  <si>
    <t>20/0010</t>
  </si>
  <si>
    <t>Кучурян Євгеній Васильович</t>
  </si>
  <si>
    <t>Олійник Георгій Васильович</t>
  </si>
  <si>
    <t>10/0732</t>
  </si>
  <si>
    <t>Аксанді Крістіна Василівна</t>
  </si>
  <si>
    <t>10/1612</t>
  </si>
  <si>
    <t>Павлович Станіслав Едуардович</t>
  </si>
  <si>
    <t>10/1220</t>
  </si>
  <si>
    <t>Амарієй Богдан Дмитрович</t>
  </si>
  <si>
    <t>10/1036</t>
  </si>
  <si>
    <t>Франков Максим Анатолійович</t>
  </si>
  <si>
    <t>10/1608</t>
  </si>
  <si>
    <t>Бойчук Світлана Михайлівна</t>
  </si>
  <si>
    <t>Цюцюра Микола Богданович</t>
  </si>
  <si>
    <t>10/1224</t>
  </si>
  <si>
    <t>Прокопець Сергій Любомирович</t>
  </si>
  <si>
    <t>10/0969</t>
  </si>
  <si>
    <t>Прокопчук Юлія Дмитрівна</t>
  </si>
  <si>
    <t>Вишневська Людмила Степанівна</t>
  </si>
  <si>
    <t>Гураль Олександр Васильович</t>
  </si>
  <si>
    <t>10/1441</t>
  </si>
  <si>
    <t>Глухий Вадим Дмитрович</t>
  </si>
  <si>
    <t>Негуляєва Лілія Ярославівна</t>
  </si>
  <si>
    <t>Бадюк Оксана Володимирівна</t>
  </si>
  <si>
    <t>10/1038</t>
  </si>
  <si>
    <t>Бердієва Нілуфар Умріузаківна</t>
  </si>
  <si>
    <t>10/0008</t>
  </si>
  <si>
    <t>Монах Світлана Дмитрівна</t>
  </si>
  <si>
    <t>10/0904</t>
  </si>
  <si>
    <t>Прискурі Еммануїл Миколайович</t>
  </si>
  <si>
    <t>Миронів Сергій Іванович</t>
  </si>
  <si>
    <t>Вольська Олена Михайлівна</t>
  </si>
  <si>
    <t>Кістол Олена Георгіївна</t>
  </si>
  <si>
    <t>10/1614</t>
  </si>
  <si>
    <t>Карабаджак Дмитро Федорович</t>
  </si>
  <si>
    <t>20/0012</t>
  </si>
  <si>
    <t>Грижинку Ілля Валентинович</t>
  </si>
  <si>
    <t>Технолог</t>
  </si>
  <si>
    <t>10/1209</t>
  </si>
  <si>
    <t>Доміняк Володимир Анатолійович</t>
  </si>
  <si>
    <t>10/1607</t>
  </si>
  <si>
    <t>Бойчук Юлія Дмитрівна</t>
  </si>
  <si>
    <t>Маник Віталій Дмитрович</t>
  </si>
  <si>
    <t>10/0917</t>
  </si>
  <si>
    <t>Костенюк Тарас Валерійович</t>
  </si>
  <si>
    <t>Пацарнюк Мар'яна Ярославівна</t>
  </si>
  <si>
    <t>Економіст з бухгалтерського обліку та аналізу господарської діяльності</t>
  </si>
  <si>
    <t>Сухова Тетяна Олександрівна</t>
  </si>
  <si>
    <t>20/0015</t>
  </si>
  <si>
    <t>Дроняк Юрій Юрійович</t>
  </si>
  <si>
    <t>Данчу Віра Іванівна</t>
  </si>
  <si>
    <t>Гусар Тарас Олегович</t>
  </si>
  <si>
    <t>Начальник технічного відділу</t>
  </si>
  <si>
    <t>Савіцький Максим Миколайович</t>
  </si>
  <si>
    <t>Максимчук Мар'яна Василівна</t>
  </si>
  <si>
    <t>10/0312</t>
  </si>
  <si>
    <t>Думич Наталія Іванівна</t>
  </si>
  <si>
    <t>10/0962</t>
  </si>
  <si>
    <t>Сувейке Лілія Костянтинівна</t>
  </si>
  <si>
    <t>00/0081</t>
  </si>
  <si>
    <t>Худий Віталій Маріанович</t>
  </si>
  <si>
    <t>Інженер з пожежної безпеки та техногенно-екологічної безпеки</t>
  </si>
  <si>
    <t>10/1616</t>
  </si>
  <si>
    <t>Филипчук Ольга Василівна</t>
  </si>
  <si>
    <t>20/0005</t>
  </si>
  <si>
    <t>Гакман Михайло Миколайович</t>
  </si>
  <si>
    <t>10/0527</t>
  </si>
  <si>
    <t>Андрієш Тетяна Георгіївна</t>
  </si>
  <si>
    <t>Нікітіна Андріана В'ячеславівна</t>
  </si>
  <si>
    <t>Дідик В'ячеслав Володимирович</t>
  </si>
  <si>
    <t>20/0007</t>
  </si>
  <si>
    <t>Милничук Іван Вячеславович</t>
  </si>
  <si>
    <t>10/0341</t>
  </si>
  <si>
    <t>Ганцеску Аліна Костянтинівна</t>
  </si>
  <si>
    <t>Долженкова Наталія Романівна</t>
  </si>
  <si>
    <t>10/1284</t>
  </si>
  <si>
    <t>Долгий Сергій Валерійович</t>
  </si>
  <si>
    <t>Шведик Віталій Анатолійович</t>
  </si>
  <si>
    <t>10/0634</t>
  </si>
  <si>
    <t>Горенко Лілія Іванівна</t>
  </si>
  <si>
    <t>10/1627</t>
  </si>
  <si>
    <t>Матійчук Оксана Богданівна</t>
  </si>
  <si>
    <t>Меріхова Людмила Леонідівна</t>
  </si>
  <si>
    <t>10/0488</t>
  </si>
  <si>
    <t>Яницька Антоніна Василівна</t>
  </si>
  <si>
    <t>Нікітін Олег Георгійович</t>
  </si>
  <si>
    <t>10/1392</t>
  </si>
  <si>
    <t>Воздовський Олександр Васильович</t>
  </si>
  <si>
    <t>10/0617</t>
  </si>
  <si>
    <t>Лапшин Олександр Вячеславович</t>
  </si>
  <si>
    <t>Томулець Олена Ігнатівна</t>
  </si>
  <si>
    <t>Шпачкова Ольга Юріївна</t>
  </si>
  <si>
    <t>Никула Степан Дмитрович</t>
  </si>
  <si>
    <t>Левітіна Оксана Вадимівна</t>
  </si>
  <si>
    <t>Начальник технологічного відділу</t>
  </si>
  <si>
    <t>10/0285</t>
  </si>
  <si>
    <t>Марчук Альона Іванівна</t>
  </si>
  <si>
    <t>10/1623</t>
  </si>
  <si>
    <t>Бабалюк Павло Андрійович</t>
  </si>
  <si>
    <t>10/1621</t>
  </si>
  <si>
    <t>Бідашку Іван Іванович</t>
  </si>
  <si>
    <t>00/1162</t>
  </si>
  <si>
    <t>Незвещук Валентин Володимирович</t>
  </si>
  <si>
    <t>20/0002</t>
  </si>
  <si>
    <t>Гімчинський Михайло Федорович</t>
  </si>
  <si>
    <t>технік-технолог</t>
  </si>
  <si>
    <t>Левчук Наталя Дмитрівна</t>
  </si>
  <si>
    <t>10/0689</t>
  </si>
  <si>
    <t>Пінтелей Віктор Романович</t>
  </si>
  <si>
    <t>00/1112</t>
  </si>
  <si>
    <t>Гергележиу Андрій Георгійович</t>
  </si>
  <si>
    <t>Саінчук Оксана Миколаївна</t>
  </si>
  <si>
    <t>20/0026</t>
  </si>
  <si>
    <t>Цукілов Михайло Анатолійович</t>
  </si>
  <si>
    <t>10/1257</t>
  </si>
  <si>
    <t>Юзько Олена Іллівна</t>
  </si>
  <si>
    <t>10/1060</t>
  </si>
  <si>
    <t>Рашевіч Владан</t>
  </si>
  <si>
    <t>Лупан Костянтин Костянтинович</t>
  </si>
  <si>
    <t>Антонійчук Станіслав Володимирович</t>
  </si>
  <si>
    <t>Яцюк Валентина Георгіївна</t>
  </si>
  <si>
    <t>Князь Богдан Васильович</t>
  </si>
  <si>
    <t>Дідик Раїса Олексіївна</t>
  </si>
  <si>
    <t>Головний бухгалтер</t>
  </si>
  <si>
    <t>10/1002</t>
  </si>
  <si>
    <t>Савка Костянтин Іванович</t>
  </si>
  <si>
    <t>10/0366</t>
  </si>
  <si>
    <t>Савчук Олександр Аркадійович</t>
  </si>
  <si>
    <t>Кичак Людмила Іванівна</t>
  </si>
  <si>
    <t>Чабан В'ячеслав Васильович</t>
  </si>
  <si>
    <t>10/0247</t>
  </si>
  <si>
    <t>Голик Ірина Валентинівна</t>
  </si>
  <si>
    <t>10/1516</t>
  </si>
  <si>
    <t>Ярина Тетяна Андріївна</t>
  </si>
  <si>
    <t>10/0794</t>
  </si>
  <si>
    <t>Труфін Віктор Васильович</t>
  </si>
  <si>
    <t>Толмач Світлана Іванівна</t>
  </si>
  <si>
    <t>00/1142</t>
  </si>
  <si>
    <t>Блажко Назарій Петрович</t>
  </si>
  <si>
    <t>10/1512</t>
  </si>
  <si>
    <t>Попіль Тетяна Володимирівна</t>
  </si>
  <si>
    <t>Стойка Ірина Петрівна</t>
  </si>
  <si>
    <t>10/1421</t>
  </si>
  <si>
    <t>Голик Юрій Іванович</t>
  </si>
  <si>
    <t>Дронік Наталію Миколаївну</t>
  </si>
  <si>
    <t>20/0023</t>
  </si>
  <si>
    <t>Онещук Віктор Васильович</t>
  </si>
  <si>
    <t>10/1631</t>
  </si>
  <si>
    <t>Жалоба Георгій Валерійович</t>
  </si>
  <si>
    <t>20/0019</t>
  </si>
  <si>
    <t>Кізима Микола Володимирович</t>
  </si>
  <si>
    <t>10/0034</t>
  </si>
  <si>
    <t>Акірі Данієла Констянтинівна</t>
  </si>
  <si>
    <t>10/0874</t>
  </si>
  <si>
    <t>Михайлюк Андрій Васильович</t>
  </si>
  <si>
    <t>00/1181</t>
  </si>
  <si>
    <t>Татарін Василь Васильович</t>
  </si>
  <si>
    <t>Підсобний робітник</t>
  </si>
  <si>
    <t>Прискурій Людмила Михайлівна</t>
  </si>
  <si>
    <t>10/1619</t>
  </si>
  <si>
    <t>Власова Світлана Олександрівна</t>
  </si>
  <si>
    <t>Жолобай Андрій Васильович</t>
  </si>
  <si>
    <t>10/1110</t>
  </si>
  <si>
    <t>Мішович Юрій Орестотелевич</t>
  </si>
  <si>
    <t>10/1613</t>
  </si>
  <si>
    <t>Бала Марія Миколаївна</t>
  </si>
  <si>
    <t>10/1632</t>
  </si>
  <si>
    <t>Шодринга Ілля Ілліч</t>
  </si>
  <si>
    <t>Амброзевич Анатолій Валентинович</t>
  </si>
  <si>
    <t>Сергієнко Сергій</t>
  </si>
  <si>
    <t>Заришняк Світлана Юріївна</t>
  </si>
  <si>
    <t>Пиргару Валентина Георгіївна</t>
  </si>
  <si>
    <t>10/0087</t>
  </si>
  <si>
    <t>Грінчук Андрій Пантелійович</t>
  </si>
  <si>
    <t>10/1630</t>
  </si>
  <si>
    <t>Федюк Петро Васильович</t>
  </si>
  <si>
    <t>00/1042</t>
  </si>
  <si>
    <t>Парфьонов Олександр Олегович</t>
  </si>
  <si>
    <t>10/1566</t>
  </si>
  <si>
    <t>Постевка Брандуша Дмитрівна</t>
  </si>
  <si>
    <t>Тинку Сорін Іонович</t>
  </si>
  <si>
    <t>10/1611</t>
  </si>
  <si>
    <t>Самараш Василь Андрійович</t>
  </si>
  <si>
    <t>10/1529</t>
  </si>
  <si>
    <t>Хартюк Ярослав Мірчевич</t>
  </si>
  <si>
    <t>10/0578</t>
  </si>
  <si>
    <t>Універсал Ілона Василівна</t>
  </si>
  <si>
    <t>Гарасим Анна Сергіївна</t>
  </si>
  <si>
    <t>10/1433</t>
  </si>
  <si>
    <t>Манченко Тетяна Юріївна</t>
  </si>
  <si>
    <t>Паршин Сергій Олександрович</t>
  </si>
  <si>
    <t>Мельник Світлана Євгенівна</t>
  </si>
  <si>
    <t>Слінько Мар'яна Дмитрівна</t>
  </si>
  <si>
    <t>10/1167</t>
  </si>
  <si>
    <t>Леонтій Мар'ян Іванович</t>
  </si>
  <si>
    <t>10/0540</t>
  </si>
  <si>
    <t>Чюботарю Олена Георгіївна</t>
  </si>
  <si>
    <t>Гемблюк Домніка Іванівна</t>
  </si>
  <si>
    <t>Іонел Лариса Георгіївна</t>
  </si>
  <si>
    <t>10/0829</t>
  </si>
  <si>
    <t>Стаднійчук Богдан Анатолійович</t>
  </si>
  <si>
    <t>Марфійчук Степанія Костянтинівна</t>
  </si>
  <si>
    <t>Мужаровська Ніна Михайлівна</t>
  </si>
  <si>
    <t>Бугаєнко Інна Миколаївна</t>
  </si>
  <si>
    <t>Варнавська Наталія Михайлівна</t>
  </si>
  <si>
    <t>Бурла Ірина Георгіївна</t>
  </si>
  <si>
    <t>Терлецька Наталя Степанівна</t>
  </si>
  <si>
    <t>10/0566</t>
  </si>
  <si>
    <t>Довганюк Олександр Іванович</t>
  </si>
  <si>
    <t>10/1225</t>
  </si>
  <si>
    <t>Бруневич Віталій Степанович</t>
  </si>
  <si>
    <t>00/0085</t>
  </si>
  <si>
    <t>Філіпчук Катерина Юріївна</t>
  </si>
  <si>
    <t>00/0068</t>
  </si>
  <si>
    <t>Гудзь Олександр Вікторович</t>
  </si>
  <si>
    <t>10/1380</t>
  </si>
  <si>
    <t>Бруверіс Ерік</t>
  </si>
  <si>
    <t>10/1033</t>
  </si>
  <si>
    <t>Прокопчук Віталій Костянтинович</t>
  </si>
  <si>
    <t>Полякова Наталія Ігорівна</t>
  </si>
  <si>
    <t>Начальник відділу кадрів</t>
  </si>
  <si>
    <t>Зав'язкіна Альона Вікторівна</t>
  </si>
  <si>
    <t>Куцак  Світлана Миколаївна</t>
  </si>
  <si>
    <t>10/0451</t>
  </si>
  <si>
    <t>Бабюк Людмила Миколаївна</t>
  </si>
  <si>
    <t>Кушнірюк Олександр Петрович</t>
  </si>
  <si>
    <t>Мороз Віталій Валеріанович</t>
  </si>
  <si>
    <t>10/1263</t>
  </si>
  <si>
    <t>Стратейчук Альона Миколаївна</t>
  </si>
  <si>
    <t>Кобзар Наталія Анатоліївна</t>
  </si>
  <si>
    <t>Начальник відділу ЗЕЗ</t>
  </si>
  <si>
    <t>20/0001</t>
  </si>
  <si>
    <t>Мигоряну Максім Михайлович</t>
  </si>
  <si>
    <t>Петрушка Анатолій Григорович</t>
  </si>
  <si>
    <t>20/0004</t>
  </si>
  <si>
    <t>Гаврилиця Денис Манолійович</t>
  </si>
  <si>
    <t>Зелінський Микола</t>
  </si>
  <si>
    <t>Біла Янна</t>
  </si>
  <si>
    <t>10/0915</t>
  </si>
  <si>
    <t>Джуряк Олег Вікторович</t>
  </si>
  <si>
    <t>20/0020</t>
  </si>
  <si>
    <t>Цюга Юрій Іванович</t>
  </si>
  <si>
    <t>Гуменюк Тарас Володимирович</t>
  </si>
  <si>
    <t>10/0894</t>
  </si>
  <si>
    <t>Аксентій Маріан Валентинович</t>
  </si>
  <si>
    <t>Морарь Юрій Георгійович</t>
  </si>
  <si>
    <t>Григореску Михайло Валентинович</t>
  </si>
  <si>
    <t>10/1625</t>
  </si>
  <si>
    <t>Цурик Мар'ян Васильович</t>
  </si>
  <si>
    <t>Красовський Іван Васильович</t>
  </si>
  <si>
    <t>10/1628</t>
  </si>
  <si>
    <t>Храмцова Світлана Іванівна</t>
  </si>
  <si>
    <t>Пилипенко Юлія Миколаївна</t>
  </si>
  <si>
    <t>Рошко Віталій Семенович</t>
  </si>
  <si>
    <t>10/1635</t>
  </si>
  <si>
    <t>Палатнюк Олександр Петрович</t>
  </si>
  <si>
    <t>10/1248</t>
  </si>
  <si>
    <t>Крикливець Микола Васильович</t>
  </si>
  <si>
    <t>Губчак Олександр Григорович</t>
  </si>
  <si>
    <t>10/0746</t>
  </si>
  <si>
    <t>Козар Вікторія Сергіївна</t>
  </si>
  <si>
    <t>10/0885</t>
  </si>
  <si>
    <t>Стрілець Мар'яна Олександрівна</t>
  </si>
  <si>
    <t>Псяровська Лариса Олексіївна</t>
  </si>
  <si>
    <t>10/1035</t>
  </si>
  <si>
    <t>Томко Ірина Георгіївна</t>
  </si>
  <si>
    <t>Іванець Олена Вікторівна</t>
  </si>
  <si>
    <t>Грігорій Лумініца Петрівна</t>
  </si>
  <si>
    <t>Мунтян Вікторія Вікторівна</t>
  </si>
  <si>
    <t>20/0003</t>
  </si>
  <si>
    <t>Житар Давид Едуардович</t>
  </si>
  <si>
    <t>20/0024</t>
  </si>
  <si>
    <t>Лопушнян Владислав Іванович</t>
  </si>
  <si>
    <t>10/1386</t>
  </si>
  <si>
    <t>Барановський Пилип Манолійович</t>
  </si>
  <si>
    <t>Клим Олександр Іванович</t>
  </si>
  <si>
    <t>10/0816</t>
  </si>
  <si>
    <t>Чайка Дмитро Юрійович</t>
  </si>
  <si>
    <t>Бурлака Олена Михайлівна</t>
  </si>
  <si>
    <t>10/0329</t>
  </si>
  <si>
    <t>Григірчик Володимир Михайлович</t>
  </si>
  <si>
    <t>00/1187</t>
  </si>
  <si>
    <t>Вольхін Всеволод Валерійович</t>
  </si>
  <si>
    <t>10/1637</t>
  </si>
  <si>
    <t>Гуцул Ірина Василівна</t>
  </si>
  <si>
    <t>10/0508</t>
  </si>
  <si>
    <t>Мазур Тетяна Ярославівна</t>
  </si>
  <si>
    <t>Скаловська Ольга Аурелівна</t>
  </si>
  <si>
    <t>10/1629</t>
  </si>
  <si>
    <t>Колісник Олександр Васильович</t>
  </si>
  <si>
    <t>00/1139</t>
  </si>
  <si>
    <t>Савчук Олександр Михайлович</t>
  </si>
  <si>
    <t>Іванець Аліна Василівна</t>
  </si>
  <si>
    <t>Опаєць Діана Ігорівна</t>
  </si>
  <si>
    <t>10/0955</t>
  </si>
  <si>
    <t>Паскаль Даниїл Костянтинович</t>
  </si>
  <si>
    <t>Константин Іван Георгійович</t>
  </si>
  <si>
    <t>Понич Олег Сільсестрович</t>
  </si>
  <si>
    <t>10/0055</t>
  </si>
  <si>
    <t>Присакар Сергій Павлович</t>
  </si>
  <si>
    <t>Коцюруба Роман Іванович</t>
  </si>
  <si>
    <t>10/0813</t>
  </si>
  <si>
    <t>Пономарь Ярослав Петрович</t>
  </si>
  <si>
    <t>10/0879</t>
  </si>
  <si>
    <t>Михайленко Вячеслав Вікторович</t>
  </si>
  <si>
    <t>Заболотнюк Олег Олегович</t>
  </si>
  <si>
    <t>Начальник відділу логістики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</si>
</sst>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5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6"/>
      <color theme="1"/>
      <name val="Calibri"/>
      <scheme val="minor"/>
    </font>
    <font>
      <b/>
      <sz val="15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B495AA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rgb="FFFFFF00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77">
    <xf numFmtId="0" fontId="0" fillId="0" borderId="0" xfId="0"/>
    <xf numFmtId="0" fontId="5" fillId="0" borderId="1" xfId="0" applyFont="1" applyBorder="1"/>
    <xf numFmtId="0" fontId="5" fillId="0" borderId="1" xfId="0" applyFont="1" applyFill="1" applyBorder="1" applyAlignment="1">
      <alignment wrapText="1"/>
    </xf>
    <xf numFmtId="0" fontId="5" fillId="0" borderId="1" xfId="0" applyFont="1" applyFill="1" applyBorder="1"/>
    <xf numFmtId="0" fontId="5" fillId="3" borderId="1" xfId="0" applyFont="1" applyFill="1" applyBorder="1" applyAlignment="1">
      <alignment vertical="center"/>
    </xf>
    <xf numFmtId="0" fontId="5" fillId="0" borderId="0" xfId="0" applyFont="1"/>
    <xf numFmtId="0" fontId="5" fillId="0" borderId="1" xfId="0" applyNumberFormat="1" applyFont="1" applyFill="1" applyBorder="1"/>
    <xf numFmtId="0" fontId="6" fillId="0" borderId="1" xfId="0" applyNumberFormat="1" applyFont="1" applyFill="1" applyBorder="1"/>
    <xf numFmtId="0" fontId="0" fillId="2" borderId="0" xfId="0" applyFill="1"/>
    <xf numFmtId="2" fontId="6" fillId="0" borderId="1" xfId="0" applyNumberFormat="1" applyFont="1" applyFill="1" applyBorder="1"/>
    <xf numFmtId="0" fontId="5" fillId="0" borderId="1" xfId="0" applyFont="1" applyFill="1" applyBorder="1" applyAlignment="1">
      <alignment horizontal="left" wrapText="1"/>
    </xf>
    <xf numFmtId="0" fontId="5" fillId="0" borderId="0" xfId="0" applyFont="1" applyAlignment="1">
      <alignment horizontal="left"/>
    </xf>
    <xf numFmtId="0" fontId="7" fillId="3" borderId="1" xfId="0" applyFont="1" applyFill="1" applyBorder="1" applyAlignment="1">
      <alignment vertical="center" wrapText="1"/>
    </xf>
    <xf numFmtId="0" fontId="8" fillId="3" borderId="1" xfId="0" applyFont="1" applyFill="1" applyBorder="1" applyAlignment="1">
      <alignment vertical="center" wrapText="1"/>
    </xf>
    <xf numFmtId="0" fontId="5" fillId="4" borderId="1" xfId="0" applyFont="1" applyFill="1" applyBorder="1" applyAlignment="1">
      <alignment vertical="center"/>
    </xf>
    <xf numFmtId="0" fontId="0" fillId="4" borderId="0" xfId="0" applyFill="1"/>
    <xf numFmtId="1" fontId="5" fillId="0" borderId="1" xfId="0" applyNumberFormat="1" applyFont="1" applyFill="1" applyBorder="1"/>
    <xf numFmtId="1" fontId="5" fillId="0" borderId="0" xfId="0" applyNumberFormat="1" applyFont="1"/>
    <xf numFmtId="0" fontId="6" fillId="0" borderId="4" xfId="0" applyNumberFormat="1" applyFont="1" applyFill="1" applyBorder="1"/>
    <xf numFmtId="0" fontId="5" fillId="0" borderId="1" xfId="4" applyFont="1" applyFill="1" applyBorder="1" applyAlignment="1">
      <alignment wrapText="1"/>
    </xf>
    <xf numFmtId="0" fontId="5" fillId="0" borderId="1" xfId="4" applyFont="1" applyFill="1" applyBorder="1"/>
    <xf numFmtId="49" fontId="5" fillId="0" borderId="1" xfId="4" applyNumberFormat="1" applyFont="1" applyFill="1" applyBorder="1"/>
    <xf numFmtId="0" fontId="5" fillId="3" borderId="1" xfId="0" applyFont="1" applyFill="1" applyBorder="1" applyAlignment="1">
      <alignment vertical="center" wrapText="1"/>
    </xf>
    <xf numFmtId="0" fontId="0" fillId="0" borderId="0" xfId="0" applyFill="1"/>
    <xf numFmtId="0" fontId="5" fillId="0" borderId="1" xfId="4" applyNumberFormat="1" applyFont="1" applyFill="1" applyBorder="1"/>
    <xf numFmtId="0" fontId="9" fillId="0" borderId="2" xfId="0" applyFont="1" applyFill="1" applyBorder="1"/>
    <xf numFmtId="0" fontId="9" fillId="0" borderId="1" xfId="0" applyNumberFormat="1" applyFont="1" applyFill="1" applyBorder="1"/>
    <xf numFmtId="0" fontId="9" fillId="0" borderId="1" xfId="0" applyFont="1" applyFill="1" applyBorder="1"/>
    <xf numFmtId="0" fontId="9" fillId="0" borderId="1" xfId="0" applyFont="1" applyFill="1" applyBorder="1" applyAlignment="1">
      <alignment wrapText="1"/>
    </xf>
    <xf numFmtId="46" fontId="9" fillId="0" borderId="1" xfId="0" applyNumberFormat="1" applyFont="1" applyFill="1" applyBorder="1" applyAlignment="1">
      <alignment horizontal="left"/>
    </xf>
    <xf numFmtId="1" fontId="9" fillId="0" borderId="1" xfId="0" applyNumberFormat="1" applyFont="1" applyFill="1" applyBorder="1"/>
    <xf numFmtId="2" fontId="9" fillId="0" borderId="1" xfId="0" applyNumberFormat="1" applyFont="1" applyFill="1" applyBorder="1"/>
    <xf numFmtId="0" fontId="9" fillId="0" borderId="1" xfId="0" applyFont="1" applyFill="1" applyBorder="1" applyAlignment="1">
      <alignment horizontal="left"/>
    </xf>
    <xf numFmtId="0" fontId="5" fillId="0" borderId="2" xfId="4" applyFont="1" applyFill="1" applyBorder="1"/>
    <xf numFmtId="0" fontId="5" fillId="0" borderId="2" xfId="0" applyFont="1" applyFill="1" applyBorder="1"/>
    <xf numFmtId="0" fontId="5" fillId="0" borderId="1" xfId="0" applyFont="1" applyFill="1" applyBorder="1" applyAlignment="1">
      <alignment horizontal="left"/>
    </xf>
    <xf numFmtId="2" fontId="5" fillId="0" borderId="1" xfId="0" applyNumberFormat="1" applyFont="1" applyFill="1" applyBorder="1"/>
    <xf numFmtId="0" fontId="10" fillId="0" borderId="2" xfId="0" applyFont="1" applyFill="1" applyBorder="1"/>
    <xf numFmtId="0" fontId="10" fillId="0" borderId="1" xfId="0" applyNumberFormat="1" applyFont="1" applyFill="1" applyBorder="1"/>
    <xf numFmtId="0" fontId="10" fillId="0" borderId="1" xfId="0" applyFont="1" applyFill="1" applyBorder="1"/>
    <xf numFmtId="0" fontId="10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horizontal="left"/>
    </xf>
    <xf numFmtId="1" fontId="10" fillId="0" borderId="1" xfId="0" applyNumberFormat="1" applyFont="1" applyFill="1" applyBorder="1"/>
    <xf numFmtId="2" fontId="10" fillId="0" borderId="1" xfId="0" applyNumberFormat="1" applyFont="1" applyFill="1" applyBorder="1"/>
    <xf numFmtId="0" fontId="0" fillId="5" borderId="0" xfId="0" applyFill="1"/>
    <xf numFmtId="1" fontId="10" fillId="0" borderId="1" xfId="0" applyNumberFormat="1" applyFont="1" applyFill="1" applyBorder="1" applyAlignment="1">
      <alignment wrapText="1"/>
    </xf>
    <xf numFmtId="0" fontId="11" fillId="0" borderId="2" xfId="0" applyFont="1" applyFill="1" applyBorder="1"/>
    <xf numFmtId="0" fontId="11" fillId="0" borderId="1" xfId="0" applyNumberFormat="1" applyFont="1" applyFill="1" applyBorder="1"/>
    <xf numFmtId="0" fontId="11" fillId="0" borderId="1" xfId="0" applyFont="1" applyFill="1" applyBorder="1"/>
    <xf numFmtId="0" fontId="11" fillId="0" borderId="1" xfId="0" applyFont="1" applyFill="1" applyBorder="1" applyAlignment="1">
      <alignment wrapText="1"/>
    </xf>
    <xf numFmtId="0" fontId="11" fillId="0" borderId="1" xfId="0" applyFont="1" applyFill="1" applyBorder="1" applyAlignment="1">
      <alignment horizontal="left"/>
    </xf>
    <xf numFmtId="1" fontId="11" fillId="0" borderId="1" xfId="0" applyNumberFormat="1" applyFont="1" applyFill="1" applyBorder="1"/>
    <xf numFmtId="2" fontId="11" fillId="0" borderId="1" xfId="0" applyNumberFormat="1" applyFont="1" applyFill="1" applyBorder="1"/>
    <xf numFmtId="1" fontId="11" fillId="0" borderId="1" xfId="4" applyNumberFormat="1" applyFont="1" applyFill="1" applyBorder="1"/>
    <xf numFmtId="1" fontId="11" fillId="0" borderId="1" xfId="4" applyNumberFormat="1" applyFont="1" applyFill="1" applyBorder="1" applyAlignment="1">
      <alignment wrapText="1"/>
    </xf>
    <xf numFmtId="0" fontId="11" fillId="0" borderId="5" xfId="0" applyFont="1" applyFill="1" applyBorder="1"/>
    <xf numFmtId="0" fontId="11" fillId="0" borderId="3" xfId="0" applyNumberFormat="1" applyFont="1" applyFill="1" applyBorder="1"/>
    <xf numFmtId="0" fontId="11" fillId="0" borderId="3" xfId="0" applyFont="1" applyFill="1" applyBorder="1"/>
    <xf numFmtId="0" fontId="11" fillId="0" borderId="3" xfId="0" applyFont="1" applyFill="1" applyBorder="1" applyAlignment="1">
      <alignment wrapText="1"/>
    </xf>
    <xf numFmtId="0" fontId="11" fillId="0" borderId="3" xfId="0" applyFont="1" applyFill="1" applyBorder="1" applyAlignment="1">
      <alignment horizontal="left"/>
    </xf>
    <xf numFmtId="1" fontId="11" fillId="0" borderId="3" xfId="0" applyNumberFormat="1" applyFont="1" applyFill="1" applyBorder="1"/>
    <xf numFmtId="2" fontId="11" fillId="0" borderId="3" xfId="0" applyNumberFormat="1" applyFont="1" applyFill="1" applyBorder="1"/>
    <xf numFmtId="0" fontId="11" fillId="0" borderId="4" xfId="0" applyNumberFormat="1" applyFont="1" applyFill="1" applyBorder="1"/>
    <xf numFmtId="0" fontId="11" fillId="0" borderId="1" xfId="4" applyFont="1" applyFill="1" applyBorder="1"/>
    <xf numFmtId="0" fontId="11" fillId="0" borderId="4" xfId="0" applyFont="1" applyFill="1" applyBorder="1"/>
    <xf numFmtId="0" fontId="11" fillId="0" borderId="4" xfId="0" applyFont="1" applyFill="1" applyBorder="1" applyAlignment="1">
      <alignment horizontal="left"/>
    </xf>
    <xf numFmtId="1" fontId="11" fillId="0" borderId="4" xfId="0" applyNumberFormat="1" applyFont="1" applyFill="1" applyBorder="1"/>
    <xf numFmtId="0" fontId="12" fillId="6" borderId="1" xfId="0" applyFont="1" applyFill="1" applyBorder="1" applyAlignment="1">
      <alignment vertical="center" wrapText="1"/>
    </xf>
    <xf numFmtId="0" fontId="13" fillId="0" borderId="1" xfId="4" applyFont="1" applyFill="1" applyBorder="1" applyAlignment="1">
      <alignment wrapText="1"/>
    </xf>
    <xf numFmtId="0" fontId="13" fillId="0" borderId="1" xfId="0" applyFont="1" applyFill="1" applyBorder="1" applyAlignment="1">
      <alignment wrapText="1"/>
    </xf>
    <xf numFmtId="0" fontId="11" fillId="0" borderId="6" xfId="0" applyNumberFormat="1" applyFont="1" applyFill="1" applyBorder="1"/>
    <xf numFmtId="0" fontId="11" fillId="0" borderId="3" xfId="4" applyFont="1" applyFill="1" applyBorder="1"/>
    <xf numFmtId="0" fontId="6" fillId="0" borderId="3" xfId="0" applyNumberFormat="1" applyFont="1" applyFill="1" applyBorder="1"/>
    <xf numFmtId="0" fontId="6" fillId="0" borderId="6" xfId="0" applyNumberFormat="1" applyFont="1" applyFill="1" applyBorder="1"/>
    <xf numFmtId="0" fontId="5" fillId="0" borderId="3" xfId="0" applyNumberFormat="1" applyFont="1" applyFill="1" applyBorder="1"/>
    <xf numFmtId="0" fontId="6" fillId="2" borderId="4" xfId="0" applyNumberFormat="1" applyFont="1" applyFill="1" applyBorder="1"/>
    <xf numFmtId="0" fontId="6" fillId="2" borderId="1" xfId="0" applyNumberFormat="1" applyFont="1" applyFill="1" applyBorder="1"/>
  </cellXfs>
  <cellStyles count="5">
    <cellStyle name="Normal" xfId="0" builtinId="0"/>
    <cellStyle name="Обычный 2" xfId="1"/>
    <cellStyle name="Обычный 3" xfId="2"/>
    <cellStyle name="Обычный 4" xfId="3"/>
    <cellStyle name="Обычный 5" xfId="4"/>
  </cellStyles>
  <dxfs count="60">
    <dxf>
      <fill>
        <patternFill patternType="solid">
          <fgColor rgb="FFFFC7CE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Таблица1" displayName="Таблица1" ref="A2:BB276" totalsRowShown="0" headerRowDxfId="59" dataDxfId="58" tableBorderDxfId="57">
  <autoFilter ref="A2:BB276"/>
  <tableColumns count="54">
    <tableColumn id="1" name="Столбец1" dataDxfId="56"/>
    <tableColumn id="2" name="Столбец2" dataDxfId="55"/>
    <tableColumn id="3" name="Столбец3" dataDxfId="54"/>
    <tableColumn id="53" name="Столбец4" dataDxfId="53"/>
    <tableColumn id="4" name="Столбец5" dataDxfId="52"/>
    <tableColumn id="5" name="Столбец6" dataDxfId="51"/>
    <tableColumn id="6" name="Столбец7" dataDxfId="50"/>
    <tableColumn id="7" name="Столбец8" dataDxfId="49"/>
    <tableColumn id="8" name="Столбец9" dataDxfId="48"/>
    <tableColumn id="9" name="Столбец10" dataDxfId="47"/>
    <tableColumn id="10" name="Столбец11" dataDxfId="46"/>
    <tableColumn id="11" name="Столбец12" dataDxfId="45"/>
    <tableColumn id="12" name="Столбец13" dataDxfId="44"/>
    <tableColumn id="13" name="Столбец14" dataDxfId="43"/>
    <tableColumn id="14" name="Столбец15" dataDxfId="42"/>
    <tableColumn id="15" name="Столбец16" dataDxfId="41"/>
    <tableColumn id="16" name="Столбец17" dataDxfId="40"/>
    <tableColumn id="17" name="Столбец18" dataDxfId="39"/>
    <tableColumn id="18" name="Столбец19" dataDxfId="38"/>
    <tableColumn id="19" name="Столбец20" dataDxfId="37"/>
    <tableColumn id="20" name="Столбец21" dataDxfId="36"/>
    <tableColumn id="21" name="Столбец22" dataDxfId="35"/>
    <tableColumn id="22" name="Столбец23" dataDxfId="34"/>
    <tableColumn id="23" name="Столбец24" dataDxfId="33"/>
    <tableColumn id="24" name="Столбец25" dataDxfId="32"/>
    <tableColumn id="25" name="Столбец26" dataDxfId="31"/>
    <tableColumn id="26" name="Столбец27" dataDxfId="30"/>
    <tableColumn id="27" name="Столбец28" dataDxfId="29"/>
    <tableColumn id="28" name="Столбец29" dataDxfId="28"/>
    <tableColumn id="29" name="Столбец30" dataDxfId="27"/>
    <tableColumn id="30" name="Столбец31" dataDxfId="26"/>
    <tableColumn id="31" name="Столбец32" dataDxfId="25"/>
    <tableColumn id="32" name="Столбец33" dataDxfId="24"/>
    <tableColumn id="37" name="Столбец34" dataDxfId="23"/>
    <tableColumn id="54" name="Столбец35" dataDxfId="22"/>
    <tableColumn id="33" name="Столбец36" dataDxfId="21"/>
    <tableColumn id="34" name="Столбец37" dataDxfId="20"/>
    <tableColumn id="38" name="Столбец38" dataDxfId="19"/>
    <tableColumn id="35" name="Столбец39" dataDxfId="18"/>
    <tableColumn id="39" name="Столбец40" dataDxfId="17"/>
    <tableColumn id="36" name="Столбец41" dataDxfId="16"/>
    <tableColumn id="40" name="Столбец42" dataDxfId="15">
      <calculatedColumnFormula>VLOOKUP(B:B,Table3[#All],4,0)</calculatedColumnFormula>
    </tableColumn>
    <tableColumn id="41" name="Столбец43" dataDxfId="14">
      <calculatedColumnFormula>calcShift1(Таблица1[[#This Row],[Столбец5]:[Столбец36]])</calculatedColumnFormula>
    </tableColumn>
    <tableColumn id="42" name="Столбец44" dataDxfId="13">
      <calculatedColumnFormula>calcShift2(Таблица1[[#This Row],[Столбец5]:[Столбец36]])</calculatedColumnFormula>
    </tableColumn>
    <tableColumn id="52" name="Столбец45" dataDxfId="12">
      <calculatedColumnFormula>calcShift3(Таблица1[[#This Row],[Столбец5]:[Столбец36]])</calculatedColumnFormula>
    </tableColumn>
    <tableColumn id="43" name="Столбец46" dataDxfId="11"/>
    <tableColumn id="44" name="Столбец47" dataDxfId="10">
      <calculatedColumnFormula>calcYavka(Таблица1[[#This Row],[Столбец5]:[Столбец36]])</calculatedColumnFormula>
    </tableColumn>
    <tableColumn id="45" name="Столбец48" dataDxfId="9"/>
    <tableColumn id="47" name="Столбец49" dataDxfId="8">
      <calculatedColumnFormula>VLOOKUP(B:B,ДОП_ВСІ!B:AS,44,0)</calculatedColumnFormula>
    </tableColumn>
    <tableColumn id="48" name="Столбец50" dataDxfId="7">
      <calculatedColumnFormula>VLOOKUP(B:B,ДОП_ВСІ!B:AQ,42,0)</calculatedColumnFormula>
    </tableColumn>
    <tableColumn id="49" name="Столбец51" dataDxfId="6">
      <calculatedColumnFormula>Таблица1[[#This Row],[Столбец47]]*30</calculatedColumnFormula>
    </tableColumn>
    <tableColumn id="50" name="Столбец52" dataDxfId="5">
      <calculatedColumnFormula>((((Таблица1[[#This Row],[Столбец42]]/160)*Таблица1[[#This Row],[Столбец44]])*0.25)*0.35)+((((Таблица1[[#This Row],[Столбец42]]/160)*Таблица1[[#This Row],[Столбец44]])*0.5)*0.2)</calculatedColumnFormula>
    </tableColumn>
    <tableColumn id="51" name="Столбец53" dataDxfId="4"/>
    <tableColumn id="46" name="Столбец54" dataDxfId="3">
      <calculatedColumnFormula>calcTS(Таблица1[[#This Row],[Столбец5]:[Столбец36]])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D1048576" totalsRowShown="0">
  <autoFilter ref="A1:D1048576"/>
  <tableColumns count="4">
    <tableColumn id="1" name="Столбец2"/>
    <tableColumn id="2" name="Столбец4"/>
    <tableColumn id="3" name="Столбец6"/>
    <tableColumn id="4" name="Столбец7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id="2" name="Таблица2" displayName="Таблица2" ref="A1:AS1188" totalsRowShown="0">
  <autoFilter ref="A1:AS1188"/>
  <tableColumns count="45">
    <tableColumn id="1" name="ФамилияИ.О."/>
    <tableColumn id="2" name="Таб.№"/>
    <tableColumn id="3" name="Должность"/>
    <tableColumn id="4" name="1"/>
    <tableColumn id="5" name="2"/>
    <tableColumn id="6" name="3"/>
    <tableColumn id="7" name="4"/>
    <tableColumn id="8" name="5"/>
    <tableColumn id="9" name="6"/>
    <tableColumn id="10" name="7"/>
    <tableColumn id="11" name="8"/>
    <tableColumn id="12" name="9"/>
    <tableColumn id="13" name="10"/>
    <tableColumn id="14" name="11"/>
    <tableColumn id="15" name="12"/>
    <tableColumn id="16" name="13"/>
    <tableColumn id="17" name="14"/>
    <tableColumn id="18" name="15"/>
    <tableColumn id="19" name="16"/>
    <tableColumn id="20" name="17"/>
    <tableColumn id="21" name="18"/>
    <tableColumn id="22" name="19"/>
    <tableColumn id="23" name="20"/>
    <tableColumn id="24" name="21"/>
    <tableColumn id="25" name="22"/>
    <tableColumn id="26" name="23"/>
    <tableColumn id="27" name="24"/>
    <tableColumn id="28" name="25"/>
    <tableColumn id="29" name="26"/>
    <tableColumn id="30" name="27"/>
    <tableColumn id="31" name="28"/>
    <tableColumn id="32" name="29"/>
    <tableColumn id="33" name="30"/>
    <tableColumn id="34" name="31"/>
    <tableColumn id="35" name="ГРУПА"/>
    <tableColumn id="36" name="Години Невизначені"/>
    <tableColumn id="37" name="ЗАГгодин"/>
    <tableColumn id="38" name="1зм."/>
    <tableColumn id="39" name="2зм."/>
    <tableColumn id="40" name="3зм."/>
    <tableColumn id="41" name="Оклад"/>
    <tableColumn id="42" name="ДопГодини"/>
    <tableColumn id="43" name="НічніСУМА"/>
    <tableColumn id="44" name="Вартістьнічних"/>
    <tableColumn id="45" name="ДОПгодиниСУМ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BB497"/>
  <sheetViews>
    <sheetView tabSelected="1" topLeftCell="A244" zoomScale="55" zoomScaleNormal="55" workbookViewId="0">
      <selection activeCell="AZ3" sqref="AZ3"/>
    </sheetView>
  </sheetViews>
  <sheetFormatPr defaultRowHeight="21" x14ac:dyDescent="0.35"/>
  <cols>
    <col min="1" max="1" width="68.42578125" style="5" bestFit="1" customWidth="1"/>
    <col min="2" max="2" width="24" style="5" customWidth="1"/>
    <col min="3" max="3" width="84.140625" style="5" bestFit="1" customWidth="1"/>
    <col min="4" max="4" width="84.140625" style="5" customWidth="1"/>
    <col min="5" max="5" width="17" style="5" customWidth="1"/>
    <col min="6" max="6" width="19.42578125" style="5" customWidth="1"/>
    <col min="7" max="9" width="19.28515625" style="5" customWidth="1"/>
    <col min="10" max="10" width="19.85546875" style="5" customWidth="1"/>
    <col min="11" max="11" width="18.7109375" style="5" customWidth="1"/>
    <col min="12" max="12" width="19.28515625" style="5" customWidth="1"/>
    <col min="13" max="13" width="19.42578125" style="5" customWidth="1"/>
    <col min="14" max="19" width="18.7109375" style="5" customWidth="1"/>
    <col min="20" max="20" width="19.42578125" style="5" customWidth="1"/>
    <col min="21" max="25" width="18.7109375" style="5" customWidth="1"/>
    <col min="26" max="29" width="25.28515625" style="5" customWidth="1"/>
    <col min="30" max="31" width="19.28515625" style="5" customWidth="1"/>
    <col min="32" max="32" width="18.7109375" style="5" customWidth="1"/>
    <col min="33" max="33" width="32.5703125" style="5" bestFit="1" customWidth="1"/>
    <col min="34" max="34" width="37.5703125" style="5" bestFit="1" customWidth="1"/>
    <col min="35" max="35" width="37.5703125" style="5" customWidth="1"/>
    <col min="36" max="36" width="20.7109375" style="11" bestFit="1" customWidth="1"/>
    <col min="37" max="37" width="11.85546875" style="17" customWidth="1"/>
    <col min="38" max="38" width="20.28515625" style="5" customWidth="1"/>
    <col min="39" max="40" width="10.7109375" style="5" customWidth="1"/>
    <col min="41" max="41" width="9.42578125" style="5" customWidth="1"/>
    <col min="42" max="42" width="12.28515625" customWidth="1"/>
    <col min="43" max="44" width="20.140625" bestFit="1" customWidth="1"/>
    <col min="45" max="45" width="21.7109375" bestFit="1" customWidth="1"/>
    <col min="46" max="46" width="14.140625" customWidth="1"/>
    <col min="47" max="47" width="9.140625" style="15" customWidth="1"/>
    <col min="48" max="48" width="25" customWidth="1"/>
    <col min="49" max="49" width="23.7109375" customWidth="1"/>
    <col min="50" max="50" width="16.28515625" customWidth="1"/>
    <col min="51" max="51" width="11.85546875" customWidth="1"/>
    <col min="52" max="52" width="21.28515625" customWidth="1"/>
    <col min="53" max="53" width="15" customWidth="1"/>
  </cols>
  <sheetData>
    <row r="1" spans="1:54" ht="55.5" customHeight="1" x14ac:dyDescent="0.25">
      <c r="A1" s="4" t="s">
        <v>0</v>
      </c>
      <c r="B1" s="4" t="s">
        <v>1</v>
      </c>
      <c r="C1" s="4" t="s">
        <v>2</v>
      </c>
      <c r="D1" s="4"/>
      <c r="E1" s="4">
        <v>1</v>
      </c>
      <c r="F1" s="4">
        <v>2</v>
      </c>
      <c r="G1" s="4">
        <v>3</v>
      </c>
      <c r="H1" s="4">
        <v>4</v>
      </c>
      <c r="I1" s="4">
        <v>5</v>
      </c>
      <c r="J1" s="4">
        <v>6</v>
      </c>
      <c r="K1" s="4">
        <v>7</v>
      </c>
      <c r="L1" s="4">
        <v>8</v>
      </c>
      <c r="M1" s="4">
        <v>9</v>
      </c>
      <c r="N1" s="4">
        <v>10</v>
      </c>
      <c r="O1" s="4">
        <v>11</v>
      </c>
      <c r="P1" s="4">
        <v>12</v>
      </c>
      <c r="Q1" s="4">
        <v>13</v>
      </c>
      <c r="R1" s="4">
        <v>14</v>
      </c>
      <c r="S1" s="4">
        <v>15</v>
      </c>
      <c r="T1" s="4">
        <v>16</v>
      </c>
      <c r="U1" s="4">
        <v>17</v>
      </c>
      <c r="V1" s="4">
        <v>18</v>
      </c>
      <c r="W1" s="4">
        <v>19</v>
      </c>
      <c r="X1" s="4">
        <v>20</v>
      </c>
      <c r="Y1" s="4">
        <v>21</v>
      </c>
      <c r="Z1" s="4">
        <v>22</v>
      </c>
      <c r="AA1" s="4">
        <v>23</v>
      </c>
      <c r="AB1" s="4">
        <v>24</v>
      </c>
      <c r="AC1" s="4">
        <v>25</v>
      </c>
      <c r="AD1" s="4">
        <v>26</v>
      </c>
      <c r="AE1" s="4">
        <v>27</v>
      </c>
      <c r="AF1" s="4">
        <v>28</v>
      </c>
      <c r="AG1" s="4">
        <v>29</v>
      </c>
      <c r="AH1" s="4">
        <v>30</v>
      </c>
      <c r="AI1" s="4">
        <v>31</v>
      </c>
      <c r="AJ1" s="4" t="s">
        <v>109</v>
      </c>
      <c r="AK1" s="4" t="s">
        <v>41</v>
      </c>
      <c r="AL1" s="4" t="s">
        <v>41</v>
      </c>
      <c r="AM1" s="4" t="s">
        <v>42</v>
      </c>
      <c r="AN1" s="4" t="s">
        <v>37</v>
      </c>
      <c r="AO1" s="4" t="s">
        <v>38</v>
      </c>
      <c r="AP1" s="4" t="s">
        <v>46</v>
      </c>
      <c r="AQ1" s="4" t="s">
        <v>47</v>
      </c>
      <c r="AR1" s="4" t="s">
        <v>48</v>
      </c>
      <c r="AS1" s="22" t="s">
        <v>97</v>
      </c>
      <c r="AT1" s="4" t="s">
        <v>50</v>
      </c>
      <c r="AU1" s="14" t="s">
        <v>42</v>
      </c>
      <c r="AV1" s="4" t="s">
        <v>63</v>
      </c>
      <c r="AW1" s="4" t="s">
        <v>65</v>
      </c>
      <c r="AX1" s="4" t="s">
        <v>64</v>
      </c>
      <c r="AY1" s="4" t="s">
        <v>61</v>
      </c>
      <c r="AZ1" s="12" t="s">
        <v>66</v>
      </c>
      <c r="BA1" s="13" t="s">
        <v>67</v>
      </c>
      <c r="BB1" s="67" t="s">
        <v>107</v>
      </c>
    </row>
    <row r="2" spans="1:54" ht="28.5" customHeight="1" x14ac:dyDescent="0.35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1" t="s">
        <v>12</v>
      </c>
      <c r="K2" s="1" t="s">
        <v>13</v>
      </c>
      <c r="L2" s="1" t="s">
        <v>14</v>
      </c>
      <c r="M2" s="1" t="s">
        <v>15</v>
      </c>
      <c r="N2" s="1" t="s">
        <v>16</v>
      </c>
      <c r="O2" s="1" t="s">
        <v>17</v>
      </c>
      <c r="P2" s="1" t="s">
        <v>18</v>
      </c>
      <c r="Q2" s="1" t="s">
        <v>19</v>
      </c>
      <c r="R2" s="1" t="s">
        <v>20</v>
      </c>
      <c r="S2" s="1" t="s">
        <v>21</v>
      </c>
      <c r="T2" s="1" t="s">
        <v>22</v>
      </c>
      <c r="U2" s="1" t="s">
        <v>23</v>
      </c>
      <c r="V2" s="1" t="s">
        <v>24</v>
      </c>
      <c r="W2" s="1" t="s">
        <v>25</v>
      </c>
      <c r="X2" s="1" t="s">
        <v>26</v>
      </c>
      <c r="Y2" s="1" t="s">
        <v>27</v>
      </c>
      <c r="Z2" s="1" t="s">
        <v>28</v>
      </c>
      <c r="AA2" s="1" t="s">
        <v>29</v>
      </c>
      <c r="AB2" s="1" t="s">
        <v>30</v>
      </c>
      <c r="AC2" s="1" t="s">
        <v>31</v>
      </c>
      <c r="AD2" s="1" t="s">
        <v>32</v>
      </c>
      <c r="AE2" s="1" t="s">
        <v>33</v>
      </c>
      <c r="AF2" s="1" t="s">
        <v>34</v>
      </c>
      <c r="AG2" s="1" t="s">
        <v>35</v>
      </c>
      <c r="AH2" s="1" t="s">
        <v>36</v>
      </c>
      <c r="AI2" s="1" t="s">
        <v>39</v>
      </c>
      <c r="AJ2" s="1" t="s">
        <v>40</v>
      </c>
      <c r="AK2" s="1" t="s">
        <v>43</v>
      </c>
      <c r="AL2" s="1" t="s">
        <v>44</v>
      </c>
      <c r="AM2" s="1" t="s">
        <v>45</v>
      </c>
      <c r="AN2" s="1" t="s">
        <v>49</v>
      </c>
      <c r="AO2" s="1" t="s">
        <v>51</v>
      </c>
      <c r="AP2" s="1" t="s">
        <v>57</v>
      </c>
      <c r="AQ2" s="1" t="s">
        <v>58</v>
      </c>
      <c r="AR2" s="1" t="s">
        <v>59</v>
      </c>
      <c r="AS2" s="1" t="s">
        <v>60</v>
      </c>
      <c r="AT2" s="1" t="s">
        <v>62</v>
      </c>
      <c r="AU2" s="1" t="s">
        <v>68</v>
      </c>
      <c r="AV2" s="1" t="s">
        <v>108</v>
      </c>
      <c r="AW2" s="1" t="s">
        <v>110</v>
      </c>
      <c r="AX2" s="1" t="s">
        <v>111</v>
      </c>
      <c r="AY2" s="1" t="s">
        <v>112</v>
      </c>
      <c r="AZ2" s="1" t="s">
        <v>113</v>
      </c>
      <c r="BA2" s="1" t="s">
        <v>114</v>
      </c>
      <c r="BB2" s="1" t="s">
        <v>115</v>
      </c>
    </row>
    <row r="3" spans="1:54" s="23" customFormat="1" x14ac:dyDescent="0.35">
      <c r="A3" s="3" t="s">
        <v>2617</v>
      </c>
      <c r="B3" s="6" t="s">
        <v>419</v>
      </c>
      <c r="C3" s="3" t="s">
        <v>123</v>
      </c>
      <c r="D3" s="20" t="s">
        <v>2564</v>
      </c>
      <c r="E3" s="2" t="s">
        <v>2486</v>
      </c>
      <c r="F3" s="3" t="s">
        <v>2486</v>
      </c>
      <c r="G3" s="3" t="s">
        <v>2486</v>
      </c>
      <c r="H3" s="3" t="s">
        <v>2486</v>
      </c>
      <c r="I3" s="3" t="s">
        <v>2486</v>
      </c>
      <c r="J3" s="3" t="s">
        <v>2486</v>
      </c>
      <c r="K3" s="2" t="s">
        <v>2486</v>
      </c>
      <c r="L3" s="3" t="s">
        <v>2486</v>
      </c>
      <c r="M3" s="3" t="s">
        <v>2486</v>
      </c>
      <c r="N3" s="2" t="s">
        <v>2486</v>
      </c>
      <c r="O3" s="2" t="s">
        <v>2486</v>
      </c>
      <c r="P3" s="2" t="s">
        <v>2486</v>
      </c>
      <c r="Q3" s="2" t="s">
        <v>2486</v>
      </c>
      <c r="R3" s="3" t="s">
        <v>2486</v>
      </c>
      <c r="S3" s="3" t="s">
        <v>2486</v>
      </c>
      <c r="T3" s="3" t="s">
        <v>2486</v>
      </c>
      <c r="U3" s="3" t="s">
        <v>2486</v>
      </c>
      <c r="V3" s="3" t="s">
        <v>2486</v>
      </c>
      <c r="W3" s="3" t="s">
        <v>2486</v>
      </c>
      <c r="X3" s="3" t="s">
        <v>2486</v>
      </c>
      <c r="Y3" s="3" t="s">
        <v>2486</v>
      </c>
      <c r="Z3" s="3" t="s">
        <v>2543</v>
      </c>
      <c r="AA3" s="3" t="s">
        <v>2543</v>
      </c>
      <c r="AB3" s="3" t="s">
        <v>2486</v>
      </c>
      <c r="AC3" s="3" t="s">
        <v>2543</v>
      </c>
      <c r="AD3" s="3" t="s">
        <v>2543</v>
      </c>
      <c r="AE3" s="3" t="s">
        <v>2570</v>
      </c>
      <c r="AF3" s="3" t="s">
        <v>2486</v>
      </c>
      <c r="AG3" s="64" t="s">
        <v>2486</v>
      </c>
      <c r="AH3" s="64" t="s">
        <v>2486</v>
      </c>
      <c r="AI3" s="64" t="s">
        <v>2618</v>
      </c>
      <c r="AJ3" s="65" t="s">
        <v>2618</v>
      </c>
      <c r="AK3" s="66" t="s">
        <v>2591</v>
      </c>
      <c r="AL3" s="3" t="s">
        <v>90</v>
      </c>
      <c r="AM3" s="35"/>
      <c r="AN3" s="16"/>
      <c r="AO3" s="6"/>
      <c r="AP3" s="7">
        <f>VLOOKUP(B:B,Table3[#All],4,0)</f>
        <v>5500</v>
      </c>
      <c r="AQ3" s="7">
        <f>calcShift1(Таблица1[[#This Row],[Столбец5]:[Столбец36]])</f>
        <v>39</v>
      </c>
      <c r="AR3" s="7">
        <f>calcShift2(Таблица1[[#This Row],[Столбец5]:[Столбец36]])</f>
        <v>0</v>
      </c>
      <c r="AS3" s="7">
        <f>calcShift3(Таблица1[[#This Row],[Столбец5]:[Столбец36]])</f>
        <v>0</v>
      </c>
      <c r="AT3" s="6"/>
      <c r="AU3" s="7">
        <f>calcYavka(Таблица1[[#This Row],[Столбец5]:[Столбец36]])</f>
        <v>5</v>
      </c>
      <c r="AV3" s="36"/>
      <c r="AW3" s="18">
        <f>VLOOKUP(B:B,ДОП_ВСІ!B:AS,44,0)</f>
        <v>0</v>
      </c>
      <c r="AX3" s="7">
        <f>VLOOKUP(B:B,ДОП_ВСІ!B:AQ,42,0)</f>
        <v>0</v>
      </c>
      <c r="AY3" s="7">
        <f>Таблица1[[#This Row],[Столбец47]]*30</f>
        <v>150</v>
      </c>
      <c r="AZ3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3" s="6"/>
      <c r="BB3" s="62">
        <f>calcTS(Таблица1[[#This Row],[Столбец5]:[Столбец36]])</f>
        <v>0</v>
      </c>
    </row>
    <row r="4" spans="1:54" s="23" customFormat="1" x14ac:dyDescent="0.35">
      <c r="A4" s="48" t="s">
        <v>116</v>
      </c>
      <c r="B4" s="47" t="s">
        <v>117</v>
      </c>
      <c r="C4" s="48" t="s">
        <v>118</v>
      </c>
      <c r="D4" s="48" t="s">
        <v>2564</v>
      </c>
      <c r="E4" s="49" t="s">
        <v>2486</v>
      </c>
      <c r="F4" s="48" t="s">
        <v>2486</v>
      </c>
      <c r="G4" s="48" t="s">
        <v>2486</v>
      </c>
      <c r="H4" s="48" t="s">
        <v>2486</v>
      </c>
      <c r="I4" s="48" t="s">
        <v>2486</v>
      </c>
      <c r="J4" s="48" t="s">
        <v>2486</v>
      </c>
      <c r="K4" s="49" t="s">
        <v>2486</v>
      </c>
      <c r="L4" s="48" t="s">
        <v>2486</v>
      </c>
      <c r="M4" s="48" t="s">
        <v>2486</v>
      </c>
      <c r="N4" s="49" t="s">
        <v>2486</v>
      </c>
      <c r="O4" s="49" t="s">
        <v>2486</v>
      </c>
      <c r="P4" s="49" t="s">
        <v>2486</v>
      </c>
      <c r="Q4" s="49" t="s">
        <v>2486</v>
      </c>
      <c r="R4" s="48" t="s">
        <v>2486</v>
      </c>
      <c r="S4" s="48" t="s">
        <v>2486</v>
      </c>
      <c r="T4" s="48" t="s">
        <v>2486</v>
      </c>
      <c r="U4" s="48" t="s">
        <v>2486</v>
      </c>
      <c r="V4" s="48" t="s">
        <v>2486</v>
      </c>
      <c r="W4" s="48" t="s">
        <v>2486</v>
      </c>
      <c r="X4" s="48" t="s">
        <v>2486</v>
      </c>
      <c r="Y4" s="48" t="s">
        <v>2486</v>
      </c>
      <c r="Z4" s="48" t="s">
        <v>141</v>
      </c>
      <c r="AA4" s="48" t="s">
        <v>2543</v>
      </c>
      <c r="AB4" s="48" t="s">
        <v>2485</v>
      </c>
      <c r="AC4" s="48" t="s">
        <v>2543</v>
      </c>
      <c r="AD4" s="48" t="s">
        <v>2543</v>
      </c>
      <c r="AE4" s="48" t="s">
        <v>2543</v>
      </c>
      <c r="AF4" s="48" t="s">
        <v>2543</v>
      </c>
      <c r="AG4" s="48" t="s">
        <v>2543</v>
      </c>
      <c r="AH4" s="48" t="s">
        <v>2486</v>
      </c>
      <c r="AI4" s="48" t="s">
        <v>2599</v>
      </c>
      <c r="AJ4" s="50" t="s">
        <v>2647</v>
      </c>
      <c r="AK4" s="51" t="s">
        <v>2600</v>
      </c>
      <c r="AL4" s="47" t="s">
        <v>88</v>
      </c>
      <c r="AM4" s="47"/>
      <c r="AN4" s="47"/>
      <c r="AO4" s="47"/>
      <c r="AP4" s="47">
        <f>VLOOKUP(B:B,Table3[#All],4,0)</f>
        <v>4500</v>
      </c>
      <c r="AQ4" s="47">
        <f>calcShift1(Таблица1[[#This Row],[Столбец5]:[Столбец36]])</f>
        <v>55.999999999999993</v>
      </c>
      <c r="AR4" s="47">
        <f>calcShift2(Таблица1[[#This Row],[Столбец5]:[Столбец36]])</f>
        <v>0</v>
      </c>
      <c r="AS4" s="47">
        <f>calcShift3(Таблица1[[#This Row],[Столбец5]:[Столбец36]])</f>
        <v>0</v>
      </c>
      <c r="AT4" s="47"/>
      <c r="AU4" s="47">
        <f>calcYavka(Таблица1[[#This Row],[Столбец5]:[Столбец36]])</f>
        <v>7</v>
      </c>
      <c r="AV4" s="52"/>
      <c r="AW4" s="62">
        <f>VLOOKUP(B:B,ДОП_ВСІ!B:AS,44,0)</f>
        <v>0</v>
      </c>
      <c r="AX4" s="47">
        <f>VLOOKUP(B:B,ДОП_ВСІ!B:AQ,42,0)</f>
        <v>0</v>
      </c>
      <c r="AY4" s="47">
        <f>Таблица1[[#This Row],[Столбец47]]*30</f>
        <v>210</v>
      </c>
      <c r="AZ4" s="47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4" s="47"/>
      <c r="BB4" s="47">
        <f>calcTS(Таблица1[[#This Row],[Столбец5]:[Столбец36]])</f>
        <v>0</v>
      </c>
    </row>
    <row r="5" spans="1:54" s="23" customFormat="1" ht="84" x14ac:dyDescent="0.35">
      <c r="A5" s="27" t="s">
        <v>1168</v>
      </c>
      <c r="B5" s="26" t="s">
        <v>1169</v>
      </c>
      <c r="C5" s="27" t="s">
        <v>130</v>
      </c>
      <c r="D5" s="20" t="s">
        <v>2484</v>
      </c>
      <c r="E5" s="28" t="s">
        <v>2485</v>
      </c>
      <c r="F5" s="27" t="s">
        <v>2486</v>
      </c>
      <c r="G5" s="27" t="s">
        <v>2486</v>
      </c>
      <c r="H5" s="27" t="s">
        <v>2485</v>
      </c>
      <c r="I5" s="27" t="s">
        <v>2487</v>
      </c>
      <c r="J5" s="27" t="s">
        <v>2487</v>
      </c>
      <c r="K5" s="28" t="s">
        <v>2488</v>
      </c>
      <c r="L5" s="27" t="s">
        <v>2489</v>
      </c>
      <c r="M5" s="27" t="s">
        <v>2486</v>
      </c>
      <c r="N5" s="28" t="s">
        <v>2486</v>
      </c>
      <c r="O5" s="28" t="s">
        <v>2490</v>
      </c>
      <c r="P5" s="28" t="s">
        <v>2489</v>
      </c>
      <c r="Q5" s="28" t="s">
        <v>2488</v>
      </c>
      <c r="R5" s="27" t="s">
        <v>2491</v>
      </c>
      <c r="S5" s="27" t="s">
        <v>2489</v>
      </c>
      <c r="T5" s="27" t="s">
        <v>2486</v>
      </c>
      <c r="U5" s="27" t="s">
        <v>2486</v>
      </c>
      <c r="V5" s="27" t="s">
        <v>2487</v>
      </c>
      <c r="W5" s="27" t="s">
        <v>2492</v>
      </c>
      <c r="X5" s="27" t="s">
        <v>2488</v>
      </c>
      <c r="Y5" s="27" t="s">
        <v>2487</v>
      </c>
      <c r="Z5" s="27" t="s">
        <v>2485</v>
      </c>
      <c r="AA5" s="27" t="s">
        <v>2493</v>
      </c>
      <c r="AB5" s="27" t="s">
        <v>2486</v>
      </c>
      <c r="AC5" s="27" t="s">
        <v>2488</v>
      </c>
      <c r="AD5" s="27" t="s">
        <v>2489</v>
      </c>
      <c r="AE5" s="27" t="s">
        <v>2494</v>
      </c>
      <c r="AF5" s="27" t="s">
        <v>2486</v>
      </c>
      <c r="AG5" s="48" t="s">
        <v>2486</v>
      </c>
      <c r="AH5" s="48" t="s">
        <v>2486</v>
      </c>
      <c r="AI5" s="48"/>
      <c r="AJ5" s="50"/>
      <c r="AK5" s="51"/>
      <c r="AL5" s="27"/>
      <c r="AM5" s="32"/>
      <c r="AN5" s="30"/>
      <c r="AO5" s="26"/>
      <c r="AP5" s="7">
        <f>VLOOKUP(B:B,Table3[#All],4,0)</f>
        <v>7500</v>
      </c>
      <c r="AQ5" s="7">
        <f>calcShift1(Таблица1[[#This Row],[Столбец5]:[Столбец36]])</f>
        <v>123.99999999999999</v>
      </c>
      <c r="AR5" s="7">
        <f>calcShift2(Таблица1[[#This Row],[Столбец5]:[Столбец36]])</f>
        <v>0</v>
      </c>
      <c r="AS5" s="7">
        <f>calcShift3(Таблица1[[#This Row],[Столбец5]:[Столбец36]])</f>
        <v>0</v>
      </c>
      <c r="AT5" s="26"/>
      <c r="AU5" s="7">
        <f>calcYavka(Таблица1[[#This Row],[Столбец5]:[Столбец36]])</f>
        <v>16</v>
      </c>
      <c r="AV5" s="31"/>
      <c r="AW5" s="18">
        <f>VLOOKUP(B:B,ДОП_ВСІ!B:AS,44,0)</f>
        <v>0</v>
      </c>
      <c r="AX5" s="7">
        <f>VLOOKUP(B:B,ДОП_ВСІ!B:AQ,42,0)</f>
        <v>0</v>
      </c>
      <c r="AY5" s="7">
        <f>Таблица1[[#This Row],[Столбец47]]*30</f>
        <v>480</v>
      </c>
      <c r="AZ5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5" s="26"/>
      <c r="BB5" s="47">
        <f>calcTS(Таблица1[[#This Row],[Столбец5]:[Столбец36]])</f>
        <v>0</v>
      </c>
    </row>
    <row r="6" spans="1:54" s="23" customFormat="1" ht="84" x14ac:dyDescent="0.35">
      <c r="A6" s="27" t="s">
        <v>1185</v>
      </c>
      <c r="B6" s="26" t="s">
        <v>1186</v>
      </c>
      <c r="C6" s="27" t="s">
        <v>130</v>
      </c>
      <c r="D6" s="20" t="s">
        <v>2484</v>
      </c>
      <c r="E6" s="28" t="s">
        <v>2495</v>
      </c>
      <c r="F6" s="27" t="s">
        <v>2495</v>
      </c>
      <c r="G6" s="27" t="s">
        <v>2486</v>
      </c>
      <c r="H6" s="27" t="s">
        <v>2496</v>
      </c>
      <c r="I6" s="27" t="s">
        <v>2488</v>
      </c>
      <c r="J6" s="27" t="s">
        <v>2487</v>
      </c>
      <c r="K6" s="28" t="s">
        <v>2497</v>
      </c>
      <c r="L6" s="27" t="s">
        <v>2488</v>
      </c>
      <c r="M6" s="27" t="s">
        <v>2486</v>
      </c>
      <c r="N6" s="28" t="s">
        <v>2486</v>
      </c>
      <c r="O6" s="28" t="s">
        <v>2490</v>
      </c>
      <c r="P6" s="28" t="s">
        <v>2488</v>
      </c>
      <c r="Q6" s="28" t="s">
        <v>2488</v>
      </c>
      <c r="R6" s="27" t="s">
        <v>2496</v>
      </c>
      <c r="S6" s="27" t="s">
        <v>2488</v>
      </c>
      <c r="T6" s="27" t="s">
        <v>2486</v>
      </c>
      <c r="U6" s="27" t="s">
        <v>2486</v>
      </c>
      <c r="V6" s="27" t="s">
        <v>2488</v>
      </c>
      <c r="W6" s="27" t="s">
        <v>2494</v>
      </c>
      <c r="X6" s="27" t="s">
        <v>2498</v>
      </c>
      <c r="Y6" s="27" t="s">
        <v>2494</v>
      </c>
      <c r="Z6" s="27" t="s">
        <v>2499</v>
      </c>
      <c r="AA6" s="27" t="s">
        <v>2493</v>
      </c>
      <c r="AB6" s="27" t="s">
        <v>2486</v>
      </c>
      <c r="AC6" s="27" t="s">
        <v>2488</v>
      </c>
      <c r="AD6" s="27" t="s">
        <v>2488</v>
      </c>
      <c r="AE6" s="27" t="s">
        <v>2494</v>
      </c>
      <c r="AF6" s="27" t="s">
        <v>2486</v>
      </c>
      <c r="AG6" s="48" t="s">
        <v>2486</v>
      </c>
      <c r="AH6" s="48" t="s">
        <v>2486</v>
      </c>
      <c r="AI6" s="48"/>
      <c r="AJ6" s="50"/>
      <c r="AK6" s="51"/>
      <c r="AL6" s="27"/>
      <c r="AM6" s="32"/>
      <c r="AN6" s="30"/>
      <c r="AO6" s="26"/>
      <c r="AP6" s="7">
        <f>VLOOKUP(B:B,Table3[#All],4,0)</f>
        <v>7500</v>
      </c>
      <c r="AQ6" s="7">
        <f>calcShift1(Таблица1[[#This Row],[Столбец5]:[Столбец36]])</f>
        <v>151.99999999999994</v>
      </c>
      <c r="AR6" s="7">
        <f>calcShift2(Таблица1[[#This Row],[Столбец5]:[Столбец36]])</f>
        <v>0</v>
      </c>
      <c r="AS6" s="7">
        <f>calcShift3(Таблица1[[#This Row],[Столбец5]:[Столбец36]])</f>
        <v>0</v>
      </c>
      <c r="AT6" s="26"/>
      <c r="AU6" s="7">
        <f>calcYavka(Таблица1[[#This Row],[Столбец5]:[Столбец36]])</f>
        <v>19</v>
      </c>
      <c r="AV6" s="31"/>
      <c r="AW6" s="18">
        <f>VLOOKUP(B:B,ДОП_ВСІ!B:AS,44,0)</f>
        <v>656.24999999999989</v>
      </c>
      <c r="AX6" s="7">
        <f>VLOOKUP(B:B,ДОП_ВСІ!B:AQ,42,0)</f>
        <v>0</v>
      </c>
      <c r="AY6" s="7">
        <f>Таблица1[[#This Row],[Столбец47]]*30</f>
        <v>570</v>
      </c>
      <c r="AZ6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6" s="26"/>
      <c r="BB6" s="47">
        <f>calcTS(Таблица1[[#This Row],[Столбец5]:[Столбец36]])</f>
        <v>0</v>
      </c>
    </row>
    <row r="7" spans="1:54" s="23" customFormat="1" x14ac:dyDescent="0.35">
      <c r="A7" s="27" t="s">
        <v>1256</v>
      </c>
      <c r="B7" s="26" t="s">
        <v>1257</v>
      </c>
      <c r="C7" s="27" t="s">
        <v>130</v>
      </c>
      <c r="D7" s="20" t="s">
        <v>2500</v>
      </c>
      <c r="E7" s="28" t="s">
        <v>2486</v>
      </c>
      <c r="F7" s="27" t="s">
        <v>141</v>
      </c>
      <c r="G7" s="27" t="s">
        <v>141</v>
      </c>
      <c r="H7" s="27" t="s">
        <v>141</v>
      </c>
      <c r="I7" s="27" t="s">
        <v>141</v>
      </c>
      <c r="J7" s="27" t="s">
        <v>2486</v>
      </c>
      <c r="K7" s="28" t="s">
        <v>2486</v>
      </c>
      <c r="L7" s="27" t="s">
        <v>135</v>
      </c>
      <c r="M7" s="27" t="s">
        <v>135</v>
      </c>
      <c r="N7" s="28" t="s">
        <v>135</v>
      </c>
      <c r="O7" s="28" t="s">
        <v>2501</v>
      </c>
      <c r="P7" s="28" t="s">
        <v>2501</v>
      </c>
      <c r="Q7" s="28" t="s">
        <v>2501</v>
      </c>
      <c r="R7" s="27" t="s">
        <v>2501</v>
      </c>
      <c r="S7" s="27" t="s">
        <v>2501</v>
      </c>
      <c r="T7" s="27" t="s">
        <v>2501</v>
      </c>
      <c r="U7" s="27" t="s">
        <v>2501</v>
      </c>
      <c r="V7" s="27" t="s">
        <v>2501</v>
      </c>
      <c r="W7" s="27" t="s">
        <v>2501</v>
      </c>
      <c r="X7" s="27" t="s">
        <v>2501</v>
      </c>
      <c r="Y7" s="27" t="s">
        <v>2501</v>
      </c>
      <c r="Z7" s="27" t="s">
        <v>2501</v>
      </c>
      <c r="AA7" s="27" t="s">
        <v>2501</v>
      </c>
      <c r="AB7" s="27" t="s">
        <v>2501</v>
      </c>
      <c r="AC7" s="27" t="s">
        <v>2486</v>
      </c>
      <c r="AD7" s="27" t="s">
        <v>141</v>
      </c>
      <c r="AE7" s="27" t="s">
        <v>141</v>
      </c>
      <c r="AF7" s="27" t="s">
        <v>141</v>
      </c>
      <c r="AG7" s="48" t="s">
        <v>141</v>
      </c>
      <c r="AH7" s="48" t="s">
        <v>2486</v>
      </c>
      <c r="AI7" s="48"/>
      <c r="AJ7" s="50"/>
      <c r="AK7" s="51"/>
      <c r="AL7" s="27"/>
      <c r="AM7" s="32"/>
      <c r="AN7" s="30"/>
      <c r="AO7" s="26"/>
      <c r="AP7" s="7">
        <f>VLOOKUP(B:B,Table3[#All],4,0)</f>
        <v>7500</v>
      </c>
      <c r="AQ7" s="7">
        <f>calcShift1(Таблица1[[#This Row],[Столбец5]:[Столбец36]])</f>
        <v>64</v>
      </c>
      <c r="AR7" s="7">
        <f>calcShift2(Таблица1[[#This Row],[Столбец5]:[Столбец36]])</f>
        <v>24</v>
      </c>
      <c r="AS7" s="7">
        <f>calcShift3(Таблица1[[#This Row],[Столбец5]:[Столбец36]])</f>
        <v>0</v>
      </c>
      <c r="AT7" s="26"/>
      <c r="AU7" s="7">
        <f>calcYavka(Таблица1[[#This Row],[Столбец5]:[Столбец36]])</f>
        <v>11</v>
      </c>
      <c r="AV7" s="31"/>
      <c r="AW7" s="18">
        <f>VLOOKUP(B:B,ДОП_ВСІ!B:AS,44,0)</f>
        <v>187.5</v>
      </c>
      <c r="AX7" s="7">
        <f>VLOOKUP(B:B,ДОП_ВСІ!B:AQ,42,0)</f>
        <v>885.93750000000011</v>
      </c>
      <c r="AY7" s="7">
        <f>Таблица1[[#This Row],[Столбец47]]*30</f>
        <v>330</v>
      </c>
      <c r="AZ7" s="6">
        <f>((((Таблица1[[#This Row],[Столбец42]]/160)*Таблица1[[#This Row],[Столбец44]])*0.25)*0.35)+((((Таблица1[[#This Row],[Столбец42]]/160)*Таблица1[[#This Row],[Столбец44]])*0.5)*0.2)</f>
        <v>210.9375</v>
      </c>
      <c r="BA7" s="26"/>
      <c r="BB7" s="47">
        <f>calcTS(Таблица1[[#This Row],[Столбец5]:[Столбец36]])</f>
        <v>0</v>
      </c>
    </row>
    <row r="8" spans="1:54" s="23" customFormat="1" ht="84" x14ac:dyDescent="0.35">
      <c r="A8" s="3" t="s">
        <v>1346</v>
      </c>
      <c r="B8" s="6" t="s">
        <v>1347</v>
      </c>
      <c r="C8" s="3" t="s">
        <v>130</v>
      </c>
      <c r="D8" s="3" t="s">
        <v>2502</v>
      </c>
      <c r="E8" s="2" t="s">
        <v>2503</v>
      </c>
      <c r="F8" s="2" t="s">
        <v>2504</v>
      </c>
      <c r="G8" s="2" t="s">
        <v>2503</v>
      </c>
      <c r="H8" s="2" t="s">
        <v>2486</v>
      </c>
      <c r="I8" s="2" t="s">
        <v>2486</v>
      </c>
      <c r="J8" s="2" t="s">
        <v>141</v>
      </c>
      <c r="K8" s="2" t="s">
        <v>2499</v>
      </c>
      <c r="L8" s="2" t="s">
        <v>2499</v>
      </c>
      <c r="M8" s="2" t="s">
        <v>2493</v>
      </c>
      <c r="N8" s="2" t="s">
        <v>2486</v>
      </c>
      <c r="O8" s="2" t="s">
        <v>2486</v>
      </c>
      <c r="P8" s="2" t="s">
        <v>2505</v>
      </c>
      <c r="Q8" s="2" t="s">
        <v>2506</v>
      </c>
      <c r="R8" s="2" t="s">
        <v>2507</v>
      </c>
      <c r="S8" s="2" t="s">
        <v>2503</v>
      </c>
      <c r="T8" s="2" t="s">
        <v>2486</v>
      </c>
      <c r="U8" s="2" t="s">
        <v>2486</v>
      </c>
      <c r="V8" s="2" t="s">
        <v>141</v>
      </c>
      <c r="W8" s="2" t="s">
        <v>141</v>
      </c>
      <c r="X8" s="2" t="s">
        <v>2495</v>
      </c>
      <c r="Y8" s="2" t="s">
        <v>2495</v>
      </c>
      <c r="Z8" s="2" t="s">
        <v>2495</v>
      </c>
      <c r="AA8" s="2" t="s">
        <v>2486</v>
      </c>
      <c r="AB8" s="2" t="s">
        <v>2504</v>
      </c>
      <c r="AC8" s="2" t="s">
        <v>2504</v>
      </c>
      <c r="AD8" s="2" t="s">
        <v>2503</v>
      </c>
      <c r="AE8" s="2" t="s">
        <v>2508</v>
      </c>
      <c r="AF8" s="2" t="s">
        <v>2506</v>
      </c>
      <c r="AG8" s="39" t="s">
        <v>2486</v>
      </c>
      <c r="AH8" s="39" t="s">
        <v>2494</v>
      </c>
      <c r="AI8" s="39"/>
      <c r="AJ8" s="41"/>
      <c r="AK8" s="45"/>
      <c r="AL8" s="2"/>
      <c r="AM8" s="10"/>
      <c r="AN8" s="16"/>
      <c r="AO8" s="3"/>
      <c r="AP8" s="7">
        <f>VLOOKUP(B:B,Table3[#All],4,0)</f>
        <v>7500</v>
      </c>
      <c r="AQ8" s="7">
        <f>calcShift1(Таблица1[[#This Row],[Столбец5]:[Столбец36]])</f>
        <v>55.999999999999993</v>
      </c>
      <c r="AR8" s="7">
        <f>calcShift2(Таблица1[[#This Row],[Столбец5]:[Столбец36]])</f>
        <v>96</v>
      </c>
      <c r="AS8" s="7">
        <f>calcShift3(Таблица1[[#This Row],[Столбец5]:[Столбец36]])</f>
        <v>0</v>
      </c>
      <c r="AT8" s="7"/>
      <c r="AU8" s="7">
        <f>calcYavka(Таблица1[[#This Row],[Столбец5]:[Столбец36]])</f>
        <v>19</v>
      </c>
      <c r="AV8" s="9"/>
      <c r="AW8" s="18">
        <f>VLOOKUP(B:B,ДОП_ВСІ!B:AS,44,0)</f>
        <v>562.5</v>
      </c>
      <c r="AX8" s="7">
        <f>VLOOKUP(B:B,ДОП_ВСІ!B:AQ,42,0)</f>
        <v>0</v>
      </c>
      <c r="AY8" s="7">
        <f>Таблица1[[#This Row],[Столбец47]]*30</f>
        <v>570</v>
      </c>
      <c r="AZ8" s="6">
        <f>((((Таблица1[[#This Row],[Столбец42]]/160)*Таблица1[[#This Row],[Столбец44]])*0.25)*0.35)+((((Таблица1[[#This Row],[Столбец42]]/160)*Таблица1[[#This Row],[Столбец44]])*0.5)*0.2)</f>
        <v>843.75</v>
      </c>
      <c r="BA8" s="6"/>
      <c r="BB8" s="47">
        <f>calcTS(Таблица1[[#This Row],[Столбец5]:[Столбец36]])</f>
        <v>0</v>
      </c>
    </row>
    <row r="9" spans="1:54" s="23" customFormat="1" ht="84" x14ac:dyDescent="0.35">
      <c r="A9" s="3" t="s">
        <v>1405</v>
      </c>
      <c r="B9" s="6" t="s">
        <v>1406</v>
      </c>
      <c r="C9" s="3" t="s">
        <v>130</v>
      </c>
      <c r="D9" s="3" t="s">
        <v>2509</v>
      </c>
      <c r="E9" s="2" t="s">
        <v>2494</v>
      </c>
      <c r="F9" s="2" t="s">
        <v>2486</v>
      </c>
      <c r="G9" s="2" t="s">
        <v>2486</v>
      </c>
      <c r="H9" s="2" t="s">
        <v>2505</v>
      </c>
      <c r="I9" s="2" t="s">
        <v>2507</v>
      </c>
      <c r="J9" s="2" t="s">
        <v>2505</v>
      </c>
      <c r="K9" s="2" t="s">
        <v>2507</v>
      </c>
      <c r="L9" s="2" t="s">
        <v>2486</v>
      </c>
      <c r="M9" s="2" t="s">
        <v>2486</v>
      </c>
      <c r="N9" s="2" t="s">
        <v>141</v>
      </c>
      <c r="O9" s="2" t="s">
        <v>2488</v>
      </c>
      <c r="P9" s="2" t="s">
        <v>2489</v>
      </c>
      <c r="Q9" s="2" t="s">
        <v>141</v>
      </c>
      <c r="R9" s="2" t="s">
        <v>2486</v>
      </c>
      <c r="S9" s="2" t="s">
        <v>2486</v>
      </c>
      <c r="T9" s="2" t="s">
        <v>2510</v>
      </c>
      <c r="U9" s="2" t="s">
        <v>2503</v>
      </c>
      <c r="V9" s="2" t="s">
        <v>2511</v>
      </c>
      <c r="W9" s="2" t="s">
        <v>2512</v>
      </c>
      <c r="X9" s="2" t="s">
        <v>2486</v>
      </c>
      <c r="Y9" s="2" t="s">
        <v>2486</v>
      </c>
      <c r="Z9" s="2" t="s">
        <v>2513</v>
      </c>
      <c r="AA9" s="2" t="s">
        <v>2496</v>
      </c>
      <c r="AB9" s="2" t="s">
        <v>2488</v>
      </c>
      <c r="AC9" s="2" t="s">
        <v>2497</v>
      </c>
      <c r="AD9" s="2" t="s">
        <v>2486</v>
      </c>
      <c r="AE9" s="2" t="s">
        <v>2486</v>
      </c>
      <c r="AF9" s="2" t="s">
        <v>2505</v>
      </c>
      <c r="AG9" s="39" t="s">
        <v>2507</v>
      </c>
      <c r="AH9" s="39" t="s">
        <v>2508</v>
      </c>
      <c r="AI9" s="39"/>
      <c r="AJ9" s="41"/>
      <c r="AK9" s="45"/>
      <c r="AL9" s="2"/>
      <c r="AM9" s="10"/>
      <c r="AN9" s="16"/>
      <c r="AO9" s="3"/>
      <c r="AP9" s="7">
        <f>VLOOKUP(B:B,Table3[#All],4,0)</f>
        <v>7500</v>
      </c>
      <c r="AQ9" s="7">
        <f>calcShift1(Таблица1[[#This Row],[Столбец5]:[Столбец36]])</f>
        <v>72</v>
      </c>
      <c r="AR9" s="7">
        <f>calcShift2(Таблица1[[#This Row],[Столбец5]:[Столбец36]])</f>
        <v>88</v>
      </c>
      <c r="AS9" s="7">
        <f>calcShift3(Таблица1[[#This Row],[Столбец5]:[Столбец36]])</f>
        <v>0</v>
      </c>
      <c r="AT9" s="7"/>
      <c r="AU9" s="7">
        <f>calcYavka(Таблица1[[#This Row],[Столбец5]:[Столбец36]])</f>
        <v>20</v>
      </c>
      <c r="AV9" s="9"/>
      <c r="AW9" s="18">
        <f>VLOOKUP(B:B,ДОП_ВСІ!B:AS,44,0)</f>
        <v>1687.5</v>
      </c>
      <c r="AX9" s="7">
        <f>VLOOKUP(B:B,ДОП_ВСІ!B:AQ,42,0)</f>
        <v>885.93750000000011</v>
      </c>
      <c r="AY9" s="7">
        <f>Таблица1[[#This Row],[Столбец47]]*30</f>
        <v>600</v>
      </c>
      <c r="AZ9" s="6">
        <f>((((Таблица1[[#This Row],[Столбец42]]/160)*Таблица1[[#This Row],[Столбец44]])*0.25)*0.35)+((((Таблица1[[#This Row],[Столбец42]]/160)*Таблица1[[#This Row],[Столбец44]])*0.5)*0.2)</f>
        <v>773.4375</v>
      </c>
      <c r="BA9" s="6"/>
      <c r="BB9" s="47">
        <f>calcTS(Таблица1[[#This Row],[Столбец5]:[Столбец36]])</f>
        <v>0</v>
      </c>
    </row>
    <row r="10" spans="1:54" s="23" customFormat="1" ht="84" x14ac:dyDescent="0.35">
      <c r="A10" s="3" t="s">
        <v>1467</v>
      </c>
      <c r="B10" s="6" t="s">
        <v>1468</v>
      </c>
      <c r="C10" s="3" t="s">
        <v>2514</v>
      </c>
      <c r="D10" s="3" t="s">
        <v>2515</v>
      </c>
      <c r="E10" s="2" t="s">
        <v>135</v>
      </c>
      <c r="F10" s="2" t="s">
        <v>2504</v>
      </c>
      <c r="G10" s="2" t="s">
        <v>135</v>
      </c>
      <c r="H10" s="2" t="s">
        <v>2486</v>
      </c>
      <c r="I10" s="2" t="s">
        <v>2486</v>
      </c>
      <c r="J10" s="2" t="s">
        <v>2497</v>
      </c>
      <c r="K10" s="2" t="s">
        <v>2516</v>
      </c>
      <c r="L10" s="2" t="s">
        <v>2513</v>
      </c>
      <c r="M10" s="2" t="s">
        <v>2516</v>
      </c>
      <c r="N10" s="2" t="s">
        <v>2486</v>
      </c>
      <c r="O10" s="2" t="s">
        <v>2486</v>
      </c>
      <c r="P10" s="2" t="s">
        <v>135</v>
      </c>
      <c r="Q10" s="2" t="s">
        <v>2504</v>
      </c>
      <c r="R10" s="2" t="s">
        <v>2517</v>
      </c>
      <c r="S10" s="2" t="s">
        <v>2508</v>
      </c>
      <c r="T10" s="2" t="s">
        <v>2486</v>
      </c>
      <c r="U10" s="2" t="s">
        <v>2486</v>
      </c>
      <c r="V10" s="2" t="s">
        <v>2487</v>
      </c>
      <c r="W10" s="2" t="s">
        <v>2497</v>
      </c>
      <c r="X10" s="2" t="s">
        <v>2497</v>
      </c>
      <c r="Y10" s="2" t="s">
        <v>2486</v>
      </c>
      <c r="Z10" s="2" t="s">
        <v>2486</v>
      </c>
      <c r="AA10" s="2" t="s">
        <v>2486</v>
      </c>
      <c r="AB10" s="2" t="s">
        <v>2504</v>
      </c>
      <c r="AC10" s="2" t="s">
        <v>2506</v>
      </c>
      <c r="AD10" s="2" t="s">
        <v>2506</v>
      </c>
      <c r="AE10" s="2" t="s">
        <v>2504</v>
      </c>
      <c r="AF10" s="2" t="s">
        <v>2486</v>
      </c>
      <c r="AG10" s="39" t="s">
        <v>2504</v>
      </c>
      <c r="AH10" s="39" t="s">
        <v>2499</v>
      </c>
      <c r="AI10" s="39"/>
      <c r="AJ10" s="41"/>
      <c r="AK10" s="45"/>
      <c r="AL10" s="2"/>
      <c r="AM10" s="10"/>
      <c r="AN10" s="16"/>
      <c r="AO10" s="3"/>
      <c r="AP10" s="7">
        <f>VLOOKUP(B:B,Table3[#All],4,0)</f>
        <v>7500</v>
      </c>
      <c r="AQ10" s="7">
        <f>calcShift1(Таблица1[[#This Row],[Столбец5]:[Столбец36]])</f>
        <v>64</v>
      </c>
      <c r="AR10" s="7">
        <f>calcShift2(Таблица1[[#This Row],[Столбец5]:[Столбец36]])</f>
        <v>96</v>
      </c>
      <c r="AS10" s="7">
        <f>calcShift3(Таблица1[[#This Row],[Столбец5]:[Столбец36]])</f>
        <v>0</v>
      </c>
      <c r="AT10" s="7"/>
      <c r="AU10" s="7">
        <f>calcYavka(Таблица1[[#This Row],[Столбец5]:[Столбец36]])</f>
        <v>20</v>
      </c>
      <c r="AV10" s="9"/>
      <c r="AW10" s="18">
        <f>VLOOKUP(B:B,ДОП_ВСІ!B:AS,44,0)</f>
        <v>750</v>
      </c>
      <c r="AX10" s="7">
        <f>VLOOKUP(B:B,ДОП_ВСІ!B:AQ,42,0)</f>
        <v>0</v>
      </c>
      <c r="AY10" s="7">
        <f>Таблица1[[#This Row],[Столбец47]]*30</f>
        <v>600</v>
      </c>
      <c r="AZ10" s="6">
        <f>((((Таблица1[[#This Row],[Столбец42]]/160)*Таблица1[[#This Row],[Столбец44]])*0.25)*0.35)+((((Таблица1[[#This Row],[Столбец42]]/160)*Таблица1[[#This Row],[Столбец44]])*0.5)*0.2)</f>
        <v>843.75</v>
      </c>
      <c r="BA10" s="6"/>
      <c r="BB10" s="47">
        <f>calcTS(Таблица1[[#This Row],[Столбец5]:[Столбец36]])</f>
        <v>0</v>
      </c>
    </row>
    <row r="11" spans="1:54" s="23" customFormat="1" ht="63" x14ac:dyDescent="0.35">
      <c r="A11" s="3" t="s">
        <v>1529</v>
      </c>
      <c r="B11" s="6" t="s">
        <v>1530</v>
      </c>
      <c r="C11" s="3" t="s">
        <v>130</v>
      </c>
      <c r="D11" s="3" t="s">
        <v>2518</v>
      </c>
      <c r="E11" s="2" t="s">
        <v>141</v>
      </c>
      <c r="F11" s="2" t="s">
        <v>2486</v>
      </c>
      <c r="G11" s="2" t="s">
        <v>2486</v>
      </c>
      <c r="H11" s="2" t="s">
        <v>135</v>
      </c>
      <c r="I11" s="2" t="s">
        <v>135</v>
      </c>
      <c r="J11" s="2" t="s">
        <v>2508</v>
      </c>
      <c r="K11" s="2" t="s">
        <v>135</v>
      </c>
      <c r="L11" s="2" t="s">
        <v>2486</v>
      </c>
      <c r="M11" s="2" t="s">
        <v>2486</v>
      </c>
      <c r="N11" s="2" t="s">
        <v>141</v>
      </c>
      <c r="O11" s="2" t="s">
        <v>141</v>
      </c>
      <c r="P11" s="2" t="s">
        <v>2494</v>
      </c>
      <c r="Q11" s="2" t="s">
        <v>141</v>
      </c>
      <c r="R11" s="2" t="s">
        <v>2486</v>
      </c>
      <c r="S11" s="2" t="s">
        <v>2486</v>
      </c>
      <c r="T11" s="2" t="s">
        <v>135</v>
      </c>
      <c r="U11" s="2" t="s">
        <v>2507</v>
      </c>
      <c r="V11" s="2" t="s">
        <v>135</v>
      </c>
      <c r="W11" s="2" t="s">
        <v>135</v>
      </c>
      <c r="X11" s="2" t="s">
        <v>2486</v>
      </c>
      <c r="Y11" s="2" t="s">
        <v>2486</v>
      </c>
      <c r="Z11" s="2" t="s">
        <v>141</v>
      </c>
      <c r="AA11" s="2" t="s">
        <v>141</v>
      </c>
      <c r="AB11" s="2" t="s">
        <v>2494</v>
      </c>
      <c r="AC11" s="2" t="s">
        <v>141</v>
      </c>
      <c r="AD11" s="2" t="s">
        <v>2486</v>
      </c>
      <c r="AE11" s="2" t="s">
        <v>2486</v>
      </c>
      <c r="AF11" s="2" t="s">
        <v>135</v>
      </c>
      <c r="AG11" s="40" t="s">
        <v>135</v>
      </c>
      <c r="AH11" s="40" t="s">
        <v>135</v>
      </c>
      <c r="AI11" s="40"/>
      <c r="AJ11" s="41"/>
      <c r="AK11" s="45"/>
      <c r="AL11" s="2"/>
      <c r="AM11" s="10"/>
      <c r="AN11" s="16"/>
      <c r="AO11" s="3"/>
      <c r="AP11" s="7">
        <f>VLOOKUP(B:B,Table3[#All],4,0)</f>
        <v>7500</v>
      </c>
      <c r="AQ11" s="7">
        <f>calcShift1(Таблица1[[#This Row],[Столбец5]:[Столбец36]])</f>
        <v>72</v>
      </c>
      <c r="AR11" s="7">
        <f>calcShift2(Таблица1[[#This Row],[Столбец5]:[Столбец36]])</f>
        <v>88</v>
      </c>
      <c r="AS11" s="7">
        <f>calcShift3(Таблица1[[#This Row],[Столбец5]:[Столбец36]])</f>
        <v>0</v>
      </c>
      <c r="AT11" s="7"/>
      <c r="AU11" s="7">
        <f>calcYavka(Таблица1[[#This Row],[Столбец5]:[Столбец36]])</f>
        <v>20</v>
      </c>
      <c r="AV11" s="9"/>
      <c r="AW11" s="18">
        <f>VLOOKUP(B:B,ДОП_ВСІ!B:AS,44,0)</f>
        <v>1312.5</v>
      </c>
      <c r="AX11" s="7">
        <f>VLOOKUP(B:B,ДОП_ВСІ!B:AQ,42,0)</f>
        <v>0</v>
      </c>
      <c r="AY11" s="7">
        <f>Таблица1[[#This Row],[Столбец47]]*30</f>
        <v>600</v>
      </c>
      <c r="AZ11" s="6">
        <f>((((Таблица1[[#This Row],[Столбец42]]/160)*Таблица1[[#This Row],[Столбец44]])*0.25)*0.35)+((((Таблица1[[#This Row],[Столбец42]]/160)*Таблица1[[#This Row],[Столбец44]])*0.5)*0.2)</f>
        <v>773.4375</v>
      </c>
      <c r="BA11" s="6"/>
      <c r="BB11" s="47">
        <f>calcTS(Таблица1[[#This Row],[Столбец5]:[Столбец36]])</f>
        <v>0</v>
      </c>
    </row>
    <row r="12" spans="1:54" s="23" customFormat="1" ht="63" x14ac:dyDescent="0.35">
      <c r="A12" s="3" t="s">
        <v>1566</v>
      </c>
      <c r="B12" s="6" t="s">
        <v>1567</v>
      </c>
      <c r="C12" s="3" t="s">
        <v>130</v>
      </c>
      <c r="D12" s="3" t="s">
        <v>2519</v>
      </c>
      <c r="E12" s="2" t="s">
        <v>2513</v>
      </c>
      <c r="F12" s="2" t="s">
        <v>2513</v>
      </c>
      <c r="G12" s="2" t="s">
        <v>2486</v>
      </c>
      <c r="H12" s="2" t="s">
        <v>2507</v>
      </c>
      <c r="I12" s="2" t="s">
        <v>2506</v>
      </c>
      <c r="J12" s="2" t="s">
        <v>2486</v>
      </c>
      <c r="K12" s="2" t="s">
        <v>2486</v>
      </c>
      <c r="L12" s="2" t="s">
        <v>2504</v>
      </c>
      <c r="M12" s="2" t="s">
        <v>2503</v>
      </c>
      <c r="N12" s="2" t="s">
        <v>2504</v>
      </c>
      <c r="O12" s="2" t="s">
        <v>2517</v>
      </c>
      <c r="P12" s="2" t="s">
        <v>2486</v>
      </c>
      <c r="Q12" s="2" t="s">
        <v>2486</v>
      </c>
      <c r="R12" s="2" t="s">
        <v>2499</v>
      </c>
      <c r="S12" s="2" t="s">
        <v>2499</v>
      </c>
      <c r="T12" s="2" t="s">
        <v>141</v>
      </c>
      <c r="U12" s="2" t="s">
        <v>141</v>
      </c>
      <c r="V12" s="2" t="s">
        <v>2486</v>
      </c>
      <c r="W12" s="2" t="s">
        <v>2486</v>
      </c>
      <c r="X12" s="2" t="s">
        <v>135</v>
      </c>
      <c r="Y12" s="2" t="s">
        <v>2486</v>
      </c>
      <c r="Z12" s="2" t="s">
        <v>2486</v>
      </c>
      <c r="AA12" s="2" t="s">
        <v>135</v>
      </c>
      <c r="AB12" s="2" t="s">
        <v>2486</v>
      </c>
      <c r="AC12" s="2" t="s">
        <v>2499</v>
      </c>
      <c r="AD12" s="2" t="s">
        <v>2490</v>
      </c>
      <c r="AE12" s="2" t="s">
        <v>141</v>
      </c>
      <c r="AF12" s="2" t="s">
        <v>2499</v>
      </c>
      <c r="AG12" s="39" t="s">
        <v>2485</v>
      </c>
      <c r="AH12" s="39" t="s">
        <v>2486</v>
      </c>
      <c r="AI12" s="39"/>
      <c r="AJ12" s="41"/>
      <c r="AK12" s="45"/>
      <c r="AL12" s="2"/>
      <c r="AM12" s="10"/>
      <c r="AN12" s="16"/>
      <c r="AO12" s="3"/>
      <c r="AP12" s="7">
        <f>VLOOKUP(B:B,Table3[#All],4,0)</f>
        <v>7500</v>
      </c>
      <c r="AQ12" s="7">
        <f>calcShift1(Таблица1[[#This Row],[Столбец5]:[Столбец36]])</f>
        <v>80</v>
      </c>
      <c r="AR12" s="7">
        <f>calcShift2(Таблица1[[#This Row],[Столбец5]:[Столбец36]])</f>
        <v>64</v>
      </c>
      <c r="AS12" s="7">
        <f>calcShift3(Таблица1[[#This Row],[Столбец5]:[Столбец36]])</f>
        <v>0</v>
      </c>
      <c r="AT12" s="7"/>
      <c r="AU12" s="7">
        <f>calcYavka(Таблица1[[#This Row],[Столбец5]:[Столбец36]])</f>
        <v>18</v>
      </c>
      <c r="AV12" s="9"/>
      <c r="AW12" s="18">
        <f>VLOOKUP(B:B,ДОП_ВСІ!B:AS,44,0)</f>
        <v>1875</v>
      </c>
      <c r="AX12" s="7">
        <f>VLOOKUP(B:B,ДОП_ВСІ!B:AQ,42,0)</f>
        <v>0</v>
      </c>
      <c r="AY12" s="7">
        <f>Таблица1[[#This Row],[Столбец47]]*30</f>
        <v>540</v>
      </c>
      <c r="AZ12" s="6">
        <f>((((Таблица1[[#This Row],[Столбец42]]/160)*Таблица1[[#This Row],[Столбец44]])*0.25)*0.35)+((((Таблица1[[#This Row],[Столбец42]]/160)*Таблица1[[#This Row],[Столбец44]])*0.5)*0.2)</f>
        <v>562.5</v>
      </c>
      <c r="BA12" s="6"/>
      <c r="BB12" s="47">
        <f>calcTS(Таблица1[[#This Row],[Столбец5]:[Столбец36]])</f>
        <v>0</v>
      </c>
    </row>
    <row r="13" spans="1:54" s="23" customFormat="1" ht="84" x14ac:dyDescent="0.35">
      <c r="A13" s="3" t="s">
        <v>1570</v>
      </c>
      <c r="B13" s="6" t="s">
        <v>1571</v>
      </c>
      <c r="C13" s="3" t="s">
        <v>130</v>
      </c>
      <c r="D13" s="3" t="s">
        <v>2520</v>
      </c>
      <c r="E13" s="2" t="s">
        <v>2486</v>
      </c>
      <c r="F13" s="2" t="s">
        <v>2521</v>
      </c>
      <c r="G13" s="2" t="s">
        <v>141</v>
      </c>
      <c r="H13" s="2" t="s">
        <v>2521</v>
      </c>
      <c r="I13" s="2" t="s">
        <v>2521</v>
      </c>
      <c r="J13" s="2" t="s">
        <v>2486</v>
      </c>
      <c r="K13" s="2" t="s">
        <v>2486</v>
      </c>
      <c r="L13" s="2" t="s">
        <v>2507</v>
      </c>
      <c r="M13" s="2" t="s">
        <v>2522</v>
      </c>
      <c r="N13" s="2" t="s">
        <v>2506</v>
      </c>
      <c r="O13" s="2" t="s">
        <v>2512</v>
      </c>
      <c r="P13" s="2" t="s">
        <v>2486</v>
      </c>
      <c r="Q13" s="2" t="s">
        <v>2486</v>
      </c>
      <c r="R13" s="2" t="s">
        <v>141</v>
      </c>
      <c r="S13" s="2" t="s">
        <v>2489</v>
      </c>
      <c r="T13" s="2" t="s">
        <v>2489</v>
      </c>
      <c r="U13" s="2" t="s">
        <v>2521</v>
      </c>
      <c r="V13" s="2" t="s">
        <v>2486</v>
      </c>
      <c r="W13" s="2" t="s">
        <v>2486</v>
      </c>
      <c r="X13" s="2" t="s">
        <v>2506</v>
      </c>
      <c r="Y13" s="2" t="s">
        <v>2486</v>
      </c>
      <c r="Z13" s="2" t="s">
        <v>2488</v>
      </c>
      <c r="AA13" s="2" t="s">
        <v>2506</v>
      </c>
      <c r="AB13" s="2" t="s">
        <v>2486</v>
      </c>
      <c r="AC13" s="2" t="s">
        <v>2486</v>
      </c>
      <c r="AD13" s="2" t="s">
        <v>2489</v>
      </c>
      <c r="AE13" s="2" t="s">
        <v>2493</v>
      </c>
      <c r="AF13" s="2" t="s">
        <v>2513</v>
      </c>
      <c r="AG13" s="39" t="s">
        <v>141</v>
      </c>
      <c r="AH13" s="39" t="s">
        <v>2486</v>
      </c>
      <c r="AI13" s="39"/>
      <c r="AJ13" s="41"/>
      <c r="AK13" s="45"/>
      <c r="AL13" s="2"/>
      <c r="AM13" s="10"/>
      <c r="AN13" s="16"/>
      <c r="AO13" s="3"/>
      <c r="AP13" s="7">
        <f>VLOOKUP(B:B,Table3[#All],4,0)</f>
        <v>7500</v>
      </c>
      <c r="AQ13" s="7">
        <f>calcShift1(Таблица1[[#This Row],[Столбец5]:[Столбец36]])</f>
        <v>104</v>
      </c>
      <c r="AR13" s="7">
        <f>calcShift2(Таблица1[[#This Row],[Столбец5]:[Столбец36]])</f>
        <v>47.999999999999993</v>
      </c>
      <c r="AS13" s="7">
        <f>calcShift3(Таблица1[[#This Row],[Столбец5]:[Столбец36]])</f>
        <v>0</v>
      </c>
      <c r="AT13" s="7"/>
      <c r="AU13" s="7">
        <f>calcYavka(Таблица1[[#This Row],[Столбец5]:[Столбец36]])</f>
        <v>19</v>
      </c>
      <c r="AV13" s="9"/>
      <c r="AW13" s="18">
        <f>VLOOKUP(B:B,ДОП_ВСІ!B:AS,44,0)</f>
        <v>0</v>
      </c>
      <c r="AX13" s="7">
        <f>VLOOKUP(B:B,ДОП_ВСІ!B:AQ,42,0)</f>
        <v>0</v>
      </c>
      <c r="AY13" s="7">
        <f>Таблица1[[#This Row],[Столбец47]]*30</f>
        <v>570</v>
      </c>
      <c r="AZ13" s="6">
        <f>((((Таблица1[[#This Row],[Столбец42]]/160)*Таблица1[[#This Row],[Столбец44]])*0.25)*0.35)+((((Таблица1[[#This Row],[Столбец42]]/160)*Таблица1[[#This Row],[Столбец44]])*0.5)*0.2)</f>
        <v>421.87499999999989</v>
      </c>
      <c r="BA13" s="6"/>
      <c r="BB13" s="47">
        <f>calcTS(Таблица1[[#This Row],[Столбец5]:[Столбец36]])</f>
        <v>0</v>
      </c>
    </row>
    <row r="14" spans="1:54" s="23" customFormat="1" ht="42" x14ac:dyDescent="0.35">
      <c r="A14" s="3" t="s">
        <v>1667</v>
      </c>
      <c r="B14" s="6" t="s">
        <v>1668</v>
      </c>
      <c r="C14" s="3" t="s">
        <v>130</v>
      </c>
      <c r="D14" s="3" t="s">
        <v>2523</v>
      </c>
      <c r="E14" s="2" t="s">
        <v>2486</v>
      </c>
      <c r="F14" s="2" t="s">
        <v>141</v>
      </c>
      <c r="G14" s="2" t="s">
        <v>141</v>
      </c>
      <c r="H14" s="2" t="s">
        <v>141</v>
      </c>
      <c r="I14" s="2" t="s">
        <v>2499</v>
      </c>
      <c r="J14" s="2" t="s">
        <v>2486</v>
      </c>
      <c r="K14" s="2" t="s">
        <v>2486</v>
      </c>
      <c r="L14" s="2" t="s">
        <v>135</v>
      </c>
      <c r="M14" s="2" t="s">
        <v>135</v>
      </c>
      <c r="N14" s="2" t="s">
        <v>135</v>
      </c>
      <c r="O14" s="2" t="s">
        <v>135</v>
      </c>
      <c r="P14" s="2" t="s">
        <v>2486</v>
      </c>
      <c r="Q14" s="2" t="s">
        <v>2486</v>
      </c>
      <c r="R14" s="2" t="s">
        <v>141</v>
      </c>
      <c r="S14" s="2" t="s">
        <v>2499</v>
      </c>
      <c r="T14" s="2" t="s">
        <v>141</v>
      </c>
      <c r="U14" s="2" t="s">
        <v>141</v>
      </c>
      <c r="V14" s="2" t="s">
        <v>2486</v>
      </c>
      <c r="W14" s="2" t="s">
        <v>135</v>
      </c>
      <c r="X14" s="2" t="s">
        <v>135</v>
      </c>
      <c r="Y14" s="2" t="s">
        <v>2486</v>
      </c>
      <c r="Z14" s="2" t="s">
        <v>2486</v>
      </c>
      <c r="AA14" s="2" t="s">
        <v>135</v>
      </c>
      <c r="AB14" s="2" t="s">
        <v>2486</v>
      </c>
      <c r="AC14" s="2" t="s">
        <v>2486</v>
      </c>
      <c r="AD14" s="2" t="s">
        <v>141</v>
      </c>
      <c r="AE14" s="2" t="s">
        <v>141</v>
      </c>
      <c r="AF14" s="2" t="s">
        <v>141</v>
      </c>
      <c r="AG14" s="39" t="s">
        <v>141</v>
      </c>
      <c r="AH14" s="39" t="s">
        <v>141</v>
      </c>
      <c r="AI14" s="39"/>
      <c r="AJ14" s="41"/>
      <c r="AK14" s="45"/>
      <c r="AL14" s="2"/>
      <c r="AM14" s="10"/>
      <c r="AN14" s="16"/>
      <c r="AO14" s="3"/>
      <c r="AP14" s="7">
        <f>VLOOKUP(B:B,Table3[#All],4,0)</f>
        <v>7500</v>
      </c>
      <c r="AQ14" s="7">
        <f>calcShift1(Таблица1[[#This Row],[Столбец5]:[Столбец36]])</f>
        <v>104</v>
      </c>
      <c r="AR14" s="7">
        <f>calcShift2(Таблица1[[#This Row],[Столбец5]:[Столбец36]])</f>
        <v>55.999999999999993</v>
      </c>
      <c r="AS14" s="7">
        <f>calcShift3(Таблица1[[#This Row],[Столбец5]:[Столбец36]])</f>
        <v>0</v>
      </c>
      <c r="AT14" s="7"/>
      <c r="AU14" s="7">
        <f>calcYavka(Таблица1[[#This Row],[Столбец5]:[Столбец36]])</f>
        <v>20</v>
      </c>
      <c r="AV14" s="9"/>
      <c r="AW14" s="18">
        <f>VLOOKUP(B:B,ДОП_ВСІ!B:AS,44,0)</f>
        <v>2437.5</v>
      </c>
      <c r="AX14" s="7">
        <f>VLOOKUP(B:B,ДОП_ВСІ!B:AQ,42,0)</f>
        <v>0</v>
      </c>
      <c r="AY14" s="7">
        <f>Таблица1[[#This Row],[Столбец47]]*30</f>
        <v>600</v>
      </c>
      <c r="AZ14" s="6">
        <f>((((Таблица1[[#This Row],[Столбец42]]/160)*Таблица1[[#This Row],[Столбец44]])*0.25)*0.35)+((((Таблица1[[#This Row],[Столбец42]]/160)*Таблица1[[#This Row],[Столбец44]])*0.5)*0.2)</f>
        <v>492.18749999999989</v>
      </c>
      <c r="BA14" s="6"/>
      <c r="BB14" s="47">
        <f>calcTS(Таблица1[[#This Row],[Столбец5]:[Столбец36]])</f>
        <v>0</v>
      </c>
    </row>
    <row r="15" spans="1:54" s="23" customFormat="1" ht="84" x14ac:dyDescent="0.35">
      <c r="A15" s="3" t="s">
        <v>1688</v>
      </c>
      <c r="B15" s="6" t="s">
        <v>1689</v>
      </c>
      <c r="C15" s="3" t="s">
        <v>130</v>
      </c>
      <c r="D15" s="3" t="s">
        <v>2524</v>
      </c>
      <c r="E15" s="2" t="s">
        <v>2486</v>
      </c>
      <c r="F15" s="2" t="s">
        <v>141</v>
      </c>
      <c r="G15" s="2" t="s">
        <v>2525</v>
      </c>
      <c r="H15" s="2" t="s">
        <v>2496</v>
      </c>
      <c r="I15" s="2" t="s">
        <v>2497</v>
      </c>
      <c r="J15" s="2" t="s">
        <v>2486</v>
      </c>
      <c r="K15" s="2" t="s">
        <v>2486</v>
      </c>
      <c r="L15" s="2" t="s">
        <v>2508</v>
      </c>
      <c r="M15" s="2" t="s">
        <v>2508</v>
      </c>
      <c r="N15" s="2" t="s">
        <v>2486</v>
      </c>
      <c r="O15" s="2" t="s">
        <v>2486</v>
      </c>
      <c r="P15" s="2" t="s">
        <v>2494</v>
      </c>
      <c r="Q15" s="2" t="s">
        <v>141</v>
      </c>
      <c r="R15" s="2" t="s">
        <v>2494</v>
      </c>
      <c r="S15" s="2" t="s">
        <v>141</v>
      </c>
      <c r="T15" s="2" t="s">
        <v>2486</v>
      </c>
      <c r="U15" s="2" t="s">
        <v>141</v>
      </c>
      <c r="V15" s="2" t="s">
        <v>2486</v>
      </c>
      <c r="W15" s="2" t="s">
        <v>2486</v>
      </c>
      <c r="X15" s="2" t="s">
        <v>135</v>
      </c>
      <c r="Y15" s="2" t="s">
        <v>2486</v>
      </c>
      <c r="Z15" s="2" t="s">
        <v>2486</v>
      </c>
      <c r="AA15" s="2" t="s">
        <v>2508</v>
      </c>
      <c r="AB15" s="2" t="s">
        <v>2486</v>
      </c>
      <c r="AC15" s="2" t="s">
        <v>2486</v>
      </c>
      <c r="AD15" s="2" t="s">
        <v>2494</v>
      </c>
      <c r="AE15" s="2" t="s">
        <v>141</v>
      </c>
      <c r="AF15" s="2" t="s">
        <v>2494</v>
      </c>
      <c r="AG15" s="39" t="s">
        <v>2494</v>
      </c>
      <c r="AH15" s="39" t="s">
        <v>2486</v>
      </c>
      <c r="AI15" s="39"/>
      <c r="AJ15" s="41"/>
      <c r="AK15" s="45"/>
      <c r="AL15" s="2"/>
      <c r="AM15" s="10"/>
      <c r="AN15" s="16"/>
      <c r="AO15" s="3"/>
      <c r="AP15" s="7">
        <f>VLOOKUP(B:B,Table3[#All],4,0)</f>
        <v>7500</v>
      </c>
      <c r="AQ15" s="7">
        <f>calcShift1(Таблица1[[#This Row],[Столбец5]:[Столбец36]])</f>
        <v>102</v>
      </c>
      <c r="AR15" s="7">
        <f>calcShift2(Таблица1[[#This Row],[Столбец5]:[Столбец36]])</f>
        <v>32</v>
      </c>
      <c r="AS15" s="7">
        <f>calcShift3(Таблица1[[#This Row],[Столбец5]:[Столбец36]])</f>
        <v>0</v>
      </c>
      <c r="AT15" s="7"/>
      <c r="AU15" s="7">
        <f>calcYavka(Таблица1[[#This Row],[Столбец5]:[Столбец36]])</f>
        <v>17</v>
      </c>
      <c r="AV15" s="9"/>
      <c r="AW15" s="18">
        <f>VLOOKUP(B:B,ДОП_ВСІ!B:AS,44,0)</f>
        <v>750</v>
      </c>
      <c r="AX15" s="7">
        <f>VLOOKUP(B:B,ДОП_ВСІ!B:AQ,42,0)</f>
        <v>885.93750000000011</v>
      </c>
      <c r="AY15" s="7">
        <f>Таблица1[[#This Row],[Столбец47]]*30</f>
        <v>510</v>
      </c>
      <c r="AZ15" s="6">
        <f>((((Таблица1[[#This Row],[Столбец42]]/160)*Таблица1[[#This Row],[Столбец44]])*0.25)*0.35)+((((Таблица1[[#This Row],[Столбец42]]/160)*Таблица1[[#This Row],[Столбец44]])*0.5)*0.2)</f>
        <v>281.25</v>
      </c>
      <c r="BA15" s="6"/>
      <c r="BB15" s="47">
        <f>calcTS(Таблица1[[#This Row],[Столбец5]:[Столбец36]])</f>
        <v>0</v>
      </c>
    </row>
    <row r="16" spans="1:54" s="23" customFormat="1" ht="84" x14ac:dyDescent="0.35">
      <c r="A16" s="3" t="s">
        <v>1741</v>
      </c>
      <c r="B16" s="6" t="s">
        <v>1742</v>
      </c>
      <c r="C16" s="3" t="s">
        <v>130</v>
      </c>
      <c r="D16" s="3" t="s">
        <v>2526</v>
      </c>
      <c r="E16" s="2" t="s">
        <v>2513</v>
      </c>
      <c r="F16" s="2" t="s">
        <v>2486</v>
      </c>
      <c r="G16" s="2" t="s">
        <v>2486</v>
      </c>
      <c r="H16" s="2" t="s">
        <v>135</v>
      </c>
      <c r="I16" s="2" t="s">
        <v>2527</v>
      </c>
      <c r="J16" s="2" t="s">
        <v>2505</v>
      </c>
      <c r="K16" s="2" t="s">
        <v>2527</v>
      </c>
      <c r="L16" s="2" t="s">
        <v>2486</v>
      </c>
      <c r="M16" s="2" t="s">
        <v>2486</v>
      </c>
      <c r="N16" s="2" t="s">
        <v>2516</v>
      </c>
      <c r="O16" s="2" t="s">
        <v>2497</v>
      </c>
      <c r="P16" s="2" t="s">
        <v>2497</v>
      </c>
      <c r="Q16" s="2" t="s">
        <v>2488</v>
      </c>
      <c r="R16" s="2" t="s">
        <v>2486</v>
      </c>
      <c r="S16" s="2" t="s">
        <v>2486</v>
      </c>
      <c r="T16" s="2" t="s">
        <v>2506</v>
      </c>
      <c r="U16" s="2" t="s">
        <v>2517</v>
      </c>
      <c r="V16" s="2" t="s">
        <v>135</v>
      </c>
      <c r="W16" s="2" t="s">
        <v>135</v>
      </c>
      <c r="X16" s="2" t="s">
        <v>2486</v>
      </c>
      <c r="Y16" s="2" t="s">
        <v>2495</v>
      </c>
      <c r="Z16" s="2" t="s">
        <v>2495</v>
      </c>
      <c r="AA16" s="2" t="s">
        <v>2495</v>
      </c>
      <c r="AB16" s="2" t="s">
        <v>2495</v>
      </c>
      <c r="AC16" s="2" t="s">
        <v>2495</v>
      </c>
      <c r="AD16" s="2" t="s">
        <v>2486</v>
      </c>
      <c r="AE16" s="2" t="s">
        <v>2486</v>
      </c>
      <c r="AF16" s="2" t="s">
        <v>2517</v>
      </c>
      <c r="AG16" s="39" t="s">
        <v>2506</v>
      </c>
      <c r="AH16" s="39" t="s">
        <v>135</v>
      </c>
      <c r="AI16" s="39"/>
      <c r="AJ16" s="41"/>
      <c r="AK16" s="45"/>
      <c r="AL16" s="2"/>
      <c r="AM16" s="10"/>
      <c r="AN16" s="16"/>
      <c r="AO16" s="3"/>
      <c r="AP16" s="7">
        <f>VLOOKUP(B:B,Table3[#All],4,0)</f>
        <v>7500</v>
      </c>
      <c r="AQ16" s="7">
        <f>calcShift1(Таблица1[[#This Row],[Столбец5]:[Столбец36]])</f>
        <v>40</v>
      </c>
      <c r="AR16" s="7">
        <f>calcShift2(Таблица1[[#This Row],[Столбец5]:[Столбец36]])</f>
        <v>88</v>
      </c>
      <c r="AS16" s="7">
        <f>calcShift3(Таблица1[[#This Row],[Столбец5]:[Столбец36]])</f>
        <v>0</v>
      </c>
      <c r="AT16" s="7"/>
      <c r="AU16" s="7">
        <f>calcYavka(Таблица1[[#This Row],[Столбец5]:[Столбец36]])</f>
        <v>16</v>
      </c>
      <c r="AV16" s="9"/>
      <c r="AW16" s="18">
        <f>VLOOKUP(B:B,ДОП_ВСІ!B:AS,44,0)</f>
        <v>2156.25</v>
      </c>
      <c r="AX16" s="7">
        <f>VLOOKUP(B:B,ДОП_ВСІ!B:AQ,42,0)</f>
        <v>0</v>
      </c>
      <c r="AY16" s="7">
        <f>Таблица1[[#This Row],[Столбец47]]*30</f>
        <v>480</v>
      </c>
      <c r="AZ16" s="6">
        <f>((((Таблица1[[#This Row],[Столбец42]]/160)*Таблица1[[#This Row],[Столбец44]])*0.25)*0.35)+((((Таблица1[[#This Row],[Столбец42]]/160)*Таблица1[[#This Row],[Столбец44]])*0.5)*0.2)</f>
        <v>773.4375</v>
      </c>
      <c r="BA16" s="6"/>
      <c r="BB16" s="47">
        <f>calcTS(Таблица1[[#This Row],[Столбец5]:[Столбец36]])</f>
        <v>0</v>
      </c>
    </row>
    <row r="17" spans="1:54" s="23" customFormat="1" ht="42" x14ac:dyDescent="0.35">
      <c r="A17" s="3" t="s">
        <v>1757</v>
      </c>
      <c r="B17" s="6" t="s">
        <v>1758</v>
      </c>
      <c r="C17" s="3" t="s">
        <v>130</v>
      </c>
      <c r="D17" s="3" t="s">
        <v>2528</v>
      </c>
      <c r="E17" s="2" t="s">
        <v>141</v>
      </c>
      <c r="F17" s="2" t="s">
        <v>2486</v>
      </c>
      <c r="G17" s="2" t="s">
        <v>2486</v>
      </c>
      <c r="H17" s="2" t="s">
        <v>135</v>
      </c>
      <c r="I17" s="2" t="s">
        <v>135</v>
      </c>
      <c r="J17" s="2" t="s">
        <v>2508</v>
      </c>
      <c r="K17" s="2" t="s">
        <v>135</v>
      </c>
      <c r="L17" s="2" t="s">
        <v>2486</v>
      </c>
      <c r="M17" s="2" t="s">
        <v>2486</v>
      </c>
      <c r="N17" s="2" t="s">
        <v>141</v>
      </c>
      <c r="O17" s="2" t="s">
        <v>2496</v>
      </c>
      <c r="P17" s="2" t="s">
        <v>141</v>
      </c>
      <c r="Q17" s="2" t="s">
        <v>141</v>
      </c>
      <c r="R17" s="2" t="s">
        <v>2486</v>
      </c>
      <c r="S17" s="2" t="s">
        <v>2486</v>
      </c>
      <c r="T17" s="2" t="s">
        <v>135</v>
      </c>
      <c r="U17" s="2" t="s">
        <v>135</v>
      </c>
      <c r="V17" s="2" t="s">
        <v>2501</v>
      </c>
      <c r="W17" s="2" t="s">
        <v>2501</v>
      </c>
      <c r="X17" s="2" t="s">
        <v>2501</v>
      </c>
      <c r="Y17" s="2" t="s">
        <v>2501</v>
      </c>
      <c r="Z17" s="2" t="s">
        <v>2501</v>
      </c>
      <c r="AA17" s="2" t="s">
        <v>2501</v>
      </c>
      <c r="AB17" s="2" t="s">
        <v>2501</v>
      </c>
      <c r="AC17" s="2" t="s">
        <v>2501</v>
      </c>
      <c r="AD17" s="2" t="s">
        <v>2501</v>
      </c>
      <c r="AE17" s="2" t="s">
        <v>2501</v>
      </c>
      <c r="AF17" s="2" t="s">
        <v>2501</v>
      </c>
      <c r="AG17" s="39" t="s">
        <v>2501</v>
      </c>
      <c r="AH17" s="39" t="s">
        <v>2501</v>
      </c>
      <c r="AI17" s="39"/>
      <c r="AJ17" s="41"/>
      <c r="AK17" s="45"/>
      <c r="AL17" s="2"/>
      <c r="AM17" s="10"/>
      <c r="AN17" s="16"/>
      <c r="AO17" s="3"/>
      <c r="AP17" s="7">
        <f>VLOOKUP(B:B,Table3[#All],4,0)</f>
        <v>7500</v>
      </c>
      <c r="AQ17" s="7">
        <f>calcShift1(Таблица1[[#This Row],[Столбец5]:[Столбец36]])</f>
        <v>40</v>
      </c>
      <c r="AR17" s="7">
        <f>calcShift2(Таблица1[[#This Row],[Столбец5]:[Столбец36]])</f>
        <v>47.999999999999993</v>
      </c>
      <c r="AS17" s="7">
        <f>calcShift3(Таблица1[[#This Row],[Столбец5]:[Столбец36]])</f>
        <v>0</v>
      </c>
      <c r="AT17" s="7"/>
      <c r="AU17" s="7">
        <f>calcYavka(Таблица1[[#This Row],[Столбец5]:[Столбец36]])</f>
        <v>11</v>
      </c>
      <c r="AV17" s="9"/>
      <c r="AW17" s="18">
        <f>VLOOKUP(B:B,ДОП_ВСІ!B:AS,44,0)</f>
        <v>0</v>
      </c>
      <c r="AX17" s="7">
        <f>VLOOKUP(B:B,ДОП_ВСІ!B:AQ,42,0)</f>
        <v>0</v>
      </c>
      <c r="AY17" s="7">
        <f>Таблица1[[#This Row],[Столбец47]]*30</f>
        <v>330</v>
      </c>
      <c r="AZ17" s="6">
        <f>((((Таблица1[[#This Row],[Столбец42]]/160)*Таблица1[[#This Row],[Столбец44]])*0.25)*0.35)+((((Таблица1[[#This Row],[Столбец42]]/160)*Таблица1[[#This Row],[Столбец44]])*0.5)*0.2)</f>
        <v>421.87499999999989</v>
      </c>
      <c r="BA17" s="6"/>
      <c r="BB17" s="47">
        <f>calcTS(Таблица1[[#This Row],[Столбец5]:[Столбец36]])</f>
        <v>0</v>
      </c>
    </row>
    <row r="18" spans="1:54" s="23" customFormat="1" ht="42" x14ac:dyDescent="0.35">
      <c r="A18" s="3" t="s">
        <v>1821</v>
      </c>
      <c r="B18" s="6" t="s">
        <v>1822</v>
      </c>
      <c r="C18" s="3" t="s">
        <v>130</v>
      </c>
      <c r="D18" s="3" t="s">
        <v>2529</v>
      </c>
      <c r="E18" s="2" t="s">
        <v>135</v>
      </c>
      <c r="F18" s="2" t="s">
        <v>135</v>
      </c>
      <c r="G18" s="2" t="s">
        <v>135</v>
      </c>
      <c r="H18" s="2" t="s">
        <v>2486</v>
      </c>
      <c r="I18" s="2" t="s">
        <v>2486</v>
      </c>
      <c r="J18" s="2" t="s">
        <v>2494</v>
      </c>
      <c r="K18" s="2" t="s">
        <v>141</v>
      </c>
      <c r="L18" s="2" t="s">
        <v>2485</v>
      </c>
      <c r="M18" s="2" t="s">
        <v>141</v>
      </c>
      <c r="N18" s="2" t="s">
        <v>2486</v>
      </c>
      <c r="O18" s="2" t="s">
        <v>2501</v>
      </c>
      <c r="P18" s="2" t="s">
        <v>2501</v>
      </c>
      <c r="Q18" s="2" t="s">
        <v>2501</v>
      </c>
      <c r="R18" s="2" t="s">
        <v>2501</v>
      </c>
      <c r="S18" s="2" t="s">
        <v>2501</v>
      </c>
      <c r="T18" s="2" t="s">
        <v>2501</v>
      </c>
      <c r="U18" s="2" t="s">
        <v>2501</v>
      </c>
      <c r="V18" s="2" t="s">
        <v>2501</v>
      </c>
      <c r="W18" s="2" t="s">
        <v>2501</v>
      </c>
      <c r="X18" s="2" t="s">
        <v>2501</v>
      </c>
      <c r="Y18" s="2" t="s">
        <v>2501</v>
      </c>
      <c r="Z18" s="2" t="s">
        <v>2501</v>
      </c>
      <c r="AA18" s="2" t="s">
        <v>2501</v>
      </c>
      <c r="AB18" s="2" t="s">
        <v>2501</v>
      </c>
      <c r="AC18" s="2" t="s">
        <v>135</v>
      </c>
      <c r="AD18" s="2" t="s">
        <v>135</v>
      </c>
      <c r="AE18" s="2" t="s">
        <v>135</v>
      </c>
      <c r="AF18" s="2" t="s">
        <v>135</v>
      </c>
      <c r="AG18" s="2" t="s">
        <v>2486</v>
      </c>
      <c r="AH18" s="2" t="s">
        <v>141</v>
      </c>
      <c r="AI18" s="2"/>
      <c r="AJ18" s="10"/>
      <c r="AK18" s="16"/>
      <c r="AL18" s="3"/>
      <c r="AM18" s="3"/>
      <c r="AN18" s="3"/>
      <c r="AO18" s="3"/>
      <c r="AP18" s="7">
        <f>VLOOKUP(B:B,Table3[#All],4,0)</f>
        <v>31.55</v>
      </c>
      <c r="AQ18" s="7">
        <f>calcShift1(Таблица1[[#This Row],[Столбец5]:[Столбец36]])</f>
        <v>32</v>
      </c>
      <c r="AR18" s="7">
        <f>calcShift2(Таблица1[[#This Row],[Столбец5]:[Столбец36]])</f>
        <v>55.999999999999993</v>
      </c>
      <c r="AS18" s="7">
        <f>calcShift3(Таблица1[[#This Row],[Столбец5]:[Столбец36]])</f>
        <v>0</v>
      </c>
      <c r="AT18" s="7"/>
      <c r="AU18" s="7">
        <f>calcYavka(Таблица1[[#This Row],[Столбец5]:[Столбец36]])</f>
        <v>11</v>
      </c>
      <c r="AV18" s="9"/>
      <c r="AW18" s="18">
        <f>VLOOKUP(B:B,ДОП_ВСІ!B:AS,44,0)</f>
        <v>750</v>
      </c>
      <c r="AX18" s="7">
        <f>VLOOKUP(B:B,ДОП_ВСІ!B:AQ,42,0)</f>
        <v>2657.8125000000005</v>
      </c>
      <c r="AY18" s="7">
        <f>Таблица1[[#This Row],[Столбец47]]*30</f>
        <v>330</v>
      </c>
      <c r="AZ18" s="6">
        <f>((((Таблица1[[#This Row],[Столбец42]]/160)*Таблица1[[#This Row],[Столбец44]])*0.25)*0.35)+((((Таблица1[[#This Row],[Столбец42]]/160)*Таблица1[[#This Row],[Столбец44]])*0.5)*0.2)</f>
        <v>2.0704687499999999</v>
      </c>
      <c r="BA18" s="6"/>
      <c r="BB18" s="47">
        <f>calcTS(Таблица1[[#This Row],[Столбец5]:[Столбец36]])</f>
        <v>0</v>
      </c>
    </row>
    <row r="19" spans="1:54" s="23" customFormat="1" ht="84" x14ac:dyDescent="0.35">
      <c r="A19" s="3" t="s">
        <v>1919</v>
      </c>
      <c r="B19" s="6" t="s">
        <v>1920</v>
      </c>
      <c r="C19" s="3" t="s">
        <v>130</v>
      </c>
      <c r="D19" s="3" t="s">
        <v>2530</v>
      </c>
      <c r="E19" s="2" t="s">
        <v>2508</v>
      </c>
      <c r="F19" s="2" t="s">
        <v>2506</v>
      </c>
      <c r="G19" s="2" t="s">
        <v>2504</v>
      </c>
      <c r="H19" s="2" t="s">
        <v>2486</v>
      </c>
      <c r="I19" s="2" t="s">
        <v>2486</v>
      </c>
      <c r="J19" s="2" t="s">
        <v>141</v>
      </c>
      <c r="K19" s="2" t="s">
        <v>2499</v>
      </c>
      <c r="L19" s="2" t="s">
        <v>2494</v>
      </c>
      <c r="M19" s="2" t="s">
        <v>141</v>
      </c>
      <c r="N19" s="2" t="s">
        <v>2486</v>
      </c>
      <c r="O19" s="2" t="s">
        <v>2486</v>
      </c>
      <c r="P19" s="2" t="s">
        <v>2505</v>
      </c>
      <c r="Q19" s="2" t="s">
        <v>2508</v>
      </c>
      <c r="R19" s="2" t="s">
        <v>2505</v>
      </c>
      <c r="S19" s="2" t="s">
        <v>2510</v>
      </c>
      <c r="T19" s="2" t="s">
        <v>2486</v>
      </c>
      <c r="U19" s="2" t="s">
        <v>2486</v>
      </c>
      <c r="V19" s="2" t="s">
        <v>2494</v>
      </c>
      <c r="W19" s="2" t="s">
        <v>2494</v>
      </c>
      <c r="X19" s="2" t="s">
        <v>2493</v>
      </c>
      <c r="Y19" s="2" t="s">
        <v>2486</v>
      </c>
      <c r="Z19" s="2" t="s">
        <v>2486</v>
      </c>
      <c r="AA19" s="2" t="s">
        <v>2488</v>
      </c>
      <c r="AB19" s="2" t="s">
        <v>2531</v>
      </c>
      <c r="AC19" s="2" t="s">
        <v>2531</v>
      </c>
      <c r="AD19" s="2" t="s">
        <v>135</v>
      </c>
      <c r="AE19" s="2" t="s">
        <v>2508</v>
      </c>
      <c r="AF19" s="2" t="s">
        <v>2486</v>
      </c>
      <c r="AG19" s="2" t="s">
        <v>2486</v>
      </c>
      <c r="AH19" s="2" t="s">
        <v>2494</v>
      </c>
      <c r="AI19" s="2"/>
      <c r="AJ19" s="10"/>
      <c r="AK19" s="16"/>
      <c r="AL19" s="3"/>
      <c r="AM19" s="3"/>
      <c r="AN19" s="3"/>
      <c r="AO19" s="3"/>
      <c r="AP19" s="7">
        <f>VLOOKUP(B:B,Table3[#All],4,0)</f>
        <v>7500</v>
      </c>
      <c r="AQ19" s="7">
        <f>calcShift1(Таблица1[[#This Row],[Столбец5]:[Столбец36]])</f>
        <v>72</v>
      </c>
      <c r="AR19" s="7">
        <f>calcShift2(Таблица1[[#This Row],[Столбец5]:[Столбец36]])</f>
        <v>72</v>
      </c>
      <c r="AS19" s="7">
        <f>calcShift3(Таблица1[[#This Row],[Столбец5]:[Столбец36]])</f>
        <v>0</v>
      </c>
      <c r="AT19" s="7"/>
      <c r="AU19" s="7">
        <f>calcYavka(Таблица1[[#This Row],[Столбец5]:[Столбец36]])</f>
        <v>18</v>
      </c>
      <c r="AV19" s="9"/>
      <c r="AW19" s="18">
        <f>VLOOKUP(B:B,ДОП_ВСІ!B:AS,44,0)</f>
        <v>562.5</v>
      </c>
      <c r="AX19" s="7">
        <f>VLOOKUP(B:B,ДОП_ВСІ!B:AQ,42,0)</f>
        <v>0</v>
      </c>
      <c r="AY19" s="7">
        <f>Таблица1[[#This Row],[Столбец47]]*30</f>
        <v>540</v>
      </c>
      <c r="AZ19" s="6">
        <f>((((Таблица1[[#This Row],[Столбец42]]/160)*Таблица1[[#This Row],[Столбец44]])*0.25)*0.35)+((((Таблица1[[#This Row],[Столбец42]]/160)*Таблица1[[#This Row],[Столбец44]])*0.5)*0.2)</f>
        <v>632.8125</v>
      </c>
      <c r="BA19" s="6"/>
      <c r="BB19" s="47">
        <f>calcTS(Таблица1[[#This Row],[Столбец5]:[Столбец36]])</f>
        <v>0</v>
      </c>
    </row>
    <row r="20" spans="1:54" s="23" customFormat="1" ht="42" x14ac:dyDescent="0.35">
      <c r="A20" s="3" t="s">
        <v>1948</v>
      </c>
      <c r="B20" s="6" t="s">
        <v>1949</v>
      </c>
      <c r="C20" s="3" t="s">
        <v>130</v>
      </c>
      <c r="D20" s="3" t="s">
        <v>2532</v>
      </c>
      <c r="E20" s="2" t="s">
        <v>141</v>
      </c>
      <c r="F20" s="2" t="s">
        <v>2486</v>
      </c>
      <c r="G20" s="2" t="s">
        <v>2486</v>
      </c>
      <c r="H20" s="2" t="s">
        <v>135</v>
      </c>
      <c r="I20" s="2" t="s">
        <v>135</v>
      </c>
      <c r="J20" s="2" t="s">
        <v>135</v>
      </c>
      <c r="K20" s="2" t="s">
        <v>135</v>
      </c>
      <c r="L20" s="2" t="s">
        <v>2486</v>
      </c>
      <c r="M20" s="2" t="s">
        <v>2486</v>
      </c>
      <c r="N20" s="2" t="s">
        <v>141</v>
      </c>
      <c r="O20" s="2" t="s">
        <v>141</v>
      </c>
      <c r="P20" s="2" t="s">
        <v>141</v>
      </c>
      <c r="Q20" s="2" t="s">
        <v>141</v>
      </c>
      <c r="R20" s="2" t="s">
        <v>2486</v>
      </c>
      <c r="S20" s="2" t="s">
        <v>2486</v>
      </c>
      <c r="T20" s="2" t="s">
        <v>135</v>
      </c>
      <c r="U20" s="2" t="s">
        <v>2504</v>
      </c>
      <c r="V20" s="2" t="s">
        <v>2504</v>
      </c>
      <c r="W20" s="2" t="s">
        <v>2504</v>
      </c>
      <c r="X20" s="2" t="s">
        <v>2486</v>
      </c>
      <c r="Y20" s="2" t="s">
        <v>2486</v>
      </c>
      <c r="Z20" s="2" t="s">
        <v>2486</v>
      </c>
      <c r="AA20" s="2" t="s">
        <v>141</v>
      </c>
      <c r="AB20" s="2" t="s">
        <v>141</v>
      </c>
      <c r="AC20" s="2" t="s">
        <v>141</v>
      </c>
      <c r="AD20" s="2" t="s">
        <v>2486</v>
      </c>
      <c r="AE20" s="2" t="s">
        <v>2486</v>
      </c>
      <c r="AF20" s="2" t="s">
        <v>135</v>
      </c>
      <c r="AG20" s="2" t="s">
        <v>135</v>
      </c>
      <c r="AH20" s="2" t="s">
        <v>135</v>
      </c>
      <c r="AI20" s="2"/>
      <c r="AJ20" s="10"/>
      <c r="AK20" s="16"/>
      <c r="AL20" s="3"/>
      <c r="AM20" s="3"/>
      <c r="AN20" s="3"/>
      <c r="AO20" s="3"/>
      <c r="AP20" s="7">
        <f>VLOOKUP(B:B,Table3[#All],4,0)</f>
        <v>7500</v>
      </c>
      <c r="AQ20" s="7">
        <f>calcShift1(Таблица1[[#This Row],[Столбец5]:[Столбец36]])</f>
        <v>64</v>
      </c>
      <c r="AR20" s="7">
        <f>calcShift2(Таблица1[[#This Row],[Столбец5]:[Столбец36]])</f>
        <v>88</v>
      </c>
      <c r="AS20" s="7">
        <f>calcShift3(Таблица1[[#This Row],[Столбец5]:[Столбец36]])</f>
        <v>0</v>
      </c>
      <c r="AT20" s="7"/>
      <c r="AU20" s="7">
        <f>calcYavka(Таблица1[[#This Row],[Столбец5]:[Столбец36]])</f>
        <v>19</v>
      </c>
      <c r="AV20" s="9"/>
      <c r="AW20" s="18">
        <f>VLOOKUP(B:B,ДОП_ВСІ!B:AS,44,0)</f>
        <v>0</v>
      </c>
      <c r="AX20" s="7">
        <f>VLOOKUP(B:B,ДОП_ВСІ!B:AQ,42,0)</f>
        <v>0</v>
      </c>
      <c r="AY20" s="7">
        <f>Таблица1[[#This Row],[Столбец47]]*30</f>
        <v>570</v>
      </c>
      <c r="AZ20" s="6">
        <f>((((Таблица1[[#This Row],[Столбец42]]/160)*Таблица1[[#This Row],[Столбец44]])*0.25)*0.35)+((((Таблица1[[#This Row],[Столбец42]]/160)*Таблица1[[#This Row],[Столбец44]])*0.5)*0.2)</f>
        <v>773.4375</v>
      </c>
      <c r="BA20" s="6"/>
      <c r="BB20" s="47">
        <f>calcTS(Таблица1[[#This Row],[Столбец5]:[Столбец36]])</f>
        <v>0</v>
      </c>
    </row>
    <row r="21" spans="1:54" s="23" customFormat="1" x14ac:dyDescent="0.35">
      <c r="A21" s="3" t="s">
        <v>1999</v>
      </c>
      <c r="B21" s="6" t="s">
        <v>2000</v>
      </c>
      <c r="C21" s="3" t="s">
        <v>130</v>
      </c>
      <c r="D21" s="3" t="s">
        <v>2533</v>
      </c>
      <c r="E21" s="2" t="s">
        <v>2495</v>
      </c>
      <c r="F21" s="2" t="s">
        <v>2495</v>
      </c>
      <c r="G21" s="2" t="s">
        <v>2495</v>
      </c>
      <c r="H21" s="2" t="s">
        <v>2495</v>
      </c>
      <c r="I21" s="2" t="s">
        <v>2495</v>
      </c>
      <c r="J21" s="2" t="s">
        <v>2495</v>
      </c>
      <c r="K21" s="2" t="s">
        <v>2495</v>
      </c>
      <c r="L21" s="2" t="s">
        <v>2495</v>
      </c>
      <c r="M21" s="2" t="s">
        <v>141</v>
      </c>
      <c r="N21" s="2" t="s">
        <v>2486</v>
      </c>
      <c r="O21" s="2" t="s">
        <v>2486</v>
      </c>
      <c r="P21" s="2" t="s">
        <v>135</v>
      </c>
      <c r="Q21" s="2" t="s">
        <v>135</v>
      </c>
      <c r="R21" s="2" t="s">
        <v>135</v>
      </c>
      <c r="S21" s="2" t="s">
        <v>135</v>
      </c>
      <c r="T21" s="2" t="s">
        <v>2486</v>
      </c>
      <c r="U21" s="2" t="s">
        <v>2486</v>
      </c>
      <c r="V21" s="2" t="s">
        <v>2501</v>
      </c>
      <c r="W21" s="2" t="s">
        <v>2501</v>
      </c>
      <c r="X21" s="2" t="s">
        <v>2501</v>
      </c>
      <c r="Y21" s="2" t="s">
        <v>2501</v>
      </c>
      <c r="Z21" s="2" t="s">
        <v>2501</v>
      </c>
      <c r="AA21" s="2" t="s">
        <v>2501</v>
      </c>
      <c r="AB21" s="2" t="s">
        <v>2501</v>
      </c>
      <c r="AC21" s="2" t="s">
        <v>2501</v>
      </c>
      <c r="AD21" s="2" t="s">
        <v>2501</v>
      </c>
      <c r="AE21" s="2" t="s">
        <v>2501</v>
      </c>
      <c r="AF21" s="2" t="s">
        <v>2501</v>
      </c>
      <c r="AG21" s="2" t="s">
        <v>2501</v>
      </c>
      <c r="AH21" s="2" t="s">
        <v>2501</v>
      </c>
      <c r="AI21" s="2"/>
      <c r="AJ21" s="10"/>
      <c r="AK21" s="16"/>
      <c r="AL21" s="3"/>
      <c r="AM21" s="3"/>
      <c r="AN21" s="3"/>
      <c r="AO21" s="3"/>
      <c r="AP21" s="7">
        <f>VLOOKUP(B:B,Table3[#All],4,0)</f>
        <v>7500</v>
      </c>
      <c r="AQ21" s="7">
        <f>calcShift1(Таблица1[[#This Row],[Столбец5]:[Столбец36]])</f>
        <v>8</v>
      </c>
      <c r="AR21" s="7">
        <f>calcShift2(Таблица1[[#This Row],[Столбец5]:[Столбец36]])</f>
        <v>32</v>
      </c>
      <c r="AS21" s="7">
        <f>calcShift3(Таблица1[[#This Row],[Столбец5]:[Столбец36]])</f>
        <v>0</v>
      </c>
      <c r="AT21" s="7"/>
      <c r="AU21" s="7">
        <f>calcYavka(Таблица1[[#This Row],[Столбец5]:[Столбец36]])</f>
        <v>5</v>
      </c>
      <c r="AV21" s="9"/>
      <c r="AW21" s="18">
        <f>VLOOKUP(B:B,ДОП_ВСІ!B:AS,44,0)</f>
        <v>0</v>
      </c>
      <c r="AX21" s="7">
        <f>VLOOKUP(B:B,ДОП_ВСІ!B:AQ,42,0)</f>
        <v>0</v>
      </c>
      <c r="AY21" s="7">
        <f>Таблица1[[#This Row],[Столбец47]]*30</f>
        <v>150</v>
      </c>
      <c r="AZ21" s="6">
        <f>((((Таблица1[[#This Row],[Столбец42]]/160)*Таблица1[[#This Row],[Столбец44]])*0.25)*0.35)+((((Таблица1[[#This Row],[Столбец42]]/160)*Таблица1[[#This Row],[Столбец44]])*0.5)*0.2)</f>
        <v>281.25</v>
      </c>
      <c r="BA21" s="6"/>
      <c r="BB21" s="47">
        <f>calcTS(Таблица1[[#This Row],[Столбец5]:[Столбец36]])</f>
        <v>0</v>
      </c>
    </row>
    <row r="22" spans="1:54" s="23" customFormat="1" ht="63" x14ac:dyDescent="0.35">
      <c r="A22" s="3" t="s">
        <v>142</v>
      </c>
      <c r="B22" s="6" t="s">
        <v>143</v>
      </c>
      <c r="C22" s="3" t="s">
        <v>130</v>
      </c>
      <c r="D22" s="3" t="s">
        <v>2534</v>
      </c>
      <c r="E22" s="2" t="s">
        <v>2486</v>
      </c>
      <c r="F22" s="2" t="s">
        <v>2494</v>
      </c>
      <c r="G22" s="2" t="s">
        <v>141</v>
      </c>
      <c r="H22" s="2" t="s">
        <v>2494</v>
      </c>
      <c r="I22" s="2" t="s">
        <v>2499</v>
      </c>
      <c r="J22" s="2" t="s">
        <v>2486</v>
      </c>
      <c r="K22" s="2" t="s">
        <v>2486</v>
      </c>
      <c r="L22" s="2" t="s">
        <v>2517</v>
      </c>
      <c r="M22" s="2" t="s">
        <v>135</v>
      </c>
      <c r="N22" s="2" t="s">
        <v>135</v>
      </c>
      <c r="O22" s="2" t="s">
        <v>135</v>
      </c>
      <c r="P22" s="2" t="s">
        <v>2486</v>
      </c>
      <c r="Q22" s="2" t="s">
        <v>2486</v>
      </c>
      <c r="R22" s="2" t="s">
        <v>141</v>
      </c>
      <c r="S22" s="2" t="s">
        <v>141</v>
      </c>
      <c r="T22" s="2" t="s">
        <v>141</v>
      </c>
      <c r="U22" s="2" t="s">
        <v>2488</v>
      </c>
      <c r="V22" s="2" t="s">
        <v>2486</v>
      </c>
      <c r="W22" s="2" t="s">
        <v>135</v>
      </c>
      <c r="X22" s="2" t="s">
        <v>2507</v>
      </c>
      <c r="Y22" s="2" t="s">
        <v>2486</v>
      </c>
      <c r="Z22" s="2" t="s">
        <v>2485</v>
      </c>
      <c r="AA22" s="2" t="s">
        <v>2508</v>
      </c>
      <c r="AB22" s="2" t="s">
        <v>2486</v>
      </c>
      <c r="AC22" s="2" t="s">
        <v>2486</v>
      </c>
      <c r="AD22" s="2" t="s">
        <v>141</v>
      </c>
      <c r="AE22" s="2" t="s">
        <v>141</v>
      </c>
      <c r="AF22" s="2" t="s">
        <v>141</v>
      </c>
      <c r="AG22" s="2" t="s">
        <v>141</v>
      </c>
      <c r="AH22" s="2" t="s">
        <v>141</v>
      </c>
      <c r="AI22" s="2"/>
      <c r="AJ22" s="10"/>
      <c r="AK22" s="16"/>
      <c r="AL22" s="3"/>
      <c r="AM22" s="3"/>
      <c r="AN22" s="3"/>
      <c r="AO22" s="3"/>
      <c r="AP22" s="7">
        <f>VLOOKUP(B:B,Table3[#All],4,0)</f>
        <v>7500</v>
      </c>
      <c r="AQ22" s="7">
        <f>calcShift1(Таблица1[[#This Row],[Столбец5]:[Столбец36]])</f>
        <v>104</v>
      </c>
      <c r="AR22" s="7">
        <f>calcShift2(Таблица1[[#This Row],[Столбец5]:[Столбец36]])</f>
        <v>55.999999999999993</v>
      </c>
      <c r="AS22" s="7">
        <f>calcShift3(Таблица1[[#This Row],[Столбец5]:[Столбец36]])</f>
        <v>0</v>
      </c>
      <c r="AT22" s="7"/>
      <c r="AU22" s="7">
        <f>calcYavka(Таблица1[[#This Row],[Столбец5]:[Столбец36]])</f>
        <v>20</v>
      </c>
      <c r="AV22" s="9"/>
      <c r="AW22" s="18">
        <f>VLOOKUP(B:B,ДОП_ВСІ!B:AS,44,0)</f>
        <v>0</v>
      </c>
      <c r="AX22" s="7">
        <f>VLOOKUP(B:B,ДОП_ВСІ!B:AQ,42,0)</f>
        <v>0</v>
      </c>
      <c r="AY22" s="7">
        <f>Таблица1[[#This Row],[Столбец47]]*30</f>
        <v>600</v>
      </c>
      <c r="AZ22" s="6">
        <f>((((Таблица1[[#This Row],[Столбец42]]/160)*Таблица1[[#This Row],[Столбец44]])*0.25)*0.35)+((((Таблица1[[#This Row],[Столбец42]]/160)*Таблица1[[#This Row],[Столбец44]])*0.5)*0.2)</f>
        <v>492.18749999999989</v>
      </c>
      <c r="BA22" s="6"/>
      <c r="BB22" s="47">
        <f>calcTS(Таблица1[[#This Row],[Столбец5]:[Столбец36]])</f>
        <v>0</v>
      </c>
    </row>
    <row r="23" spans="1:54" s="23" customFormat="1" ht="84" x14ac:dyDescent="0.35">
      <c r="A23" s="3" t="s">
        <v>2082</v>
      </c>
      <c r="B23" s="6" t="s">
        <v>2083</v>
      </c>
      <c r="C23" s="3" t="s">
        <v>130</v>
      </c>
      <c r="D23" s="3" t="s">
        <v>2535</v>
      </c>
      <c r="E23" s="2" t="s">
        <v>135</v>
      </c>
      <c r="F23" s="2" t="s">
        <v>135</v>
      </c>
      <c r="G23" s="2" t="s">
        <v>135</v>
      </c>
      <c r="H23" s="2" t="s">
        <v>2486</v>
      </c>
      <c r="I23" s="2" t="s">
        <v>2486</v>
      </c>
      <c r="J23" s="2" t="s">
        <v>141</v>
      </c>
      <c r="K23" s="2" t="s">
        <v>141</v>
      </c>
      <c r="L23" s="2" t="s">
        <v>2493</v>
      </c>
      <c r="M23" s="2" t="s">
        <v>141</v>
      </c>
      <c r="N23" s="2" t="s">
        <v>2486</v>
      </c>
      <c r="O23" s="2" t="s">
        <v>2486</v>
      </c>
      <c r="P23" s="2" t="s">
        <v>135</v>
      </c>
      <c r="Q23" s="2" t="s">
        <v>135</v>
      </c>
      <c r="R23" s="2" t="s">
        <v>135</v>
      </c>
      <c r="S23" s="2" t="s">
        <v>135</v>
      </c>
      <c r="T23" s="2" t="s">
        <v>2486</v>
      </c>
      <c r="U23" s="2" t="s">
        <v>2486</v>
      </c>
      <c r="V23" s="2" t="s">
        <v>2513</v>
      </c>
      <c r="W23" s="2" t="s">
        <v>2489</v>
      </c>
      <c r="X23" s="2" t="s">
        <v>2513</v>
      </c>
      <c r="Y23" s="2" t="s">
        <v>2486</v>
      </c>
      <c r="Z23" s="2" t="s">
        <v>2486</v>
      </c>
      <c r="AA23" s="2" t="s">
        <v>2486</v>
      </c>
      <c r="AB23" s="2" t="s">
        <v>2506</v>
      </c>
      <c r="AC23" s="2" t="s">
        <v>2522</v>
      </c>
      <c r="AD23" s="2" t="s">
        <v>2505</v>
      </c>
      <c r="AE23" s="2" t="s">
        <v>2507</v>
      </c>
      <c r="AF23" s="2" t="s">
        <v>2486</v>
      </c>
      <c r="AG23" s="2" t="s">
        <v>2486</v>
      </c>
      <c r="AH23" s="2" t="s">
        <v>2493</v>
      </c>
      <c r="AI23" s="2"/>
      <c r="AJ23" s="10"/>
      <c r="AK23" s="16"/>
      <c r="AL23" s="3"/>
      <c r="AM23" s="3"/>
      <c r="AN23" s="3"/>
      <c r="AO23" s="3"/>
      <c r="AP23" s="7">
        <f>VLOOKUP(B:B,Table3[#All],4,0)</f>
        <v>7500</v>
      </c>
      <c r="AQ23" s="7">
        <f>calcShift1(Таблица1[[#This Row],[Столбец5]:[Столбец36]])</f>
        <v>64</v>
      </c>
      <c r="AR23" s="7">
        <f>calcShift2(Таблица1[[#This Row],[Столбец5]:[Столбец36]])</f>
        <v>88</v>
      </c>
      <c r="AS23" s="7">
        <f>calcShift3(Таблица1[[#This Row],[Столбец5]:[Столбец36]])</f>
        <v>0</v>
      </c>
      <c r="AT23" s="7"/>
      <c r="AU23" s="7">
        <f>calcYavka(Таблица1[[#This Row],[Столбец5]:[Столбец36]])</f>
        <v>19</v>
      </c>
      <c r="AV23" s="9"/>
      <c r="AW23" s="18">
        <f>VLOOKUP(B:B,ДОП_ВСІ!B:AS,44,0)</f>
        <v>750</v>
      </c>
      <c r="AX23" s="7">
        <f>VLOOKUP(B:B,ДОП_ВСІ!B:AQ,42,0)</f>
        <v>3543.7500000000005</v>
      </c>
      <c r="AY23" s="7">
        <f>Таблица1[[#This Row],[Столбец47]]*30</f>
        <v>570</v>
      </c>
      <c r="AZ23" s="6">
        <f>((((Таблица1[[#This Row],[Столбец42]]/160)*Таблица1[[#This Row],[Столбец44]])*0.25)*0.35)+((((Таблица1[[#This Row],[Столбец42]]/160)*Таблица1[[#This Row],[Столбец44]])*0.5)*0.2)</f>
        <v>773.4375</v>
      </c>
      <c r="BA23" s="6"/>
      <c r="BB23" s="47">
        <f>calcTS(Таблица1[[#This Row],[Столбец5]:[Столбец36]])</f>
        <v>0</v>
      </c>
    </row>
    <row r="24" spans="1:54" s="23" customFormat="1" ht="84" x14ac:dyDescent="0.35">
      <c r="A24" s="3" t="s">
        <v>2171</v>
      </c>
      <c r="B24" s="6" t="s">
        <v>2172</v>
      </c>
      <c r="C24" s="3" t="s">
        <v>130</v>
      </c>
      <c r="D24" s="3" t="s">
        <v>2536</v>
      </c>
      <c r="E24" s="2" t="s">
        <v>2486</v>
      </c>
      <c r="F24" s="2" t="s">
        <v>2521</v>
      </c>
      <c r="G24" s="2" t="s">
        <v>2498</v>
      </c>
      <c r="H24" s="2" t="s">
        <v>2499</v>
      </c>
      <c r="I24" s="2" t="s">
        <v>141</v>
      </c>
      <c r="J24" s="2" t="s">
        <v>2486</v>
      </c>
      <c r="K24" s="2" t="s">
        <v>2486</v>
      </c>
      <c r="L24" s="2" t="s">
        <v>2503</v>
      </c>
      <c r="M24" s="2" t="s">
        <v>2504</v>
      </c>
      <c r="N24" s="2" t="s">
        <v>2503</v>
      </c>
      <c r="O24" s="2" t="s">
        <v>2504</v>
      </c>
      <c r="P24" s="2" t="s">
        <v>2486</v>
      </c>
      <c r="Q24" s="2" t="s">
        <v>2486</v>
      </c>
      <c r="R24" s="2" t="s">
        <v>141</v>
      </c>
      <c r="S24" s="2" t="s">
        <v>2496</v>
      </c>
      <c r="T24" s="2" t="s">
        <v>141</v>
      </c>
      <c r="U24" s="2" t="s">
        <v>2493</v>
      </c>
      <c r="V24" s="2" t="s">
        <v>2486</v>
      </c>
      <c r="W24" s="2" t="s">
        <v>2486</v>
      </c>
      <c r="X24" s="2" t="s">
        <v>2504</v>
      </c>
      <c r="Y24" s="2" t="s">
        <v>2486</v>
      </c>
      <c r="Z24" s="2" t="s">
        <v>2504</v>
      </c>
      <c r="AA24" s="2" t="s">
        <v>2506</v>
      </c>
      <c r="AB24" s="2" t="s">
        <v>2486</v>
      </c>
      <c r="AC24" s="2" t="s">
        <v>2486</v>
      </c>
      <c r="AD24" s="2" t="s">
        <v>2494</v>
      </c>
      <c r="AE24" s="2" t="s">
        <v>2516</v>
      </c>
      <c r="AF24" s="2" t="s">
        <v>2499</v>
      </c>
      <c r="AG24" s="2" t="s">
        <v>2499</v>
      </c>
      <c r="AH24" s="2" t="s">
        <v>2486</v>
      </c>
      <c r="AI24" s="2"/>
      <c r="AJ24" s="10"/>
      <c r="AK24" s="16"/>
      <c r="AL24" s="3"/>
      <c r="AM24" s="3"/>
      <c r="AN24" s="3"/>
      <c r="AO24" s="3"/>
      <c r="AP24" s="7">
        <f>VLOOKUP(B:B,Table3[#All],4,0)</f>
        <v>7500</v>
      </c>
      <c r="AQ24" s="7">
        <f>calcShift1(Таблица1[[#This Row],[Столбец5]:[Столбец36]])</f>
        <v>96</v>
      </c>
      <c r="AR24" s="7">
        <f>calcShift2(Таблица1[[#This Row],[Столбец5]:[Столбец36]])</f>
        <v>55.999999999999993</v>
      </c>
      <c r="AS24" s="7">
        <f>calcShift3(Таблица1[[#This Row],[Столбец5]:[Столбец36]])</f>
        <v>0</v>
      </c>
      <c r="AT24" s="7"/>
      <c r="AU24" s="7">
        <f>calcYavka(Таблица1[[#This Row],[Столбец5]:[Столбец36]])</f>
        <v>19</v>
      </c>
      <c r="AV24" s="9"/>
      <c r="AW24" s="18">
        <f>VLOOKUP(B:B,ДОП_ВСІ!B:AS,44,0)</f>
        <v>750</v>
      </c>
      <c r="AX24" s="7">
        <f>VLOOKUP(B:B,ДОП_ВСІ!B:AQ,42,0)</f>
        <v>0</v>
      </c>
      <c r="AY24" s="7">
        <f>Таблица1[[#This Row],[Столбец47]]*30</f>
        <v>570</v>
      </c>
      <c r="AZ24" s="6">
        <f>((((Таблица1[[#This Row],[Столбец42]]/160)*Таблица1[[#This Row],[Столбец44]])*0.25)*0.35)+((((Таблица1[[#This Row],[Столбец42]]/160)*Таблица1[[#This Row],[Столбец44]])*0.5)*0.2)</f>
        <v>492.18749999999989</v>
      </c>
      <c r="BA24" s="6"/>
      <c r="BB24" s="47">
        <f>calcTS(Таблица1[[#This Row],[Столбец5]:[Столбец36]])</f>
        <v>0</v>
      </c>
    </row>
    <row r="25" spans="1:54" s="23" customFormat="1" ht="84" x14ac:dyDescent="0.35">
      <c r="A25" s="3" t="s">
        <v>2180</v>
      </c>
      <c r="B25" s="6" t="s">
        <v>2181</v>
      </c>
      <c r="C25" s="3" t="s">
        <v>130</v>
      </c>
      <c r="D25" s="3" t="s">
        <v>2537</v>
      </c>
      <c r="E25" s="2" t="s">
        <v>135</v>
      </c>
      <c r="F25" s="2" t="s">
        <v>135</v>
      </c>
      <c r="G25" s="2" t="s">
        <v>2504</v>
      </c>
      <c r="H25" s="2" t="s">
        <v>2486</v>
      </c>
      <c r="I25" s="2" t="s">
        <v>2486</v>
      </c>
      <c r="J25" s="2" t="s">
        <v>141</v>
      </c>
      <c r="K25" s="2" t="s">
        <v>2494</v>
      </c>
      <c r="L25" s="2" t="s">
        <v>141</v>
      </c>
      <c r="M25" s="2" t="s">
        <v>2487</v>
      </c>
      <c r="N25" s="2" t="s">
        <v>2486</v>
      </c>
      <c r="O25" s="2" t="s">
        <v>2486</v>
      </c>
      <c r="P25" s="2" t="s">
        <v>2508</v>
      </c>
      <c r="Q25" s="2" t="s">
        <v>135</v>
      </c>
      <c r="R25" s="2" t="s">
        <v>2504</v>
      </c>
      <c r="S25" s="2" t="s">
        <v>2531</v>
      </c>
      <c r="T25" s="2" t="s">
        <v>2486</v>
      </c>
      <c r="U25" s="2" t="s">
        <v>2486</v>
      </c>
      <c r="V25" s="2" t="s">
        <v>141</v>
      </c>
      <c r="W25" s="2" t="s">
        <v>141</v>
      </c>
      <c r="X25" s="2" t="s">
        <v>141</v>
      </c>
      <c r="Y25" s="2" t="s">
        <v>2486</v>
      </c>
      <c r="Z25" s="2" t="s">
        <v>2486</v>
      </c>
      <c r="AA25" s="2" t="s">
        <v>141</v>
      </c>
      <c r="AB25" s="2" t="s">
        <v>2485</v>
      </c>
      <c r="AC25" s="2" t="s">
        <v>2501</v>
      </c>
      <c r="AD25" s="2" t="s">
        <v>2501</v>
      </c>
      <c r="AE25" s="2" t="s">
        <v>2501</v>
      </c>
      <c r="AF25" s="2" t="s">
        <v>2501</v>
      </c>
      <c r="AG25" s="2" t="s">
        <v>2501</v>
      </c>
      <c r="AH25" s="2" t="s">
        <v>2501</v>
      </c>
      <c r="AI25" s="2"/>
      <c r="AJ25" s="10"/>
      <c r="AK25" s="16"/>
      <c r="AL25" s="3"/>
      <c r="AM25" s="3"/>
      <c r="AN25" s="3"/>
      <c r="AO25" s="3"/>
      <c r="AP25" s="7">
        <f>VLOOKUP(B:B,Table3[#All],4,0)</f>
        <v>7500</v>
      </c>
      <c r="AQ25" s="7">
        <f>calcShift1(Таблица1[[#This Row],[Столбец5]:[Столбец36]])</f>
        <v>64</v>
      </c>
      <c r="AR25" s="7">
        <f>calcShift2(Таблица1[[#This Row],[Столбец5]:[Столбец36]])</f>
        <v>47.999999999999993</v>
      </c>
      <c r="AS25" s="7">
        <f>calcShift3(Таблица1[[#This Row],[Столбец5]:[Столбец36]])</f>
        <v>0</v>
      </c>
      <c r="AT25" s="7"/>
      <c r="AU25" s="7">
        <f>calcYavka(Таблица1[[#This Row],[Столбец5]:[Столбец36]])</f>
        <v>14</v>
      </c>
      <c r="AV25" s="9"/>
      <c r="AW25" s="18">
        <f>VLOOKUP(B:B,ДОП_ВСІ!B:AS,44,0)</f>
        <v>0</v>
      </c>
      <c r="AX25" s="7">
        <f>VLOOKUP(B:B,ДОП_ВСІ!B:AQ,42,0)</f>
        <v>0</v>
      </c>
      <c r="AY25" s="7">
        <f>Таблица1[[#This Row],[Столбец47]]*30</f>
        <v>420</v>
      </c>
      <c r="AZ25" s="6">
        <f>((((Таблица1[[#This Row],[Столбец42]]/160)*Таблица1[[#This Row],[Столбец44]])*0.25)*0.35)+((((Таблица1[[#This Row],[Столбец42]]/160)*Таблица1[[#This Row],[Столбец44]])*0.5)*0.2)</f>
        <v>421.87499999999989</v>
      </c>
      <c r="BA25" s="6"/>
      <c r="BB25" s="47">
        <f>calcTS(Таблица1[[#This Row],[Столбец5]:[Столбец36]])</f>
        <v>0</v>
      </c>
    </row>
    <row r="26" spans="1:54" s="23" customFormat="1" ht="63" x14ac:dyDescent="0.35">
      <c r="A26" s="3" t="s">
        <v>2232</v>
      </c>
      <c r="B26" s="6" t="s">
        <v>2233</v>
      </c>
      <c r="C26" s="3" t="s">
        <v>130</v>
      </c>
      <c r="D26" s="3" t="s">
        <v>2538</v>
      </c>
      <c r="E26" s="2" t="s">
        <v>141</v>
      </c>
      <c r="F26" s="2" t="s">
        <v>2486</v>
      </c>
      <c r="G26" s="2" t="s">
        <v>2486</v>
      </c>
      <c r="H26" s="2" t="s">
        <v>2539</v>
      </c>
      <c r="I26" s="2" t="s">
        <v>2508</v>
      </c>
      <c r="J26" s="2" t="s">
        <v>2508</v>
      </c>
      <c r="K26" s="2" t="s">
        <v>135</v>
      </c>
      <c r="L26" s="2" t="s">
        <v>2486</v>
      </c>
      <c r="M26" s="2" t="s">
        <v>2486</v>
      </c>
      <c r="N26" s="2" t="s">
        <v>2492</v>
      </c>
      <c r="O26" s="2" t="s">
        <v>2492</v>
      </c>
      <c r="P26" s="2" t="s">
        <v>141</v>
      </c>
      <c r="Q26" s="2" t="s">
        <v>141</v>
      </c>
      <c r="R26" s="2" t="s">
        <v>2486</v>
      </c>
      <c r="S26" s="2" t="s">
        <v>2486</v>
      </c>
      <c r="T26" s="2" t="s">
        <v>135</v>
      </c>
      <c r="U26" s="2" t="s">
        <v>2527</v>
      </c>
      <c r="V26" s="2" t="s">
        <v>2508</v>
      </c>
      <c r="W26" s="2" t="s">
        <v>135</v>
      </c>
      <c r="X26" s="2" t="s">
        <v>2486</v>
      </c>
      <c r="Y26" s="2" t="s">
        <v>2486</v>
      </c>
      <c r="Z26" s="2" t="s">
        <v>2485</v>
      </c>
      <c r="AA26" s="2" t="s">
        <v>2485</v>
      </c>
      <c r="AB26" s="2" t="s">
        <v>141</v>
      </c>
      <c r="AC26" s="2" t="s">
        <v>141</v>
      </c>
      <c r="AD26" s="2" t="s">
        <v>2486</v>
      </c>
      <c r="AE26" s="2" t="s">
        <v>135</v>
      </c>
      <c r="AF26" s="2" t="s">
        <v>2508</v>
      </c>
      <c r="AG26" s="2" t="s">
        <v>135</v>
      </c>
      <c r="AH26" s="2" t="s">
        <v>135</v>
      </c>
      <c r="AI26" s="2"/>
      <c r="AJ26" s="10"/>
      <c r="AK26" s="16"/>
      <c r="AL26" s="3"/>
      <c r="AM26" s="3"/>
      <c r="AN26" s="3"/>
      <c r="AO26" s="3"/>
      <c r="AP26" s="7">
        <f>VLOOKUP(B:B,Table3[#All],4,0)</f>
        <v>7500</v>
      </c>
      <c r="AQ26" s="7">
        <f>calcShift1(Таблица1[[#This Row],[Столбец5]:[Столбец36]])</f>
        <v>40</v>
      </c>
      <c r="AR26" s="7">
        <f>calcShift2(Таблица1[[#This Row],[Столбец5]:[Столбец36]])</f>
        <v>96</v>
      </c>
      <c r="AS26" s="7">
        <f>calcShift3(Таблица1[[#This Row],[Столбец5]:[Столбец36]])</f>
        <v>0</v>
      </c>
      <c r="AT26" s="7"/>
      <c r="AU26" s="7">
        <f>calcYavka(Таблица1[[#This Row],[Столбец5]:[Столбец36]])</f>
        <v>17</v>
      </c>
      <c r="AV26" s="9"/>
      <c r="AW26" s="18">
        <f>VLOOKUP(B:B,ДОП_ВСІ!B:AS,44,0)</f>
        <v>0</v>
      </c>
      <c r="AX26" s="7">
        <f>VLOOKUP(B:B,ДОП_ВСІ!B:AQ,42,0)</f>
        <v>0</v>
      </c>
      <c r="AY26" s="7">
        <f>Таблица1[[#This Row],[Столбец47]]*30</f>
        <v>510</v>
      </c>
      <c r="AZ26" s="6">
        <f>((((Таблица1[[#This Row],[Столбец42]]/160)*Таблица1[[#This Row],[Столбец44]])*0.25)*0.35)+((((Таблица1[[#This Row],[Столбец42]]/160)*Таблица1[[#This Row],[Столбец44]])*0.5)*0.2)</f>
        <v>843.75</v>
      </c>
      <c r="BA26" s="6"/>
      <c r="BB26" s="47">
        <f>calcTS(Таблица1[[#This Row],[Столбец5]:[Столбец36]])</f>
        <v>0</v>
      </c>
    </row>
    <row r="27" spans="1:54" s="23" customFormat="1" ht="63" x14ac:dyDescent="0.35">
      <c r="A27" s="3" t="s">
        <v>2292</v>
      </c>
      <c r="B27" s="6" t="s">
        <v>2293</v>
      </c>
      <c r="C27" s="3" t="s">
        <v>130</v>
      </c>
      <c r="D27" s="3" t="s">
        <v>2540</v>
      </c>
      <c r="E27" s="2" t="s">
        <v>2486</v>
      </c>
      <c r="F27" s="2" t="s">
        <v>2516</v>
      </c>
      <c r="G27" s="2" t="s">
        <v>141</v>
      </c>
      <c r="H27" s="2" t="s">
        <v>141</v>
      </c>
      <c r="I27" s="2" t="s">
        <v>2499</v>
      </c>
      <c r="J27" s="2" t="s">
        <v>2486</v>
      </c>
      <c r="K27" s="2" t="s">
        <v>2486</v>
      </c>
      <c r="L27" s="2" t="s">
        <v>135</v>
      </c>
      <c r="M27" s="2" t="s">
        <v>135</v>
      </c>
      <c r="N27" s="2" t="s">
        <v>2508</v>
      </c>
      <c r="O27" s="2" t="s">
        <v>135</v>
      </c>
      <c r="P27" s="2" t="s">
        <v>2486</v>
      </c>
      <c r="Q27" s="2" t="s">
        <v>2486</v>
      </c>
      <c r="R27" s="2" t="s">
        <v>141</v>
      </c>
      <c r="S27" s="2" t="s">
        <v>141</v>
      </c>
      <c r="T27" s="2" t="s">
        <v>141</v>
      </c>
      <c r="U27" s="2" t="s">
        <v>141</v>
      </c>
      <c r="V27" s="2" t="s">
        <v>2486</v>
      </c>
      <c r="W27" s="2" t="s">
        <v>2486</v>
      </c>
      <c r="X27" s="2" t="s">
        <v>135</v>
      </c>
      <c r="Y27" s="2" t="s">
        <v>2486</v>
      </c>
      <c r="Z27" s="2" t="s">
        <v>2486</v>
      </c>
      <c r="AA27" s="2" t="s">
        <v>135</v>
      </c>
      <c r="AB27" s="2" t="s">
        <v>2486</v>
      </c>
      <c r="AC27" s="2" t="s">
        <v>2499</v>
      </c>
      <c r="AD27" s="2" t="s">
        <v>141</v>
      </c>
      <c r="AE27" s="2" t="s">
        <v>141</v>
      </c>
      <c r="AF27" s="2" t="s">
        <v>141</v>
      </c>
      <c r="AG27" s="2" t="s">
        <v>141</v>
      </c>
      <c r="AH27" s="2" t="s">
        <v>2486</v>
      </c>
      <c r="AI27" s="2"/>
      <c r="AJ27" s="10"/>
      <c r="AK27" s="16"/>
      <c r="AL27" s="3"/>
      <c r="AM27" s="3"/>
      <c r="AN27" s="3"/>
      <c r="AO27" s="3"/>
      <c r="AP27" s="7">
        <f>VLOOKUP(B:B,Table3[#All],4,0)</f>
        <v>7500</v>
      </c>
      <c r="AQ27" s="7">
        <f>calcShift1(Таблица1[[#This Row],[Столбец5]:[Столбец36]])</f>
        <v>104</v>
      </c>
      <c r="AR27" s="7">
        <f>calcShift2(Таблица1[[#This Row],[Столбец5]:[Столбец36]])</f>
        <v>47.999999999999993</v>
      </c>
      <c r="AS27" s="7">
        <f>calcShift3(Таблица1[[#This Row],[Столбец5]:[Столбец36]])</f>
        <v>0</v>
      </c>
      <c r="AT27" s="7"/>
      <c r="AU27" s="7">
        <f>calcYavka(Таблица1[[#This Row],[Столбец5]:[Столбец36]])</f>
        <v>19</v>
      </c>
      <c r="AV27" s="9"/>
      <c r="AW27" s="18">
        <f>VLOOKUP(B:B,ДОП_ВСІ!B:AS,44,0)</f>
        <v>1500</v>
      </c>
      <c r="AX27" s="7">
        <f>VLOOKUP(B:B,ДОП_ВСІ!B:AQ,42,0)</f>
        <v>379.68750000000006</v>
      </c>
      <c r="AY27" s="7">
        <f>Таблица1[[#This Row],[Столбец47]]*30</f>
        <v>570</v>
      </c>
      <c r="AZ27" s="6">
        <f>((((Таблица1[[#This Row],[Столбец42]]/160)*Таблица1[[#This Row],[Столбец44]])*0.25)*0.35)+((((Таблица1[[#This Row],[Столбец42]]/160)*Таблица1[[#This Row],[Столбец44]])*0.5)*0.2)</f>
        <v>421.87499999999989</v>
      </c>
      <c r="BA27" s="6"/>
      <c r="BB27" s="47">
        <f>calcTS(Таблица1[[#This Row],[Столбец5]:[Столбец36]])</f>
        <v>0</v>
      </c>
    </row>
    <row r="28" spans="1:54" s="23" customFormat="1" ht="42" x14ac:dyDescent="0.35">
      <c r="A28" s="3" t="s">
        <v>2329</v>
      </c>
      <c r="B28" s="6" t="s">
        <v>2330</v>
      </c>
      <c r="C28" s="3" t="s">
        <v>130</v>
      </c>
      <c r="D28" s="3" t="s">
        <v>2541</v>
      </c>
      <c r="E28" s="2" t="s">
        <v>2542</v>
      </c>
      <c r="F28" s="2" t="s">
        <v>2542</v>
      </c>
      <c r="G28" s="2" t="s">
        <v>2542</v>
      </c>
      <c r="H28" s="2" t="s">
        <v>2486</v>
      </c>
      <c r="I28" s="2" t="s">
        <v>2486</v>
      </c>
      <c r="J28" s="2" t="s">
        <v>2543</v>
      </c>
      <c r="K28" s="2" t="s">
        <v>2543</v>
      </c>
      <c r="L28" s="2" t="s">
        <v>2543</v>
      </c>
      <c r="M28" s="2" t="s">
        <v>2543</v>
      </c>
      <c r="N28" s="2" t="s">
        <v>2486</v>
      </c>
      <c r="O28" s="2" t="s">
        <v>2486</v>
      </c>
      <c r="P28" s="2" t="s">
        <v>2542</v>
      </c>
      <c r="Q28" s="2" t="s">
        <v>2542</v>
      </c>
      <c r="R28" s="2" t="s">
        <v>2542</v>
      </c>
      <c r="S28" s="2" t="s">
        <v>2542</v>
      </c>
      <c r="T28" s="2" t="s">
        <v>2486</v>
      </c>
      <c r="U28" s="2" t="s">
        <v>2486</v>
      </c>
      <c r="V28" s="2" t="s">
        <v>2543</v>
      </c>
      <c r="W28" s="2" t="s">
        <v>2543</v>
      </c>
      <c r="X28" s="2" t="s">
        <v>2543</v>
      </c>
      <c r="Y28" s="2" t="s">
        <v>2486</v>
      </c>
      <c r="Z28" s="2" t="s">
        <v>2486</v>
      </c>
      <c r="AA28" s="2" t="s">
        <v>2486</v>
      </c>
      <c r="AB28" s="2" t="s">
        <v>2542</v>
      </c>
      <c r="AC28" s="2" t="s">
        <v>2542</v>
      </c>
      <c r="AD28" s="2" t="s">
        <v>2542</v>
      </c>
      <c r="AE28" s="2" t="s">
        <v>2542</v>
      </c>
      <c r="AF28" s="2" t="s">
        <v>2486</v>
      </c>
      <c r="AG28" s="2" t="s">
        <v>2486</v>
      </c>
      <c r="AH28" s="2" t="s">
        <v>2543</v>
      </c>
      <c r="AI28" s="2"/>
      <c r="AJ28" s="10"/>
      <c r="AK28" s="16"/>
      <c r="AL28" s="3"/>
      <c r="AM28" s="3"/>
      <c r="AN28" s="3"/>
      <c r="AO28" s="3"/>
      <c r="AP28" s="7">
        <f>VLOOKUP(B:B,Table3[#All],4,0)</f>
        <v>7500</v>
      </c>
      <c r="AQ28" s="7">
        <f>calcShift1(Таблица1[[#This Row],[Столбец5]:[Столбец36]])</f>
        <v>64</v>
      </c>
      <c r="AR28" s="7">
        <f>calcShift2(Таблица1[[#This Row],[Столбец5]:[Столбец36]])</f>
        <v>88</v>
      </c>
      <c r="AS28" s="7">
        <f>calcShift3(Таблица1[[#This Row],[Столбец5]:[Столбец36]])</f>
        <v>0</v>
      </c>
      <c r="AT28" s="7"/>
      <c r="AU28" s="7">
        <f>calcYavka(Таблица1[[#This Row],[Столбец5]:[Столбец36]])</f>
        <v>19</v>
      </c>
      <c r="AV28" s="9"/>
      <c r="AW28" s="18">
        <f>VLOOKUP(B:B,ДОП_ВСІ!B:AS,44,0)</f>
        <v>750</v>
      </c>
      <c r="AX28" s="7">
        <f>VLOOKUP(B:B,ДОП_ВСІ!B:AQ,42,0)</f>
        <v>3037.5000000000005</v>
      </c>
      <c r="AY28" s="7">
        <f>Таблица1[[#This Row],[Столбец47]]*30</f>
        <v>570</v>
      </c>
      <c r="AZ28" s="6">
        <f>((((Таблица1[[#This Row],[Столбец42]]/160)*Таблица1[[#This Row],[Столбец44]])*0.25)*0.35)+((((Таблица1[[#This Row],[Столбец42]]/160)*Таблица1[[#This Row],[Столбец44]])*0.5)*0.2)</f>
        <v>773.4375</v>
      </c>
      <c r="BA28" s="6"/>
      <c r="BB28" s="47">
        <f>calcTS(Таблица1[[#This Row],[Столбец5]:[Столбец36]])</f>
        <v>0</v>
      </c>
    </row>
    <row r="29" spans="1:54" s="23" customFormat="1" ht="42" x14ac:dyDescent="0.35">
      <c r="A29" s="3" t="s">
        <v>2388</v>
      </c>
      <c r="B29" s="6" t="s">
        <v>2389</v>
      </c>
      <c r="C29" s="3" t="s">
        <v>130</v>
      </c>
      <c r="D29" s="3" t="s">
        <v>2544</v>
      </c>
      <c r="E29" s="2" t="s">
        <v>141</v>
      </c>
      <c r="F29" s="2" t="s">
        <v>2486</v>
      </c>
      <c r="G29" s="2" t="s">
        <v>2486</v>
      </c>
      <c r="H29" s="2" t="s">
        <v>2542</v>
      </c>
      <c r="I29" s="2" t="s">
        <v>2542</v>
      </c>
      <c r="J29" s="2" t="s">
        <v>2542</v>
      </c>
      <c r="K29" s="2" t="s">
        <v>2542</v>
      </c>
      <c r="L29" s="2" t="s">
        <v>2486</v>
      </c>
      <c r="M29" s="2" t="s">
        <v>2486</v>
      </c>
      <c r="N29" s="2" t="s">
        <v>2543</v>
      </c>
      <c r="O29" s="2" t="s">
        <v>2543</v>
      </c>
      <c r="P29" s="2" t="s">
        <v>2543</v>
      </c>
      <c r="Q29" s="2" t="s">
        <v>2543</v>
      </c>
      <c r="R29" s="2" t="s">
        <v>2486</v>
      </c>
      <c r="S29" s="2" t="s">
        <v>2486</v>
      </c>
      <c r="T29" s="2" t="s">
        <v>2542</v>
      </c>
      <c r="U29" s="2" t="s">
        <v>2542</v>
      </c>
      <c r="V29" s="2" t="s">
        <v>2542</v>
      </c>
      <c r="W29" s="2" t="s">
        <v>2542</v>
      </c>
      <c r="X29" s="2" t="s">
        <v>2486</v>
      </c>
      <c r="Y29" s="2" t="s">
        <v>2486</v>
      </c>
      <c r="Z29" s="2" t="s">
        <v>2543</v>
      </c>
      <c r="AA29" s="2" t="s">
        <v>2543</v>
      </c>
      <c r="AB29" s="2" t="s">
        <v>2543</v>
      </c>
      <c r="AC29" s="2" t="s">
        <v>2543</v>
      </c>
      <c r="AD29" s="2" t="s">
        <v>2486</v>
      </c>
      <c r="AE29" s="2" t="s">
        <v>2486</v>
      </c>
      <c r="AF29" s="2" t="s">
        <v>135</v>
      </c>
      <c r="AG29" s="2" t="s">
        <v>135</v>
      </c>
      <c r="AH29" s="2" t="s">
        <v>135</v>
      </c>
      <c r="AI29" s="2"/>
      <c r="AJ29" s="10"/>
      <c r="AK29" s="16"/>
      <c r="AL29" s="3"/>
      <c r="AM29" s="3"/>
      <c r="AN29" s="3"/>
      <c r="AO29" s="3"/>
      <c r="AP29" s="7">
        <f>VLOOKUP(B:B,Table3[#All],4,0)</f>
        <v>7500</v>
      </c>
      <c r="AQ29" s="7">
        <f>calcShift1(Таблица1[[#This Row],[Столбец5]:[Столбец36]])</f>
        <v>72</v>
      </c>
      <c r="AR29" s="7">
        <f>calcShift2(Таблица1[[#This Row],[Столбец5]:[Столбец36]])</f>
        <v>88</v>
      </c>
      <c r="AS29" s="7">
        <f>calcShift3(Таблица1[[#This Row],[Столбец5]:[Столбец36]])</f>
        <v>0</v>
      </c>
      <c r="AT29" s="7"/>
      <c r="AU29" s="7">
        <f>calcYavka(Таблица1[[#This Row],[Столбец5]:[Столбец36]])</f>
        <v>20</v>
      </c>
      <c r="AV29" s="9"/>
      <c r="AW29" s="18">
        <f>VLOOKUP(B:B,ДОП_ВСІ!B:AS,44,0)</f>
        <v>1687.5</v>
      </c>
      <c r="AX29" s="7">
        <f>VLOOKUP(B:B,ДОП_ВСІ!B:AQ,42,0)</f>
        <v>1645.3125000000005</v>
      </c>
      <c r="AY29" s="7">
        <f>Таблица1[[#This Row],[Столбец47]]*30</f>
        <v>600</v>
      </c>
      <c r="AZ29" s="6">
        <f>((((Таблица1[[#This Row],[Столбец42]]/160)*Таблица1[[#This Row],[Столбец44]])*0.25)*0.35)+((((Таблица1[[#This Row],[Столбец42]]/160)*Таблица1[[#This Row],[Столбец44]])*0.5)*0.2)</f>
        <v>773.4375</v>
      </c>
      <c r="BA29" s="6"/>
      <c r="BB29" s="47">
        <f>calcTS(Таблица1[[#This Row],[Столбец5]:[Столбец36]])</f>
        <v>0</v>
      </c>
    </row>
    <row r="30" spans="1:54" s="23" customFormat="1" x14ac:dyDescent="0.35">
      <c r="A30" s="20" t="s">
        <v>2446</v>
      </c>
      <c r="B30" s="24" t="s">
        <v>2447</v>
      </c>
      <c r="C30" s="20" t="s">
        <v>130</v>
      </c>
      <c r="D30" s="20" t="s">
        <v>2545</v>
      </c>
      <c r="E30" s="19" t="s">
        <v>2486</v>
      </c>
      <c r="F30" s="19" t="s">
        <v>141</v>
      </c>
      <c r="G30" s="19" t="s">
        <v>141</v>
      </c>
      <c r="H30" s="20" t="s">
        <v>141</v>
      </c>
      <c r="I30" s="20" t="s">
        <v>141</v>
      </c>
      <c r="J30" s="20" t="s">
        <v>2486</v>
      </c>
      <c r="K30" s="20" t="s">
        <v>2486</v>
      </c>
      <c r="L30" s="20" t="s">
        <v>2542</v>
      </c>
      <c r="M30" s="20" t="s">
        <v>2542</v>
      </c>
      <c r="N30" s="20" t="s">
        <v>2542</v>
      </c>
      <c r="O30" s="20" t="s">
        <v>2542</v>
      </c>
      <c r="P30" s="20" t="s">
        <v>2486</v>
      </c>
      <c r="Q30" s="20" t="s">
        <v>2486</v>
      </c>
      <c r="R30" s="20" t="s">
        <v>141</v>
      </c>
      <c r="S30" s="20" t="s">
        <v>141</v>
      </c>
      <c r="T30" s="20" t="s">
        <v>141</v>
      </c>
      <c r="U30" s="20" t="s">
        <v>141</v>
      </c>
      <c r="V30" s="20" t="s">
        <v>2486</v>
      </c>
      <c r="W30" s="20" t="s">
        <v>2486</v>
      </c>
      <c r="X30" s="20" t="s">
        <v>2542</v>
      </c>
      <c r="Y30" s="20" t="s">
        <v>2486</v>
      </c>
      <c r="Z30" s="20" t="s">
        <v>2486</v>
      </c>
      <c r="AA30" s="20" t="s">
        <v>2542</v>
      </c>
      <c r="AB30" s="20" t="s">
        <v>2486</v>
      </c>
      <c r="AC30" s="20" t="s">
        <v>2486</v>
      </c>
      <c r="AD30" s="20" t="s">
        <v>141</v>
      </c>
      <c r="AE30" s="20" t="s">
        <v>141</v>
      </c>
      <c r="AF30" s="20" t="s">
        <v>141</v>
      </c>
      <c r="AG30" s="20" t="s">
        <v>141</v>
      </c>
      <c r="AH30" s="20" t="s">
        <v>141</v>
      </c>
      <c r="AI30" s="20"/>
      <c r="AJ30" s="19"/>
      <c r="AK30" s="20"/>
      <c r="AL30" s="20"/>
      <c r="AM30" s="20"/>
      <c r="AN30" s="3"/>
      <c r="AO30" s="3"/>
      <c r="AP30" s="7">
        <f>VLOOKUP(B:B,Table3[#All],4,0)</f>
        <v>7500</v>
      </c>
      <c r="AQ30" s="7">
        <f>calcShift1(Таблица1[[#This Row],[Столбец5]:[Столбец36]])</f>
        <v>104</v>
      </c>
      <c r="AR30" s="7">
        <f>calcShift2(Таблица1[[#This Row],[Столбец5]:[Столбец36]])</f>
        <v>47.999999999999993</v>
      </c>
      <c r="AS30" s="7">
        <f>calcShift3(Таблица1[[#This Row],[Столбец5]:[Столбец36]])</f>
        <v>0</v>
      </c>
      <c r="AT30" s="7"/>
      <c r="AU30" s="7">
        <f>calcYavka(Таблица1[[#This Row],[Столбец5]:[Столбец36]])</f>
        <v>19</v>
      </c>
      <c r="AV30" s="9"/>
      <c r="AW30" s="18">
        <f>VLOOKUP(B:B,ДОП_ВСІ!B:AS,44,0)</f>
        <v>2250</v>
      </c>
      <c r="AX30" s="7">
        <f>VLOOKUP(B:B,ДОП_ВСІ!B:AQ,42,0)</f>
        <v>0</v>
      </c>
      <c r="AY30" s="7">
        <f>Таблица1[[#This Row],[Столбец47]]*30</f>
        <v>570</v>
      </c>
      <c r="AZ30" s="6">
        <f>((((Таблица1[[#This Row],[Столбец42]]/160)*Таблица1[[#This Row],[Столбец44]])*0.25)*0.35)+((((Таблица1[[#This Row],[Столбец42]]/160)*Таблица1[[#This Row],[Столбец44]])*0.5)*0.2)</f>
        <v>421.87499999999989</v>
      </c>
      <c r="BA30" s="6"/>
      <c r="BB30" s="47">
        <f>calcTS(Таблица1[[#This Row],[Столбец5]:[Столбец36]])</f>
        <v>0</v>
      </c>
    </row>
    <row r="31" spans="1:54" s="23" customFormat="1" ht="84" x14ac:dyDescent="0.35">
      <c r="A31" s="20" t="s">
        <v>2466</v>
      </c>
      <c r="B31" s="24" t="s">
        <v>2467</v>
      </c>
      <c r="C31" s="20" t="s">
        <v>130</v>
      </c>
      <c r="D31" s="20" t="s">
        <v>2546</v>
      </c>
      <c r="E31" s="19" t="s">
        <v>2547</v>
      </c>
      <c r="F31" s="19" t="s">
        <v>2547</v>
      </c>
      <c r="G31" s="19" t="s">
        <v>2547</v>
      </c>
      <c r="H31" s="20" t="s">
        <v>2547</v>
      </c>
      <c r="I31" s="20" t="s">
        <v>2547</v>
      </c>
      <c r="J31" s="20" t="s">
        <v>2547</v>
      </c>
      <c r="K31" s="19" t="s">
        <v>2547</v>
      </c>
      <c r="L31" s="20" t="s">
        <v>2547</v>
      </c>
      <c r="M31" s="19" t="s">
        <v>2547</v>
      </c>
      <c r="N31" s="20" t="s">
        <v>2547</v>
      </c>
      <c r="O31" s="20" t="s">
        <v>2489</v>
      </c>
      <c r="P31" s="20" t="s">
        <v>141</v>
      </c>
      <c r="Q31" s="20" t="s">
        <v>2494</v>
      </c>
      <c r="R31" s="20" t="s">
        <v>2486</v>
      </c>
      <c r="S31" s="20" t="s">
        <v>2486</v>
      </c>
      <c r="T31" s="19" t="s">
        <v>135</v>
      </c>
      <c r="U31" s="20" t="s">
        <v>2548</v>
      </c>
      <c r="V31" s="19" t="s">
        <v>2504</v>
      </c>
      <c r="W31" s="19" t="s">
        <v>2505</v>
      </c>
      <c r="X31" s="19" t="s">
        <v>2486</v>
      </c>
      <c r="Y31" s="20" t="s">
        <v>2486</v>
      </c>
      <c r="Z31" s="20" t="s">
        <v>2486</v>
      </c>
      <c r="AA31" s="20" t="s">
        <v>2489</v>
      </c>
      <c r="AB31" s="20" t="s">
        <v>2499</v>
      </c>
      <c r="AC31" s="20" t="s">
        <v>2489</v>
      </c>
      <c r="AD31" s="20" t="s">
        <v>2486</v>
      </c>
      <c r="AE31" s="20" t="s">
        <v>2486</v>
      </c>
      <c r="AF31" s="20" t="s">
        <v>2504</v>
      </c>
      <c r="AG31" s="20" t="s">
        <v>2517</v>
      </c>
      <c r="AH31" s="20" t="s">
        <v>2517</v>
      </c>
      <c r="AI31" s="20"/>
      <c r="AJ31" s="20"/>
      <c r="AK31" s="20"/>
      <c r="AL31" s="20"/>
      <c r="AM31" s="20"/>
      <c r="AN31" s="3"/>
      <c r="AO31" s="3"/>
      <c r="AP31" s="7">
        <f>VLOOKUP(B:B,Table3[#All],4,0)</f>
        <v>7500</v>
      </c>
      <c r="AQ31" s="7">
        <f>calcShift1(Таблица1[[#This Row],[Столбец5]:[Столбец36]])</f>
        <v>127.99999999999997</v>
      </c>
      <c r="AR31" s="7">
        <f>calcShift2(Таблица1[[#This Row],[Столбец5]:[Столбец36]])</f>
        <v>53.999999999999986</v>
      </c>
      <c r="AS31" s="7">
        <f>calcShift3(Таблица1[[#This Row],[Столбец5]:[Столбец36]])</f>
        <v>0</v>
      </c>
      <c r="AT31" s="7"/>
      <c r="AU31" s="7">
        <f>calcYavka(Таблица1[[#This Row],[Столбец5]:[Столбец36]])</f>
        <v>23</v>
      </c>
      <c r="AV31" s="9"/>
      <c r="AW31" s="18">
        <f>VLOOKUP(B:B,ДОП_ВСІ!B:AS,44,0)</f>
        <v>750</v>
      </c>
      <c r="AX31" s="7">
        <f>VLOOKUP(B:B,ДОП_ВСІ!B:AQ,42,0)</f>
        <v>0</v>
      </c>
      <c r="AY31" s="7">
        <f>Таблица1[[#This Row],[Столбец47]]*30</f>
        <v>690</v>
      </c>
      <c r="AZ31" s="6">
        <f>((((Таблица1[[#This Row],[Столбец42]]/160)*Таблица1[[#This Row],[Столбец44]])*0.25)*0.35)+((((Таблица1[[#This Row],[Столбец42]]/160)*Таблица1[[#This Row],[Столбец44]])*0.5)*0.2)</f>
        <v>474.60937499999989</v>
      </c>
      <c r="BA31" s="6"/>
      <c r="BB31" s="47">
        <f>calcTS(Таблица1[[#This Row],[Столбец5]:[Столбец36]])</f>
        <v>0</v>
      </c>
    </row>
    <row r="32" spans="1:54" s="23" customFormat="1" x14ac:dyDescent="0.35">
      <c r="A32" s="20" t="s">
        <v>706</v>
      </c>
      <c r="B32" s="24" t="s">
        <v>707</v>
      </c>
      <c r="C32" s="20" t="s">
        <v>2549</v>
      </c>
      <c r="D32" s="20" t="s">
        <v>2550</v>
      </c>
      <c r="E32" s="19" t="s">
        <v>141</v>
      </c>
      <c r="F32" s="19" t="s">
        <v>2486</v>
      </c>
      <c r="G32" s="19" t="s">
        <v>2486</v>
      </c>
      <c r="H32" s="20" t="s">
        <v>135</v>
      </c>
      <c r="I32" s="20" t="s">
        <v>2504</v>
      </c>
      <c r="J32" s="20" t="s">
        <v>2504</v>
      </c>
      <c r="K32" s="20" t="s">
        <v>2508</v>
      </c>
      <c r="L32" s="20" t="s">
        <v>2486</v>
      </c>
      <c r="M32" s="20" t="s">
        <v>2486</v>
      </c>
      <c r="N32" s="20" t="s">
        <v>141</v>
      </c>
      <c r="O32" s="20" t="s">
        <v>141</v>
      </c>
      <c r="P32" s="20" t="s">
        <v>141</v>
      </c>
      <c r="Q32" s="20" t="s">
        <v>141</v>
      </c>
      <c r="R32" s="20" t="s">
        <v>2486</v>
      </c>
      <c r="S32" s="20" t="s">
        <v>2486</v>
      </c>
      <c r="T32" s="20" t="s">
        <v>2504</v>
      </c>
      <c r="U32" s="20" t="s">
        <v>135</v>
      </c>
      <c r="V32" s="20" t="s">
        <v>135</v>
      </c>
      <c r="W32" s="20" t="s">
        <v>135</v>
      </c>
      <c r="X32" s="20" t="s">
        <v>2486</v>
      </c>
      <c r="Y32" s="19" t="s">
        <v>2486</v>
      </c>
      <c r="Z32" s="20" t="s">
        <v>2486</v>
      </c>
      <c r="AA32" s="20" t="s">
        <v>141</v>
      </c>
      <c r="AB32" s="19" t="s">
        <v>141</v>
      </c>
      <c r="AC32" s="20" t="s">
        <v>141</v>
      </c>
      <c r="AD32" s="19" t="s">
        <v>2486</v>
      </c>
      <c r="AE32" s="19" t="s">
        <v>2486</v>
      </c>
      <c r="AF32" s="20" t="s">
        <v>135</v>
      </c>
      <c r="AG32" s="20" t="s">
        <v>135</v>
      </c>
      <c r="AH32" s="19" t="s">
        <v>135</v>
      </c>
      <c r="AI32" s="19"/>
      <c r="AJ32" s="20"/>
      <c r="AK32" s="20"/>
      <c r="AL32" s="20"/>
      <c r="AM32" s="20"/>
      <c r="AN32" s="3"/>
      <c r="AO32" s="3"/>
      <c r="AP32" s="7">
        <f>VLOOKUP(B:B,Table3[#All],4,0)</f>
        <v>7500</v>
      </c>
      <c r="AQ32" s="7">
        <f>calcShift1(Таблица1[[#This Row],[Столбец5]:[Столбец36]])</f>
        <v>64</v>
      </c>
      <c r="AR32" s="7">
        <f>calcShift2(Таблица1[[#This Row],[Столбец5]:[Столбец36]])</f>
        <v>88</v>
      </c>
      <c r="AS32" s="7">
        <f>calcShift3(Таблица1[[#This Row],[Столбец5]:[Столбец36]])</f>
        <v>0</v>
      </c>
      <c r="AT32" s="7"/>
      <c r="AU32" s="7">
        <f>calcYavka(Таблица1[[#This Row],[Столбец5]:[Столбец36]])</f>
        <v>19</v>
      </c>
      <c r="AV32" s="9"/>
      <c r="AW32" s="18">
        <f>VLOOKUP(B:B,ДОП_ВСІ!B:AS,44,0)</f>
        <v>750</v>
      </c>
      <c r="AX32" s="7">
        <f>VLOOKUP(B:B,ДОП_ВСІ!B:AQ,42,0)</f>
        <v>0</v>
      </c>
      <c r="AY32" s="7">
        <f>Таблица1[[#This Row],[Столбец47]]*30</f>
        <v>570</v>
      </c>
      <c r="AZ32" s="6">
        <f>((((Таблица1[[#This Row],[Столбец42]]/160)*Таблица1[[#This Row],[Столбец44]])*0.25)*0.35)+((((Таблица1[[#This Row],[Столбец42]]/160)*Таблица1[[#This Row],[Столбец44]])*0.5)*0.2)</f>
        <v>773.4375</v>
      </c>
      <c r="BA32" s="6"/>
      <c r="BB32" s="47">
        <f>calcTS(Таблица1[[#This Row],[Столбец5]:[Столбец36]])</f>
        <v>0</v>
      </c>
    </row>
    <row r="33" spans="1:54" s="23" customFormat="1" x14ac:dyDescent="0.35">
      <c r="A33" s="20" t="s">
        <v>760</v>
      </c>
      <c r="B33" s="24" t="s">
        <v>761</v>
      </c>
      <c r="C33" s="20" t="s">
        <v>130</v>
      </c>
      <c r="D33" s="20" t="s">
        <v>2551</v>
      </c>
      <c r="E33" s="20" t="s">
        <v>135</v>
      </c>
      <c r="F33" s="20" t="s">
        <v>2508</v>
      </c>
      <c r="G33" s="20" t="s">
        <v>2552</v>
      </c>
      <c r="H33" s="19" t="s">
        <v>2486</v>
      </c>
      <c r="I33" s="19" t="s">
        <v>2486</v>
      </c>
      <c r="J33" s="19" t="s">
        <v>141</v>
      </c>
      <c r="K33" s="19" t="s">
        <v>141</v>
      </c>
      <c r="L33" s="20" t="s">
        <v>2553</v>
      </c>
      <c r="M33" s="20" t="s">
        <v>2531</v>
      </c>
      <c r="N33" s="20" t="s">
        <v>2486</v>
      </c>
      <c r="O33" s="20" t="s">
        <v>2501</v>
      </c>
      <c r="P33" s="20" t="s">
        <v>2501</v>
      </c>
      <c r="Q33" s="20" t="s">
        <v>2501</v>
      </c>
      <c r="R33" s="20" t="s">
        <v>2501</v>
      </c>
      <c r="S33" s="20" t="s">
        <v>2501</v>
      </c>
      <c r="T33" s="19" t="s">
        <v>2501</v>
      </c>
      <c r="U33" s="20" t="s">
        <v>2501</v>
      </c>
      <c r="V33" s="20" t="s">
        <v>2501</v>
      </c>
      <c r="W33" s="20" t="s">
        <v>2501</v>
      </c>
      <c r="X33" s="20" t="s">
        <v>2501</v>
      </c>
      <c r="Y33" s="20" t="s">
        <v>2501</v>
      </c>
      <c r="Z33" s="20" t="s">
        <v>2501</v>
      </c>
      <c r="AA33" s="19" t="s">
        <v>2501</v>
      </c>
      <c r="AB33" s="20" t="s">
        <v>2501</v>
      </c>
      <c r="AC33" s="20" t="s">
        <v>2527</v>
      </c>
      <c r="AD33" s="20" t="s">
        <v>2504</v>
      </c>
      <c r="AE33" s="20" t="s">
        <v>2504</v>
      </c>
      <c r="AF33" s="20" t="s">
        <v>2486</v>
      </c>
      <c r="AG33" s="20" t="s">
        <v>2486</v>
      </c>
      <c r="AH33" s="20" t="s">
        <v>2499</v>
      </c>
      <c r="AI33" s="20"/>
      <c r="AJ33" s="20"/>
      <c r="AK33" s="20"/>
      <c r="AL33" s="20"/>
      <c r="AM33" s="20"/>
      <c r="AN33" s="3"/>
      <c r="AO33" s="3"/>
      <c r="AP33" s="7">
        <f>VLOOKUP(B:B,Table3[#All],4,0)</f>
        <v>7500</v>
      </c>
      <c r="AQ33" s="7">
        <f>calcShift1(Таблица1[[#This Row],[Столбец5]:[Столбец36]])</f>
        <v>27</v>
      </c>
      <c r="AR33" s="7">
        <f>calcShift2(Таблица1[[#This Row],[Столбец5]:[Столбец36]])</f>
        <v>46.483333333333327</v>
      </c>
      <c r="AS33" s="7">
        <f>calcShift3(Таблица1[[#This Row],[Столбец5]:[Столбец36]])</f>
        <v>0</v>
      </c>
      <c r="AT33" s="7"/>
      <c r="AU33" s="7">
        <f>calcYavka(Таблица1[[#This Row],[Столбец5]:[Столбец36]])</f>
        <v>10</v>
      </c>
      <c r="AV33" s="9"/>
      <c r="AW33" s="18">
        <f>VLOOKUP(B:B,ДОП_ВСІ!B:AS,44,0)</f>
        <v>0</v>
      </c>
      <c r="AX33" s="7">
        <f>VLOOKUP(B:B,ДОП_ВСІ!B:AQ,42,0)</f>
        <v>0</v>
      </c>
      <c r="AY33" s="7">
        <f>Таблица1[[#This Row],[Столбец47]]*30</f>
        <v>300</v>
      </c>
      <c r="AZ33" s="6">
        <f>((((Таблица1[[#This Row],[Столбец42]]/160)*Таблица1[[#This Row],[Столбец44]])*0.25)*0.35)+((((Таблица1[[#This Row],[Столбец42]]/160)*Таблица1[[#This Row],[Столбец44]])*0.5)*0.2)</f>
        <v>408.54492187499989</v>
      </c>
      <c r="BA33" s="6"/>
      <c r="BB33" s="47">
        <f>calcTS(Таблица1[[#This Row],[Столбец5]:[Столбец36]])</f>
        <v>0</v>
      </c>
    </row>
    <row r="34" spans="1:54" s="23" customFormat="1" ht="63" x14ac:dyDescent="0.35">
      <c r="A34" s="20" t="s">
        <v>792</v>
      </c>
      <c r="B34" s="24" t="s">
        <v>793</v>
      </c>
      <c r="C34" s="20" t="s">
        <v>130</v>
      </c>
      <c r="D34" s="20" t="s">
        <v>2554</v>
      </c>
      <c r="E34" s="20" t="s">
        <v>2486</v>
      </c>
      <c r="F34" s="20" t="s">
        <v>2488</v>
      </c>
      <c r="G34" s="20" t="s">
        <v>2488</v>
      </c>
      <c r="H34" s="19" t="s">
        <v>2531</v>
      </c>
      <c r="I34" s="19" t="s">
        <v>2494</v>
      </c>
      <c r="J34" s="19" t="s">
        <v>2486</v>
      </c>
      <c r="K34" s="19" t="s">
        <v>2486</v>
      </c>
      <c r="L34" s="20" t="s">
        <v>2504</v>
      </c>
      <c r="M34" s="20" t="s">
        <v>2507</v>
      </c>
      <c r="N34" s="20" t="s">
        <v>2507</v>
      </c>
      <c r="O34" s="19" t="s">
        <v>2507</v>
      </c>
      <c r="P34" s="19" t="s">
        <v>2486</v>
      </c>
      <c r="Q34" s="20" t="s">
        <v>2486</v>
      </c>
      <c r="R34" s="20" t="s">
        <v>2555</v>
      </c>
      <c r="S34" s="20" t="s">
        <v>2494</v>
      </c>
      <c r="T34" s="20" t="s">
        <v>2513</v>
      </c>
      <c r="U34" s="20" t="s">
        <v>141</v>
      </c>
      <c r="V34" s="20" t="s">
        <v>2486</v>
      </c>
      <c r="W34" s="20" t="s">
        <v>2486</v>
      </c>
      <c r="X34" s="20" t="s">
        <v>2507</v>
      </c>
      <c r="Y34" s="20" t="s">
        <v>2486</v>
      </c>
      <c r="Z34" s="20" t="s">
        <v>2486</v>
      </c>
      <c r="AA34" s="20" t="s">
        <v>2507</v>
      </c>
      <c r="AB34" s="20" t="s">
        <v>2486</v>
      </c>
      <c r="AC34" s="20" t="s">
        <v>2486</v>
      </c>
      <c r="AD34" s="20" t="s">
        <v>2496</v>
      </c>
      <c r="AE34" s="20" t="s">
        <v>2496</v>
      </c>
      <c r="AF34" s="20" t="s">
        <v>2494</v>
      </c>
      <c r="AG34" s="20" t="s">
        <v>2488</v>
      </c>
      <c r="AH34" s="20" t="s">
        <v>2486</v>
      </c>
      <c r="AI34" s="20"/>
      <c r="AJ34" s="20"/>
      <c r="AK34" s="20"/>
      <c r="AL34" s="20"/>
      <c r="AM34" s="20"/>
      <c r="AN34" s="3"/>
      <c r="AO34" s="3"/>
      <c r="AP34" s="7">
        <f>VLOOKUP(B:B,Table3[#All],4,0)</f>
        <v>7500</v>
      </c>
      <c r="AQ34" s="7">
        <f>calcShift1(Таблица1[[#This Row],[Столбец5]:[Столбец36]])</f>
        <v>87.65000000000002</v>
      </c>
      <c r="AR34" s="7">
        <f>calcShift2(Таблица1[[#This Row],[Столбец5]:[Столбец36]])</f>
        <v>47.999999999999993</v>
      </c>
      <c r="AS34" s="7">
        <f>calcShift3(Таблица1[[#This Row],[Столбец5]:[Столбец36]])</f>
        <v>0</v>
      </c>
      <c r="AT34" s="7"/>
      <c r="AU34" s="7">
        <f>calcYavka(Таблица1[[#This Row],[Столбец5]:[Столбец36]])</f>
        <v>17</v>
      </c>
      <c r="AV34" s="9"/>
      <c r="AW34" s="18">
        <f>VLOOKUP(B:B,ДОП_ВСІ!B:AS,44,0)</f>
        <v>1312.5</v>
      </c>
      <c r="AX34" s="7">
        <f>VLOOKUP(B:B,ДОП_ВСІ!B:AQ,42,0)</f>
        <v>0</v>
      </c>
      <c r="AY34" s="7">
        <f>Таблица1[[#This Row],[Столбец47]]*30</f>
        <v>510</v>
      </c>
      <c r="AZ34" s="6">
        <f>((((Таблица1[[#This Row],[Столбец42]]/160)*Таблица1[[#This Row],[Столбец44]])*0.25)*0.35)+((((Таблица1[[#This Row],[Столбец42]]/160)*Таблица1[[#This Row],[Столбец44]])*0.5)*0.2)</f>
        <v>421.87499999999989</v>
      </c>
      <c r="BA34" s="6"/>
      <c r="BB34" s="47">
        <f>calcTS(Таблица1[[#This Row],[Столбец5]:[Столбец36]])</f>
        <v>0</v>
      </c>
    </row>
    <row r="35" spans="1:54" s="23" customFormat="1" ht="84" x14ac:dyDescent="0.35">
      <c r="A35" s="20" t="s">
        <v>841</v>
      </c>
      <c r="B35" s="24" t="s">
        <v>842</v>
      </c>
      <c r="C35" s="20" t="s">
        <v>130</v>
      </c>
      <c r="D35" s="20" t="s">
        <v>2556</v>
      </c>
      <c r="E35" s="20" t="s">
        <v>2499</v>
      </c>
      <c r="F35" s="20" t="s">
        <v>2486</v>
      </c>
      <c r="G35" s="20" t="s">
        <v>2486</v>
      </c>
      <c r="H35" s="19" t="s">
        <v>2505</v>
      </c>
      <c r="I35" s="19" t="s">
        <v>2512</v>
      </c>
      <c r="J35" s="19" t="s">
        <v>2505</v>
      </c>
      <c r="K35" s="19" t="s">
        <v>2505</v>
      </c>
      <c r="L35" s="20" t="s">
        <v>2486</v>
      </c>
      <c r="M35" s="20" t="s">
        <v>2486</v>
      </c>
      <c r="N35" s="20" t="s">
        <v>2494</v>
      </c>
      <c r="O35" s="20" t="s">
        <v>2499</v>
      </c>
      <c r="P35" s="20" t="s">
        <v>2494</v>
      </c>
      <c r="Q35" s="20" t="s">
        <v>2494</v>
      </c>
      <c r="R35" s="20" t="s">
        <v>2486</v>
      </c>
      <c r="S35" s="19" t="s">
        <v>2486</v>
      </c>
      <c r="T35" s="20" t="s">
        <v>2505</v>
      </c>
      <c r="U35" s="20" t="s">
        <v>2505</v>
      </c>
      <c r="V35" s="20" t="s">
        <v>2507</v>
      </c>
      <c r="W35" s="20" t="s">
        <v>2507</v>
      </c>
      <c r="X35" s="20" t="s">
        <v>2486</v>
      </c>
      <c r="Y35" s="20" t="s">
        <v>2486</v>
      </c>
      <c r="Z35" s="20" t="s">
        <v>2486</v>
      </c>
      <c r="AA35" s="20" t="s">
        <v>141</v>
      </c>
      <c r="AB35" s="19" t="s">
        <v>2490</v>
      </c>
      <c r="AC35" s="20" t="s">
        <v>2490</v>
      </c>
      <c r="AD35" s="20" t="s">
        <v>2486</v>
      </c>
      <c r="AE35" s="20" t="s">
        <v>2486</v>
      </c>
      <c r="AF35" s="20" t="s">
        <v>2505</v>
      </c>
      <c r="AG35" s="20" t="s">
        <v>2507</v>
      </c>
      <c r="AH35" s="19" t="s">
        <v>2508</v>
      </c>
      <c r="AI35" s="19"/>
      <c r="AJ35" s="20"/>
      <c r="AK35" s="20"/>
      <c r="AL35" s="20"/>
      <c r="AM35" s="20"/>
      <c r="AN35" s="3"/>
      <c r="AO35" s="3"/>
      <c r="AP35" s="7">
        <f>VLOOKUP(B:B,Table3[#All],4,0)</f>
        <v>7500</v>
      </c>
      <c r="AQ35" s="7">
        <f>calcShift1(Таблица1[[#This Row],[Столбец5]:[Столбец36]])</f>
        <v>64</v>
      </c>
      <c r="AR35" s="7">
        <f>calcShift2(Таблица1[[#This Row],[Столбец5]:[Столбец36]])</f>
        <v>88</v>
      </c>
      <c r="AS35" s="7">
        <f>calcShift3(Таблица1[[#This Row],[Столбец5]:[Столбец36]])</f>
        <v>0</v>
      </c>
      <c r="AT35" s="7"/>
      <c r="AU35" s="7">
        <f>calcYavka(Таблица1[[#This Row],[Столбец5]:[Столбец36]])</f>
        <v>19</v>
      </c>
      <c r="AV35" s="9"/>
      <c r="AW35" s="18">
        <f>VLOOKUP(B:B,ДОП_ВСІ!B:AS,44,0)</f>
        <v>375</v>
      </c>
      <c r="AX35" s="7">
        <f>VLOOKUP(B:B,ДОП_ВСІ!B:AQ,42,0)</f>
        <v>759.37500000000011</v>
      </c>
      <c r="AY35" s="7">
        <f>Таблица1[[#This Row],[Столбец47]]*30</f>
        <v>570</v>
      </c>
      <c r="AZ35" s="6">
        <f>((((Таблица1[[#This Row],[Столбец42]]/160)*Таблица1[[#This Row],[Столбец44]])*0.25)*0.35)+((((Таблица1[[#This Row],[Столбец42]]/160)*Таблица1[[#This Row],[Столбец44]])*0.5)*0.2)</f>
        <v>773.4375</v>
      </c>
      <c r="BA35" s="6"/>
      <c r="BB35" s="47">
        <f>calcTS(Таблица1[[#This Row],[Столбец5]:[Столбец36]])</f>
        <v>0</v>
      </c>
    </row>
    <row r="36" spans="1:54" s="23" customFormat="1" ht="84" x14ac:dyDescent="0.35">
      <c r="A36" s="20" t="s">
        <v>2557</v>
      </c>
      <c r="B36" s="24" t="s">
        <v>134</v>
      </c>
      <c r="C36" s="20" t="s">
        <v>130</v>
      </c>
      <c r="D36" s="20" t="s">
        <v>2558</v>
      </c>
      <c r="E36" s="20" t="s">
        <v>2486</v>
      </c>
      <c r="F36" s="20" t="s">
        <v>2496</v>
      </c>
      <c r="G36" s="20" t="s">
        <v>141</v>
      </c>
      <c r="H36" s="20" t="s">
        <v>2494</v>
      </c>
      <c r="I36" s="20" t="s">
        <v>141</v>
      </c>
      <c r="J36" s="20" t="s">
        <v>2486</v>
      </c>
      <c r="K36" s="20" t="s">
        <v>2486</v>
      </c>
      <c r="L36" s="19" t="s">
        <v>2507</v>
      </c>
      <c r="M36" s="19" t="s">
        <v>2507</v>
      </c>
      <c r="N36" s="19" t="s">
        <v>2505</v>
      </c>
      <c r="O36" s="20" t="s">
        <v>2504</v>
      </c>
      <c r="P36" s="20" t="s">
        <v>2486</v>
      </c>
      <c r="Q36" s="20" t="s">
        <v>2486</v>
      </c>
      <c r="R36" s="20" t="s">
        <v>2494</v>
      </c>
      <c r="S36" s="20" t="s">
        <v>2488</v>
      </c>
      <c r="T36" s="20" t="s">
        <v>2488</v>
      </c>
      <c r="U36" s="20" t="s">
        <v>2488</v>
      </c>
      <c r="V36" s="20" t="s">
        <v>2486</v>
      </c>
      <c r="W36" s="20" t="s">
        <v>2486</v>
      </c>
      <c r="X36" s="20" t="s">
        <v>2559</v>
      </c>
      <c r="Y36" s="20" t="s">
        <v>2486</v>
      </c>
      <c r="Z36" s="20" t="s">
        <v>2486</v>
      </c>
      <c r="AA36" s="20" t="s">
        <v>2507</v>
      </c>
      <c r="AB36" s="20" t="s">
        <v>2486</v>
      </c>
      <c r="AC36" s="20" t="s">
        <v>2486</v>
      </c>
      <c r="AD36" s="20" t="s">
        <v>2490</v>
      </c>
      <c r="AE36" s="20" t="s">
        <v>2488</v>
      </c>
      <c r="AF36" s="20" t="s">
        <v>2490</v>
      </c>
      <c r="AG36" s="20" t="s">
        <v>2494</v>
      </c>
      <c r="AH36" s="20" t="s">
        <v>2486</v>
      </c>
      <c r="AI36" s="20"/>
      <c r="AJ36" s="20"/>
      <c r="AK36" s="20"/>
      <c r="AL36" s="20"/>
      <c r="AM36" s="20"/>
      <c r="AN36" s="3"/>
      <c r="AO36" s="3"/>
      <c r="AP36" s="7">
        <f>VLOOKUP(B:B,Table3[#All],4,0)</f>
        <v>7500</v>
      </c>
      <c r="AQ36" s="7">
        <f>calcShift1(Таблица1[[#This Row],[Столбец5]:[Столбец36]])</f>
        <v>96</v>
      </c>
      <c r="AR36" s="7">
        <f>calcShift2(Таблица1[[#This Row],[Столбец5]:[Столбец36]])</f>
        <v>42.916666666666657</v>
      </c>
      <c r="AS36" s="7">
        <f>calcShift3(Таблица1[[#This Row],[Столбец5]:[Столбец36]])</f>
        <v>0</v>
      </c>
      <c r="AT36" s="7"/>
      <c r="AU36" s="7">
        <f>calcYavka(Таблица1[[#This Row],[Столбец5]:[Столбец36]])</f>
        <v>18</v>
      </c>
      <c r="AV36" s="9"/>
      <c r="AW36" s="18">
        <f>VLOOKUP(B:B,ДОП_ВСІ!B:AS,44,0)</f>
        <v>4875</v>
      </c>
      <c r="AX36" s="7">
        <f>VLOOKUP(B:B,ДОП_ВСІ!B:AQ,42,0)</f>
        <v>0</v>
      </c>
      <c r="AY36" s="7">
        <f>Таблица1[[#This Row],[Столбец47]]*30</f>
        <v>540</v>
      </c>
      <c r="AZ36" s="6">
        <f>((((Таблица1[[#This Row],[Столбец42]]/160)*Таблица1[[#This Row],[Столбец44]])*0.25)*0.35)+((((Таблица1[[#This Row],[Столбец42]]/160)*Таблица1[[#This Row],[Столбец44]])*0.5)*0.2)</f>
        <v>377.19726562499989</v>
      </c>
      <c r="BA36" s="6"/>
      <c r="BB36" s="47">
        <f>calcTS(Таблица1[[#This Row],[Столбец5]:[Столбец36]])</f>
        <v>0</v>
      </c>
    </row>
    <row r="37" spans="1:54" s="23" customFormat="1" ht="63" x14ac:dyDescent="0.35">
      <c r="A37" s="20" t="s">
        <v>890</v>
      </c>
      <c r="B37" s="24" t="s">
        <v>891</v>
      </c>
      <c r="C37" s="20" t="s">
        <v>130</v>
      </c>
      <c r="D37" s="20" t="s">
        <v>2560</v>
      </c>
      <c r="E37" s="20" t="s">
        <v>2504</v>
      </c>
      <c r="F37" s="20" t="s">
        <v>2504</v>
      </c>
      <c r="G37" s="20" t="s">
        <v>2505</v>
      </c>
      <c r="H37" s="20" t="s">
        <v>2486</v>
      </c>
      <c r="I37" s="20" t="s">
        <v>2486</v>
      </c>
      <c r="J37" s="19" t="s">
        <v>2493</v>
      </c>
      <c r="K37" s="20" t="s">
        <v>2499</v>
      </c>
      <c r="L37" s="19" t="s">
        <v>2496</v>
      </c>
      <c r="M37" s="19" t="s">
        <v>2494</v>
      </c>
      <c r="N37" s="19" t="s">
        <v>2486</v>
      </c>
      <c r="O37" s="20" t="s">
        <v>2486</v>
      </c>
      <c r="P37" s="20" t="s">
        <v>2504</v>
      </c>
      <c r="Q37" s="20" t="s">
        <v>2506</v>
      </c>
      <c r="R37" s="20" t="s">
        <v>2505</v>
      </c>
      <c r="S37" s="20" t="s">
        <v>2561</v>
      </c>
      <c r="T37" s="20" t="s">
        <v>2486</v>
      </c>
      <c r="U37" s="20" t="s">
        <v>2486</v>
      </c>
      <c r="V37" s="20" t="s">
        <v>141</v>
      </c>
      <c r="W37" s="20" t="s">
        <v>2497</v>
      </c>
      <c r="X37" s="20" t="s">
        <v>2488</v>
      </c>
      <c r="Y37" s="20" t="s">
        <v>2486</v>
      </c>
      <c r="Z37" s="20" t="s">
        <v>2486</v>
      </c>
      <c r="AA37" s="20" t="s">
        <v>2486</v>
      </c>
      <c r="AB37" s="20" t="s">
        <v>2501</v>
      </c>
      <c r="AC37" s="20" t="s">
        <v>2501</v>
      </c>
      <c r="AD37" s="20" t="s">
        <v>2501</v>
      </c>
      <c r="AE37" s="20" t="s">
        <v>2501</v>
      </c>
      <c r="AF37" s="20" t="s">
        <v>2501</v>
      </c>
      <c r="AG37" s="20" t="s">
        <v>2501</v>
      </c>
      <c r="AH37" s="20" t="s">
        <v>2501</v>
      </c>
      <c r="AI37" s="20"/>
      <c r="AJ37" s="20"/>
      <c r="AK37" s="20"/>
      <c r="AL37" s="20"/>
      <c r="AM37" s="20"/>
      <c r="AN37" s="3"/>
      <c r="AO37" s="3"/>
      <c r="AP37" s="7">
        <f>VLOOKUP(B:B,Table3[#All],4,0)</f>
        <v>7500</v>
      </c>
      <c r="AQ37" s="7">
        <f>calcShift1(Таблица1[[#This Row],[Столбец5]:[Столбец36]])</f>
        <v>55.999999999999993</v>
      </c>
      <c r="AR37" s="7">
        <f>calcShift2(Таблица1[[#This Row],[Столбец5]:[Столбец36]])</f>
        <v>55.666666666666657</v>
      </c>
      <c r="AS37" s="7">
        <f>calcShift3(Таблица1[[#This Row],[Столбец5]:[Столбец36]])</f>
        <v>0</v>
      </c>
      <c r="AT37" s="7"/>
      <c r="AU37" s="7">
        <f>calcYavka(Таблица1[[#This Row],[Столбец5]:[Столбец36]])</f>
        <v>14</v>
      </c>
      <c r="AV37" s="9"/>
      <c r="AW37" s="18">
        <f>VLOOKUP(B:B,ДОП_ВСІ!B:AS,44,0)</f>
        <v>375</v>
      </c>
      <c r="AX37" s="7">
        <f>VLOOKUP(B:B,ДОП_ВСІ!B:AQ,42,0)</f>
        <v>0</v>
      </c>
      <c r="AY37" s="7">
        <f>Таблица1[[#This Row],[Столбец47]]*30</f>
        <v>420</v>
      </c>
      <c r="AZ37" s="6">
        <f>((((Таблица1[[#This Row],[Столбец42]]/160)*Таблица1[[#This Row],[Столбец44]])*0.25)*0.35)+((((Таблица1[[#This Row],[Столбец42]]/160)*Таблица1[[#This Row],[Столбец44]])*0.5)*0.2)</f>
        <v>489.25781249999989</v>
      </c>
      <c r="BA37" s="6"/>
      <c r="BB37" s="47">
        <f>calcTS(Таблица1[[#This Row],[Столбец5]:[Столбец36]])</f>
        <v>0</v>
      </c>
    </row>
    <row r="38" spans="1:54" s="23" customFormat="1" ht="63" x14ac:dyDescent="0.35">
      <c r="A38" s="20" t="s">
        <v>1039</v>
      </c>
      <c r="B38" s="24" t="s">
        <v>1040</v>
      </c>
      <c r="C38" s="20" t="s">
        <v>130</v>
      </c>
      <c r="D38" s="20" t="s">
        <v>2562</v>
      </c>
      <c r="E38" s="20" t="s">
        <v>2497</v>
      </c>
      <c r="F38" s="19" t="s">
        <v>2486</v>
      </c>
      <c r="G38" s="19" t="s">
        <v>2486</v>
      </c>
      <c r="H38" s="19" t="s">
        <v>135</v>
      </c>
      <c r="I38" s="19" t="s">
        <v>2508</v>
      </c>
      <c r="J38" s="20" t="s">
        <v>2508</v>
      </c>
      <c r="K38" s="20" t="s">
        <v>2508</v>
      </c>
      <c r="L38" s="19" t="s">
        <v>2486</v>
      </c>
      <c r="M38" s="19" t="s">
        <v>2486</v>
      </c>
      <c r="N38" s="19" t="s">
        <v>2494</v>
      </c>
      <c r="O38" s="19" t="s">
        <v>2499</v>
      </c>
      <c r="P38" s="19" t="s">
        <v>141</v>
      </c>
      <c r="Q38" s="20" t="s">
        <v>141</v>
      </c>
      <c r="R38" s="20" t="s">
        <v>2486</v>
      </c>
      <c r="S38" s="20" t="s">
        <v>2486</v>
      </c>
      <c r="T38" s="20" t="s">
        <v>2507</v>
      </c>
      <c r="U38" s="20" t="s">
        <v>2512</v>
      </c>
      <c r="V38" s="19" t="s">
        <v>2507</v>
      </c>
      <c r="W38" s="19" t="s">
        <v>2507</v>
      </c>
      <c r="X38" s="19" t="s">
        <v>2486</v>
      </c>
      <c r="Y38" s="20" t="s">
        <v>2486</v>
      </c>
      <c r="Z38" s="20" t="s">
        <v>2486</v>
      </c>
      <c r="AA38" s="19" t="s">
        <v>2496</v>
      </c>
      <c r="AB38" s="19" t="s">
        <v>2494</v>
      </c>
      <c r="AC38" s="19" t="s">
        <v>141</v>
      </c>
      <c r="AD38" s="19" t="s">
        <v>2486</v>
      </c>
      <c r="AE38" s="19" t="s">
        <v>2486</v>
      </c>
      <c r="AF38" s="20" t="s">
        <v>141</v>
      </c>
      <c r="AG38" s="20" t="s">
        <v>2485</v>
      </c>
      <c r="AH38" s="19" t="s">
        <v>2485</v>
      </c>
      <c r="AI38" s="19"/>
      <c r="AJ38" s="19"/>
      <c r="AK38" s="20"/>
      <c r="AL38" s="20"/>
      <c r="AM38" s="20"/>
      <c r="AN38" s="3"/>
      <c r="AO38" s="3"/>
      <c r="AP38" s="7">
        <f>VLOOKUP(B:B,Table3[#All],4,0)</f>
        <v>7500</v>
      </c>
      <c r="AQ38" s="7">
        <f>calcShift1(Таблица1[[#This Row],[Столбец5]:[Столбец36]])</f>
        <v>72</v>
      </c>
      <c r="AR38" s="7">
        <f>calcShift2(Таблица1[[#This Row],[Столбец5]:[Столбец36]])</f>
        <v>64</v>
      </c>
      <c r="AS38" s="7">
        <f>calcShift3(Таблица1[[#This Row],[Столбец5]:[Столбец36]])</f>
        <v>0</v>
      </c>
      <c r="AT38" s="7"/>
      <c r="AU38" s="7">
        <f>calcYavka(Таблица1[[#This Row],[Столбец5]:[Столбец36]])</f>
        <v>17</v>
      </c>
      <c r="AV38" s="9"/>
      <c r="AW38" s="18">
        <f>VLOOKUP(B:B,ДОП_ВСІ!B:AS,44,0)</f>
        <v>1312.5</v>
      </c>
      <c r="AX38" s="7">
        <f>VLOOKUP(B:B,ДОП_ВСІ!B:AQ,42,0)</f>
        <v>0</v>
      </c>
      <c r="AY38" s="7">
        <f>Таблица1[[#This Row],[Столбец47]]*30</f>
        <v>510</v>
      </c>
      <c r="AZ38" s="6">
        <f>((((Таблица1[[#This Row],[Столбец42]]/160)*Таблица1[[#This Row],[Столбец44]])*0.25)*0.35)+((((Таблица1[[#This Row],[Столбец42]]/160)*Таблица1[[#This Row],[Столбец44]])*0.5)*0.2)</f>
        <v>562.5</v>
      </c>
      <c r="BA38" s="6"/>
      <c r="BB38" s="47">
        <f>calcTS(Таблица1[[#This Row],[Столбец5]:[Столбец36]])</f>
        <v>0</v>
      </c>
    </row>
    <row r="39" spans="1:54" s="23" customFormat="1" x14ac:dyDescent="0.35">
      <c r="A39" s="20" t="s">
        <v>1096</v>
      </c>
      <c r="B39" s="24" t="s">
        <v>1097</v>
      </c>
      <c r="C39" s="20" t="s">
        <v>2549</v>
      </c>
      <c r="D39" s="20" t="s">
        <v>2563</v>
      </c>
      <c r="E39" s="20" t="s">
        <v>2486</v>
      </c>
      <c r="F39" s="20" t="s">
        <v>141</v>
      </c>
      <c r="G39" s="20" t="s">
        <v>141</v>
      </c>
      <c r="H39" s="20" t="s">
        <v>141</v>
      </c>
      <c r="I39" s="20" t="s">
        <v>141</v>
      </c>
      <c r="J39" s="20" t="s">
        <v>2486</v>
      </c>
      <c r="K39" s="20" t="s">
        <v>2486</v>
      </c>
      <c r="L39" s="19" t="s">
        <v>135</v>
      </c>
      <c r="M39" s="19" t="s">
        <v>135</v>
      </c>
      <c r="N39" s="19" t="s">
        <v>135</v>
      </c>
      <c r="O39" s="20" t="s">
        <v>135</v>
      </c>
      <c r="P39" s="20" t="s">
        <v>2486</v>
      </c>
      <c r="Q39" s="20" t="s">
        <v>2486</v>
      </c>
      <c r="R39" s="20" t="s">
        <v>141</v>
      </c>
      <c r="S39" s="20" t="s">
        <v>141</v>
      </c>
      <c r="T39" s="20" t="s">
        <v>141</v>
      </c>
      <c r="U39" s="20" t="s">
        <v>141</v>
      </c>
      <c r="V39" s="20" t="s">
        <v>2486</v>
      </c>
      <c r="W39" s="20" t="s">
        <v>2486</v>
      </c>
      <c r="X39" s="20" t="s">
        <v>135</v>
      </c>
      <c r="Y39" s="20" t="s">
        <v>2486</v>
      </c>
      <c r="Z39" s="20" t="s">
        <v>2486</v>
      </c>
      <c r="AA39" s="20" t="s">
        <v>135</v>
      </c>
      <c r="AB39" s="20" t="s">
        <v>2486</v>
      </c>
      <c r="AC39" s="20" t="s">
        <v>2486</v>
      </c>
      <c r="AD39" s="20" t="s">
        <v>141</v>
      </c>
      <c r="AE39" s="20" t="s">
        <v>141</v>
      </c>
      <c r="AF39" s="20" t="s">
        <v>141</v>
      </c>
      <c r="AG39" s="20" t="s">
        <v>141</v>
      </c>
      <c r="AH39" s="20" t="s">
        <v>2486</v>
      </c>
      <c r="AI39" s="20"/>
      <c r="AJ39" s="20"/>
      <c r="AK39" s="20"/>
      <c r="AL39" s="20"/>
      <c r="AM39" s="20"/>
      <c r="AN39" s="3"/>
      <c r="AO39" s="3"/>
      <c r="AP39" s="7">
        <f>VLOOKUP(B:B,Table3[#All],4,0)</f>
        <v>7500</v>
      </c>
      <c r="AQ39" s="7">
        <f>calcShift1(Таблица1[[#This Row],[Столбец5]:[Столбец36]])</f>
        <v>96</v>
      </c>
      <c r="AR39" s="7">
        <f>calcShift2(Таблица1[[#This Row],[Столбец5]:[Столбец36]])</f>
        <v>47.999999999999993</v>
      </c>
      <c r="AS39" s="7">
        <f>calcShift3(Таблица1[[#This Row],[Столбец5]:[Столбец36]])</f>
        <v>0</v>
      </c>
      <c r="AT39" s="7"/>
      <c r="AU39" s="7">
        <f>calcYavka(Таблица1[[#This Row],[Столбец5]:[Столбец36]])</f>
        <v>18</v>
      </c>
      <c r="AV39" s="9"/>
      <c r="AW39" s="18">
        <f>VLOOKUP(B:B,ДОП_ВСІ!B:AS,44,0)</f>
        <v>750</v>
      </c>
      <c r="AX39" s="7">
        <f>VLOOKUP(B:B,ДОП_ВСІ!B:AQ,42,0)</f>
        <v>0</v>
      </c>
      <c r="AY39" s="7">
        <f>Таблица1[[#This Row],[Столбец47]]*30</f>
        <v>540</v>
      </c>
      <c r="AZ39" s="6">
        <f>((((Таблица1[[#This Row],[Столбец42]]/160)*Таблица1[[#This Row],[Столбец44]])*0.25)*0.35)+((((Таблица1[[#This Row],[Столбец42]]/160)*Таблица1[[#This Row],[Столбец44]])*0.5)*0.2)</f>
        <v>421.87499999999989</v>
      </c>
      <c r="BA39" s="6"/>
      <c r="BB39" s="47">
        <f>calcTS(Таблица1[[#This Row],[Столбец5]:[Столбец36]])</f>
        <v>0</v>
      </c>
    </row>
    <row r="40" spans="1:54" ht="42" x14ac:dyDescent="0.35">
      <c r="A40" s="33" t="s">
        <v>156</v>
      </c>
      <c r="B40" s="24" t="s">
        <v>157</v>
      </c>
      <c r="C40" s="20" t="s">
        <v>158</v>
      </c>
      <c r="D40" s="20" t="s">
        <v>2564</v>
      </c>
      <c r="E40" s="20" t="s">
        <v>2485</v>
      </c>
      <c r="F40" s="20" t="s">
        <v>2486</v>
      </c>
      <c r="G40" s="20" t="s">
        <v>2486</v>
      </c>
      <c r="H40" s="20" t="s">
        <v>2565</v>
      </c>
      <c r="I40" s="20" t="s">
        <v>2485</v>
      </c>
      <c r="J40" s="19" t="s">
        <v>2485</v>
      </c>
      <c r="K40" s="20" t="s">
        <v>2565</v>
      </c>
      <c r="L40" s="20" t="s">
        <v>2565</v>
      </c>
      <c r="M40" s="19" t="s">
        <v>2486</v>
      </c>
      <c r="N40" s="20" t="s">
        <v>2486</v>
      </c>
      <c r="O40" s="68" t="s">
        <v>2565</v>
      </c>
      <c r="P40" s="20" t="s">
        <v>2485</v>
      </c>
      <c r="Q40" s="20" t="s">
        <v>2485</v>
      </c>
      <c r="R40" s="20" t="s">
        <v>2565</v>
      </c>
      <c r="S40" s="20" t="s">
        <v>2485</v>
      </c>
      <c r="T40" s="20" t="s">
        <v>2486</v>
      </c>
      <c r="U40" s="20" t="s">
        <v>2486</v>
      </c>
      <c r="V40" s="19" t="s">
        <v>2485</v>
      </c>
      <c r="W40" s="19" t="s">
        <v>2565</v>
      </c>
      <c r="X40" s="19" t="s">
        <v>2485</v>
      </c>
      <c r="Y40" s="20" t="s">
        <v>2565</v>
      </c>
      <c r="Z40" s="20" t="s">
        <v>2485</v>
      </c>
      <c r="AA40" s="19" t="s">
        <v>2565</v>
      </c>
      <c r="AB40" s="19" t="s">
        <v>2486</v>
      </c>
      <c r="AC40" s="19" t="s">
        <v>2485</v>
      </c>
      <c r="AD40" s="20" t="s">
        <v>2565</v>
      </c>
      <c r="AE40" s="19" t="s">
        <v>2485</v>
      </c>
      <c r="AF40" s="20" t="s">
        <v>2486</v>
      </c>
      <c r="AG40" s="20" t="s">
        <v>2486</v>
      </c>
      <c r="AH40" s="19" t="s">
        <v>2486</v>
      </c>
      <c r="AI40" s="19" t="s">
        <v>2566</v>
      </c>
      <c r="AJ40" s="19" t="s">
        <v>2567</v>
      </c>
      <c r="AK40" s="20" t="s">
        <v>55</v>
      </c>
      <c r="AL40" s="20" t="s">
        <v>54</v>
      </c>
      <c r="AM40" s="20"/>
      <c r="AN40" s="3"/>
      <c r="AO40" s="3"/>
      <c r="AP40" s="7">
        <f>VLOOKUP(B:B,Table3[#All],4,0)</f>
        <v>7100</v>
      </c>
      <c r="AQ40" s="7">
        <f>calcShift1(Таблица1[[#This Row],[Столбец5]:[Столбец36]])</f>
        <v>54</v>
      </c>
      <c r="AR40" s="7">
        <f>calcShift2(Таблица1[[#This Row],[Столбец5]:[Столбец36]])</f>
        <v>0</v>
      </c>
      <c r="AS40" s="7">
        <f>calcShift3(Таблица1[[#This Row],[Столбец5]:[Столбец36]])</f>
        <v>0</v>
      </c>
      <c r="AT40" s="7"/>
      <c r="AU40" s="7">
        <f>calcYavka(Таблица1[[#This Row],[Столбец5]:[Столбец36]])</f>
        <v>9</v>
      </c>
      <c r="AV40" s="9"/>
      <c r="AW40" s="18">
        <f>VLOOKUP(B:B,ДОП_ВСІ!B:AS,44,0)</f>
        <v>0</v>
      </c>
      <c r="AX40" s="7">
        <f>VLOOKUP(B:B,ДОП_ВСІ!B:AQ,42,0)</f>
        <v>0</v>
      </c>
      <c r="AY40" s="7"/>
      <c r="AZ40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40" s="6"/>
      <c r="BB40" s="47">
        <f>calcTS(Таблица1[[#This Row],[Столбец5]:[Столбец36]])</f>
        <v>0</v>
      </c>
    </row>
    <row r="41" spans="1:54" ht="42" x14ac:dyDescent="0.35">
      <c r="A41" s="33" t="s">
        <v>160</v>
      </c>
      <c r="B41" s="24" t="s">
        <v>161</v>
      </c>
      <c r="C41" s="20" t="s">
        <v>158</v>
      </c>
      <c r="D41" s="20" t="s">
        <v>2564</v>
      </c>
      <c r="E41" s="20" t="s">
        <v>2565</v>
      </c>
      <c r="F41" s="20" t="s">
        <v>2486</v>
      </c>
      <c r="G41" s="20" t="s">
        <v>2486</v>
      </c>
      <c r="H41" s="68" t="s">
        <v>2485</v>
      </c>
      <c r="I41" s="20" t="s">
        <v>2565</v>
      </c>
      <c r="J41" s="20" t="s">
        <v>2565</v>
      </c>
      <c r="K41" s="20" t="s">
        <v>2485</v>
      </c>
      <c r="L41" s="20" t="s">
        <v>2485</v>
      </c>
      <c r="M41" s="19" t="s">
        <v>2486</v>
      </c>
      <c r="N41" s="19" t="s">
        <v>2486</v>
      </c>
      <c r="O41" s="68" t="s">
        <v>2485</v>
      </c>
      <c r="P41" s="19" t="s">
        <v>2565</v>
      </c>
      <c r="Q41" s="20" t="s">
        <v>2565</v>
      </c>
      <c r="R41" s="20" t="s">
        <v>2485</v>
      </c>
      <c r="S41" s="20" t="s">
        <v>2565</v>
      </c>
      <c r="T41" s="20" t="s">
        <v>2486</v>
      </c>
      <c r="U41" s="20" t="s">
        <v>2486</v>
      </c>
      <c r="V41" s="20" t="s">
        <v>2565</v>
      </c>
      <c r="W41" s="20" t="s">
        <v>2485</v>
      </c>
      <c r="X41" s="20" t="s">
        <v>2565</v>
      </c>
      <c r="Y41" s="68" t="s">
        <v>2485</v>
      </c>
      <c r="Z41" s="20" t="s">
        <v>2565</v>
      </c>
      <c r="AA41" s="19" t="s">
        <v>2485</v>
      </c>
      <c r="AB41" s="19" t="s">
        <v>2486</v>
      </c>
      <c r="AC41" s="68" t="s">
        <v>2565</v>
      </c>
      <c r="AD41" s="19" t="s">
        <v>2485</v>
      </c>
      <c r="AE41" s="19" t="s">
        <v>2565</v>
      </c>
      <c r="AF41" s="20" t="s">
        <v>2486</v>
      </c>
      <c r="AG41" s="20" t="s">
        <v>2486</v>
      </c>
      <c r="AH41" s="19" t="s">
        <v>2486</v>
      </c>
      <c r="AI41" s="19" t="s">
        <v>2568</v>
      </c>
      <c r="AJ41" s="19" t="s">
        <v>2567</v>
      </c>
      <c r="AK41" s="20" t="s">
        <v>71</v>
      </c>
      <c r="AL41" s="20" t="s">
        <v>72</v>
      </c>
      <c r="AM41" s="20"/>
      <c r="AN41" s="3"/>
      <c r="AO41" s="3"/>
      <c r="AP41" s="7">
        <f>VLOOKUP(B:B,Table3[#All],4,0)</f>
        <v>7100</v>
      </c>
      <c r="AQ41" s="7">
        <f>calcShift1(Таблица1[[#This Row],[Столбец5]:[Столбец36]])</f>
        <v>66</v>
      </c>
      <c r="AR41" s="7">
        <f>calcShift2(Таблица1[[#This Row],[Столбец5]:[Столбец36]])</f>
        <v>0</v>
      </c>
      <c r="AS41" s="7">
        <f>calcShift3(Таблица1[[#This Row],[Столбец5]:[Столбец36]])</f>
        <v>0</v>
      </c>
      <c r="AT41" s="7"/>
      <c r="AU41" s="7">
        <f>calcYavka(Таблица1[[#This Row],[Столбец5]:[Столбец36]])</f>
        <v>11</v>
      </c>
      <c r="AV41" s="9"/>
      <c r="AW41" s="18">
        <f>VLOOKUP(B:B,ДОП_ВСІ!B:AS,44,0)</f>
        <v>0</v>
      </c>
      <c r="AX41" s="7">
        <f>VLOOKUP(B:B,ДОП_ВСІ!B:AQ,42,0)</f>
        <v>0</v>
      </c>
      <c r="AY41" s="7"/>
      <c r="AZ41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41" s="6"/>
      <c r="BB41" s="47">
        <f>calcTS(Таблица1[[#This Row],[Столбец5]:[Столбец36]])</f>
        <v>0</v>
      </c>
    </row>
    <row r="42" spans="1:54" ht="42" x14ac:dyDescent="0.35">
      <c r="A42" s="33" t="s">
        <v>162</v>
      </c>
      <c r="B42" s="24" t="s">
        <v>163</v>
      </c>
      <c r="C42" s="20" t="s">
        <v>164</v>
      </c>
      <c r="D42" s="20" t="s">
        <v>2564</v>
      </c>
      <c r="E42" s="20" t="s">
        <v>2543</v>
      </c>
      <c r="F42" s="20" t="s">
        <v>2486</v>
      </c>
      <c r="G42" s="20" t="s">
        <v>2486</v>
      </c>
      <c r="H42" s="20" t="s">
        <v>2543</v>
      </c>
      <c r="I42" s="20" t="s">
        <v>2543</v>
      </c>
      <c r="J42" s="20" t="s">
        <v>2543</v>
      </c>
      <c r="K42" s="20" t="s">
        <v>2543</v>
      </c>
      <c r="L42" s="20" t="s">
        <v>2543</v>
      </c>
      <c r="M42" s="20" t="s">
        <v>2486</v>
      </c>
      <c r="N42" s="20" t="s">
        <v>2486</v>
      </c>
      <c r="O42" s="20" t="s">
        <v>141</v>
      </c>
      <c r="P42" s="20" t="s">
        <v>141</v>
      </c>
      <c r="Q42" s="20" t="s">
        <v>141</v>
      </c>
      <c r="R42" s="20" t="s">
        <v>141</v>
      </c>
      <c r="S42" s="20" t="s">
        <v>141</v>
      </c>
      <c r="T42" s="20" t="s">
        <v>2486</v>
      </c>
      <c r="U42" s="20" t="s">
        <v>2486</v>
      </c>
      <c r="V42" s="20" t="s">
        <v>2543</v>
      </c>
      <c r="W42" s="20" t="s">
        <v>2543</v>
      </c>
      <c r="X42" s="20" t="s">
        <v>2543</v>
      </c>
      <c r="Y42" s="20" t="s">
        <v>2543</v>
      </c>
      <c r="Z42" s="20" t="s">
        <v>2543</v>
      </c>
      <c r="AA42" s="19" t="s">
        <v>2543</v>
      </c>
      <c r="AB42" s="19" t="s">
        <v>2486</v>
      </c>
      <c r="AC42" s="19" t="s">
        <v>2501</v>
      </c>
      <c r="AD42" s="19" t="s">
        <v>2501</v>
      </c>
      <c r="AE42" s="19" t="s">
        <v>2501</v>
      </c>
      <c r="AF42" s="20" t="s">
        <v>2486</v>
      </c>
      <c r="AG42" s="48" t="s">
        <v>2486</v>
      </c>
      <c r="AH42" s="48" t="s">
        <v>2486</v>
      </c>
      <c r="AI42" s="48" t="s">
        <v>2569</v>
      </c>
      <c r="AJ42" s="50" t="s">
        <v>2567</v>
      </c>
      <c r="AK42" s="53" t="s">
        <v>75</v>
      </c>
      <c r="AL42" s="20" t="s">
        <v>75</v>
      </c>
      <c r="AM42" s="20"/>
      <c r="AN42" s="20"/>
      <c r="AO42" s="3"/>
      <c r="AP42" s="7">
        <f>VLOOKUP(B:B,Table3[#All],4,0)</f>
        <v>7500</v>
      </c>
      <c r="AQ42" s="7">
        <f>calcShift1(Таблица1[[#This Row],[Столбец5]:[Столбец36]])</f>
        <v>135.99999999999997</v>
      </c>
      <c r="AR42" s="7">
        <f>calcShift2(Таблица1[[#This Row],[Столбец5]:[Столбец36]])</f>
        <v>0</v>
      </c>
      <c r="AS42" s="7">
        <f>calcShift3(Таблица1[[#This Row],[Столбец5]:[Столбец36]])</f>
        <v>0</v>
      </c>
      <c r="AT42" s="7"/>
      <c r="AU42" s="7">
        <f>calcYavka(Таблица1[[#This Row],[Столбец5]:[Столбец36]])</f>
        <v>17</v>
      </c>
      <c r="AV42" s="9"/>
      <c r="AW42" s="18">
        <f>VLOOKUP(B:B,ДОП_ВСІ!B:AS,44,0)</f>
        <v>0</v>
      </c>
      <c r="AX42" s="7">
        <f>VLOOKUP(B:B,ДОП_ВСІ!B:AQ,42,0)</f>
        <v>0</v>
      </c>
      <c r="AY42" s="7"/>
      <c r="AZ42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42" s="6"/>
      <c r="BB42" s="47">
        <f>calcTS(Таблица1[[#This Row],[Столбец5]:[Столбец36]])</f>
        <v>0</v>
      </c>
    </row>
    <row r="43" spans="1:54" x14ac:dyDescent="0.35">
      <c r="A43" s="33" t="s">
        <v>165</v>
      </c>
      <c r="B43" s="24" t="s">
        <v>166</v>
      </c>
      <c r="C43" s="20" t="s">
        <v>167</v>
      </c>
      <c r="D43" s="20" t="s">
        <v>2564</v>
      </c>
      <c r="E43" s="20" t="s">
        <v>2501</v>
      </c>
      <c r="F43" s="20" t="s">
        <v>2486</v>
      </c>
      <c r="G43" s="20" t="s">
        <v>2486</v>
      </c>
      <c r="H43" s="20" t="s">
        <v>2543</v>
      </c>
      <c r="I43" s="20" t="s">
        <v>2543</v>
      </c>
      <c r="J43" s="20" t="s">
        <v>2543</v>
      </c>
      <c r="K43" s="20" t="s">
        <v>2543</v>
      </c>
      <c r="L43" s="20" t="s">
        <v>2543</v>
      </c>
      <c r="M43" s="20" t="s">
        <v>2486</v>
      </c>
      <c r="N43" s="20" t="s">
        <v>2486</v>
      </c>
      <c r="O43" s="20" t="s">
        <v>141</v>
      </c>
      <c r="P43" s="20" t="s">
        <v>141</v>
      </c>
      <c r="Q43" s="19" t="s">
        <v>141</v>
      </c>
      <c r="R43" s="20" t="s">
        <v>141</v>
      </c>
      <c r="S43" s="20" t="s">
        <v>141</v>
      </c>
      <c r="T43" s="20" t="s">
        <v>2486</v>
      </c>
      <c r="U43" s="20" t="s">
        <v>2486</v>
      </c>
      <c r="V43" s="20" t="s">
        <v>2543</v>
      </c>
      <c r="W43" s="20" t="s">
        <v>2543</v>
      </c>
      <c r="X43" s="20" t="s">
        <v>2543</v>
      </c>
      <c r="Y43" s="20" t="s">
        <v>2543</v>
      </c>
      <c r="Z43" s="20" t="s">
        <v>2543</v>
      </c>
      <c r="AA43" s="20" t="s">
        <v>2543</v>
      </c>
      <c r="AB43" s="20" t="s">
        <v>2486</v>
      </c>
      <c r="AC43" s="20" t="s">
        <v>2543</v>
      </c>
      <c r="AD43" s="20" t="s">
        <v>2543</v>
      </c>
      <c r="AE43" s="20" t="s">
        <v>2570</v>
      </c>
      <c r="AF43" s="20" t="s">
        <v>2486</v>
      </c>
      <c r="AG43" s="48" t="s">
        <v>2486</v>
      </c>
      <c r="AH43" s="48" t="s">
        <v>2486</v>
      </c>
      <c r="AI43" s="48" t="s">
        <v>2571</v>
      </c>
      <c r="AJ43" s="50" t="s">
        <v>2567</v>
      </c>
      <c r="AK43" s="53" t="s">
        <v>72</v>
      </c>
      <c r="AL43" s="20" t="s">
        <v>71</v>
      </c>
      <c r="AM43" s="20"/>
      <c r="AN43" s="21"/>
      <c r="AO43" s="3"/>
      <c r="AP43" s="7">
        <f>VLOOKUP(B:B,Table3[#All],4,0)</f>
        <v>6600</v>
      </c>
      <c r="AQ43" s="7">
        <f>calcShift1(Таблица1[[#This Row],[Столбец5]:[Столбец36]])</f>
        <v>150.99999999999997</v>
      </c>
      <c r="AR43" s="7">
        <f>calcShift2(Таблица1[[#This Row],[Столбец5]:[Столбец36]])</f>
        <v>0</v>
      </c>
      <c r="AS43" s="7">
        <f>calcShift3(Таблица1[[#This Row],[Столбец5]:[Столбец36]])</f>
        <v>0</v>
      </c>
      <c r="AT43" s="7"/>
      <c r="AU43" s="7">
        <f>calcYavka(Таблица1[[#This Row],[Столбец5]:[Столбец36]])</f>
        <v>19</v>
      </c>
      <c r="AV43" s="9"/>
      <c r="AW43" s="18">
        <f>VLOOKUP(B:B,ДОП_ВСІ!B:AS,44,0)</f>
        <v>330</v>
      </c>
      <c r="AX43" s="7">
        <f>VLOOKUP(B:B,ДОП_ВСІ!B:AQ,42,0)</f>
        <v>0</v>
      </c>
      <c r="AY43" s="7"/>
      <c r="AZ43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43" s="6"/>
      <c r="BB43" s="47">
        <f>calcTS(Таблица1[[#This Row],[Столбец5]:[Столбец36]])</f>
        <v>0</v>
      </c>
    </row>
    <row r="44" spans="1:54" s="44" customFormat="1" x14ac:dyDescent="0.35">
      <c r="A44" s="33" t="s">
        <v>168</v>
      </c>
      <c r="B44" s="24" t="s">
        <v>169</v>
      </c>
      <c r="C44" s="20" t="s">
        <v>170</v>
      </c>
      <c r="D44" s="20" t="s">
        <v>2564</v>
      </c>
      <c r="E44" s="20" t="s">
        <v>2543</v>
      </c>
      <c r="F44" s="20" t="s">
        <v>2486</v>
      </c>
      <c r="G44" s="68" t="s">
        <v>2486</v>
      </c>
      <c r="H44" s="20" t="s">
        <v>2543</v>
      </c>
      <c r="I44" s="20" t="s">
        <v>2543</v>
      </c>
      <c r="J44" s="20" t="s">
        <v>2543</v>
      </c>
      <c r="K44" s="20" t="s">
        <v>2547</v>
      </c>
      <c r="L44" s="20" t="s">
        <v>2547</v>
      </c>
      <c r="M44" s="20" t="s">
        <v>2486</v>
      </c>
      <c r="N44" s="20" t="s">
        <v>2486</v>
      </c>
      <c r="O44" s="20" t="s">
        <v>141</v>
      </c>
      <c r="P44" s="20" t="s">
        <v>141</v>
      </c>
      <c r="Q44" s="20" t="s">
        <v>141</v>
      </c>
      <c r="R44" s="20" t="s">
        <v>141</v>
      </c>
      <c r="S44" s="20" t="s">
        <v>141</v>
      </c>
      <c r="T44" s="20" t="s">
        <v>2486</v>
      </c>
      <c r="U44" s="20" t="s">
        <v>2547</v>
      </c>
      <c r="V44" s="20" t="s">
        <v>2547</v>
      </c>
      <c r="W44" s="20" t="s">
        <v>141</v>
      </c>
      <c r="X44" s="20" t="s">
        <v>2547</v>
      </c>
      <c r="Y44" s="20" t="s">
        <v>2547</v>
      </c>
      <c r="Z44" s="20" t="s">
        <v>2547</v>
      </c>
      <c r="AA44" s="20" t="s">
        <v>2547</v>
      </c>
      <c r="AB44" s="20" t="s">
        <v>2547</v>
      </c>
      <c r="AC44" s="20" t="s">
        <v>2543</v>
      </c>
      <c r="AD44" s="20" t="s">
        <v>2543</v>
      </c>
      <c r="AE44" s="20" t="s">
        <v>2570</v>
      </c>
      <c r="AF44" s="20" t="s">
        <v>2486</v>
      </c>
      <c r="AG44" s="48" t="s">
        <v>2486</v>
      </c>
      <c r="AH44" s="48" t="s">
        <v>2486</v>
      </c>
      <c r="AI44" s="48" t="s">
        <v>2572</v>
      </c>
      <c r="AJ44" s="50" t="s">
        <v>2567</v>
      </c>
      <c r="AK44" s="53" t="s">
        <v>87</v>
      </c>
      <c r="AL44" s="20" t="s">
        <v>2573</v>
      </c>
      <c r="AM44" s="20"/>
      <c r="AN44" s="20"/>
      <c r="AO44" s="3"/>
      <c r="AP44" s="7">
        <f>VLOOKUP(B:B,Table3[#All],4,0)</f>
        <v>43300</v>
      </c>
      <c r="AQ44" s="7">
        <f>calcShift1(Таблица1[[#This Row],[Столбец5]:[Столбец36]])</f>
        <v>174.99999999999994</v>
      </c>
      <c r="AR44" s="7">
        <f>calcShift2(Таблица1[[#This Row],[Столбец5]:[Столбец36]])</f>
        <v>0</v>
      </c>
      <c r="AS44" s="7">
        <f>calcShift3(Таблица1[[#This Row],[Столбец5]:[Столбец36]])</f>
        <v>0</v>
      </c>
      <c r="AT44" s="7"/>
      <c r="AU44" s="7">
        <f>calcYavka(Таблица1[[#This Row],[Столбец5]:[Столбец36]])</f>
        <v>22</v>
      </c>
      <c r="AV44" s="9"/>
      <c r="AW44" s="18">
        <f>VLOOKUP(B:B,ДОП_ВСІ!B:AS,44,0)</f>
        <v>0</v>
      </c>
      <c r="AX44" s="7">
        <f>VLOOKUP(B:B,ДОП_ВСІ!B:AQ,42,0)</f>
        <v>0</v>
      </c>
      <c r="AY44" s="7"/>
      <c r="AZ44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44" s="6"/>
      <c r="BB44" s="47">
        <f>calcTS(Таблица1[[#This Row],[Столбец5]:[Столбец36]])</f>
        <v>0</v>
      </c>
    </row>
    <row r="45" spans="1:54" ht="42" x14ac:dyDescent="0.35">
      <c r="A45" s="33" t="s">
        <v>171</v>
      </c>
      <c r="B45" s="24" t="s">
        <v>172</v>
      </c>
      <c r="C45" s="20" t="s">
        <v>173</v>
      </c>
      <c r="D45" s="20" t="s">
        <v>2564</v>
      </c>
      <c r="E45" s="19" t="s">
        <v>2543</v>
      </c>
      <c r="F45" s="20" t="s">
        <v>2486</v>
      </c>
      <c r="G45" s="20" t="s">
        <v>2486</v>
      </c>
      <c r="H45" s="19" t="s">
        <v>2501</v>
      </c>
      <c r="I45" s="19" t="s">
        <v>2501</v>
      </c>
      <c r="J45" s="19" t="s">
        <v>2501</v>
      </c>
      <c r="K45" s="19" t="s">
        <v>2501</v>
      </c>
      <c r="L45" s="20" t="s">
        <v>2501</v>
      </c>
      <c r="M45" s="20" t="s">
        <v>2486</v>
      </c>
      <c r="N45" s="20" t="s">
        <v>2486</v>
      </c>
      <c r="O45" s="20" t="s">
        <v>141</v>
      </c>
      <c r="P45" s="20" t="s">
        <v>141</v>
      </c>
      <c r="Q45" s="20" t="s">
        <v>141</v>
      </c>
      <c r="R45" s="20" t="s">
        <v>141</v>
      </c>
      <c r="S45" s="20" t="s">
        <v>141</v>
      </c>
      <c r="T45" s="20" t="s">
        <v>2486</v>
      </c>
      <c r="U45" s="20" t="s">
        <v>2486</v>
      </c>
      <c r="V45" s="20" t="s">
        <v>2543</v>
      </c>
      <c r="W45" s="20" t="s">
        <v>2543</v>
      </c>
      <c r="X45" s="20" t="s">
        <v>2543</v>
      </c>
      <c r="Y45" s="20" t="s">
        <v>2543</v>
      </c>
      <c r="Z45" s="20" t="s">
        <v>2543</v>
      </c>
      <c r="AA45" s="20" t="s">
        <v>2543</v>
      </c>
      <c r="AB45" s="20" t="s">
        <v>2486</v>
      </c>
      <c r="AC45" s="20" t="s">
        <v>2543</v>
      </c>
      <c r="AD45" s="20" t="s">
        <v>2543</v>
      </c>
      <c r="AE45" s="20" t="s">
        <v>2570</v>
      </c>
      <c r="AF45" s="20" t="s">
        <v>2486</v>
      </c>
      <c r="AG45" s="48" t="s">
        <v>2486</v>
      </c>
      <c r="AH45" s="48" t="s">
        <v>2486</v>
      </c>
      <c r="AI45" s="48" t="s">
        <v>2574</v>
      </c>
      <c r="AJ45" s="50" t="s">
        <v>2567</v>
      </c>
      <c r="AK45" s="53" t="s">
        <v>75</v>
      </c>
      <c r="AL45" s="20" t="s">
        <v>75</v>
      </c>
      <c r="AM45" s="20"/>
      <c r="AN45" s="20"/>
      <c r="AO45" s="3"/>
      <c r="AP45" s="7">
        <f>VLOOKUP(B:B,Table3[#All],4,0)</f>
        <v>7500</v>
      </c>
      <c r="AQ45" s="7">
        <f>calcShift1(Таблица1[[#This Row],[Столбец5]:[Столбец36]])</f>
        <v>119</v>
      </c>
      <c r="AR45" s="7">
        <f>calcShift2(Таблица1[[#This Row],[Столбец5]:[Столбец36]])</f>
        <v>0</v>
      </c>
      <c r="AS45" s="7">
        <f>calcShift3(Таблица1[[#This Row],[Столбец5]:[Столбец36]])</f>
        <v>0</v>
      </c>
      <c r="AT45" s="7"/>
      <c r="AU45" s="7">
        <f>calcYavka(Таблица1[[#This Row],[Столбец5]:[Столбец36]])</f>
        <v>15</v>
      </c>
      <c r="AV45" s="9"/>
      <c r="AW45" s="18">
        <f>VLOOKUP(B:B,ДОП_ВСІ!B:AS,44,0)</f>
        <v>1312.5</v>
      </c>
      <c r="AX45" s="7">
        <f>VLOOKUP(B:B,ДОП_ВСІ!B:AQ,42,0)</f>
        <v>0</v>
      </c>
      <c r="AY45" s="7"/>
      <c r="AZ45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45" s="6"/>
      <c r="BB45" s="47">
        <f>calcTS(Таблица1[[#This Row],[Столбец5]:[Столбец36]])</f>
        <v>0</v>
      </c>
    </row>
    <row r="46" spans="1:54" ht="42" x14ac:dyDescent="0.35">
      <c r="A46" s="33" t="s">
        <v>174</v>
      </c>
      <c r="B46" s="24" t="s">
        <v>175</v>
      </c>
      <c r="C46" s="20" t="s">
        <v>176</v>
      </c>
      <c r="D46" s="20" t="s">
        <v>2564</v>
      </c>
      <c r="E46" s="19" t="s">
        <v>2531</v>
      </c>
      <c r="F46" s="20" t="s">
        <v>2486</v>
      </c>
      <c r="G46" s="20" t="s">
        <v>2486</v>
      </c>
      <c r="H46" s="19" t="s">
        <v>2543</v>
      </c>
      <c r="I46" s="19" t="s">
        <v>2543</v>
      </c>
      <c r="J46" s="19" t="s">
        <v>2570</v>
      </c>
      <c r="K46" s="19" t="s">
        <v>2543</v>
      </c>
      <c r="L46" s="20" t="s">
        <v>2543</v>
      </c>
      <c r="M46" s="20" t="s">
        <v>2486</v>
      </c>
      <c r="N46" s="20" t="s">
        <v>2486</v>
      </c>
      <c r="O46" s="20" t="s">
        <v>141</v>
      </c>
      <c r="P46" s="19" t="s">
        <v>2485</v>
      </c>
      <c r="Q46" s="19" t="s">
        <v>141</v>
      </c>
      <c r="R46" s="19" t="s">
        <v>141</v>
      </c>
      <c r="S46" s="20" t="s">
        <v>141</v>
      </c>
      <c r="T46" s="19" t="s">
        <v>2486</v>
      </c>
      <c r="U46" s="19" t="s">
        <v>2486</v>
      </c>
      <c r="V46" s="19" t="s">
        <v>2543</v>
      </c>
      <c r="W46" s="20" t="s">
        <v>2543</v>
      </c>
      <c r="X46" s="20" t="s">
        <v>2543</v>
      </c>
      <c r="Y46" s="20" t="s">
        <v>2575</v>
      </c>
      <c r="Z46" s="19" t="s">
        <v>2575</v>
      </c>
      <c r="AA46" s="19" t="s">
        <v>2543</v>
      </c>
      <c r="AB46" s="20" t="s">
        <v>2486</v>
      </c>
      <c r="AC46" s="19" t="s">
        <v>2485</v>
      </c>
      <c r="AD46" s="19" t="s">
        <v>2543</v>
      </c>
      <c r="AE46" s="20" t="s">
        <v>2570</v>
      </c>
      <c r="AF46" s="20" t="s">
        <v>2486</v>
      </c>
      <c r="AG46" s="48" t="s">
        <v>2486</v>
      </c>
      <c r="AH46" s="48" t="s">
        <v>2486</v>
      </c>
      <c r="AI46" s="48" t="s">
        <v>2576</v>
      </c>
      <c r="AJ46" s="50" t="s">
        <v>2567</v>
      </c>
      <c r="AK46" s="53" t="s">
        <v>52</v>
      </c>
      <c r="AL46" s="19" t="s">
        <v>69</v>
      </c>
      <c r="AM46" s="20"/>
      <c r="AN46" s="20"/>
      <c r="AO46" s="3"/>
      <c r="AP46" s="7">
        <f>VLOOKUP(B:B,Table3[#All],4,0)</f>
        <v>6500</v>
      </c>
      <c r="AQ46" s="7">
        <f>calcShift1(Таблица1[[#This Row],[Столбец5]:[Столбец36]])</f>
        <v>128</v>
      </c>
      <c r="AR46" s="7">
        <f>calcShift2(Таблица1[[#This Row],[Столбец5]:[Столбец36]])</f>
        <v>0</v>
      </c>
      <c r="AS46" s="7">
        <f>calcShift3(Таблица1[[#This Row],[Столбец5]:[Столбец36]])</f>
        <v>0</v>
      </c>
      <c r="AT46" s="7"/>
      <c r="AU46" s="7">
        <f>calcYavka(Таблица1[[#This Row],[Столбец5]:[Столбец36]])</f>
        <v>17</v>
      </c>
      <c r="AV46" s="9"/>
      <c r="AW46" s="18">
        <f>VLOOKUP(B:B,ДОП_ВСІ!B:AS,44,0)</f>
        <v>0</v>
      </c>
      <c r="AX46" s="7">
        <f>VLOOKUP(B:B,ДОП_ВСІ!B:AQ,42,0)</f>
        <v>0</v>
      </c>
      <c r="AY46" s="7"/>
      <c r="AZ46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46" s="6"/>
      <c r="BB46" s="47">
        <f>calcTS(Таблица1[[#This Row],[Столбец5]:[Столбец36]])</f>
        <v>0</v>
      </c>
    </row>
    <row r="47" spans="1:54" ht="42" x14ac:dyDescent="0.35">
      <c r="A47" s="33" t="s">
        <v>177</v>
      </c>
      <c r="B47" s="24" t="s">
        <v>178</v>
      </c>
      <c r="C47" s="20" t="s">
        <v>179</v>
      </c>
      <c r="D47" s="20" t="s">
        <v>2564</v>
      </c>
      <c r="E47" s="20" t="s">
        <v>2543</v>
      </c>
      <c r="F47" s="19" t="s">
        <v>2486</v>
      </c>
      <c r="G47" s="19" t="s">
        <v>2486</v>
      </c>
      <c r="H47" s="20" t="s">
        <v>2543</v>
      </c>
      <c r="I47" s="20" t="s">
        <v>2543</v>
      </c>
      <c r="J47" s="20" t="s">
        <v>2543</v>
      </c>
      <c r="K47" s="20" t="s">
        <v>2543</v>
      </c>
      <c r="L47" s="19" t="s">
        <v>2543</v>
      </c>
      <c r="M47" s="19" t="s">
        <v>2486</v>
      </c>
      <c r="N47" s="20" t="s">
        <v>2486</v>
      </c>
      <c r="O47" s="20" t="s">
        <v>141</v>
      </c>
      <c r="P47" s="20" t="s">
        <v>141</v>
      </c>
      <c r="Q47" s="20" t="s">
        <v>141</v>
      </c>
      <c r="R47" s="19" t="s">
        <v>141</v>
      </c>
      <c r="S47" s="20" t="s">
        <v>141</v>
      </c>
      <c r="T47" s="19" t="s">
        <v>2486</v>
      </c>
      <c r="U47" s="19" t="s">
        <v>2486</v>
      </c>
      <c r="V47" s="20" t="s">
        <v>2543</v>
      </c>
      <c r="W47" s="20" t="s">
        <v>2543</v>
      </c>
      <c r="X47" s="19" t="s">
        <v>2543</v>
      </c>
      <c r="Y47" s="19" t="s">
        <v>2543</v>
      </c>
      <c r="Z47" s="20" t="s">
        <v>2543</v>
      </c>
      <c r="AA47" s="20" t="s">
        <v>2543</v>
      </c>
      <c r="AB47" s="20" t="s">
        <v>2486</v>
      </c>
      <c r="AC47" s="20" t="s">
        <v>2543</v>
      </c>
      <c r="AD47" s="19" t="s">
        <v>2543</v>
      </c>
      <c r="AE47" s="19" t="s">
        <v>2570</v>
      </c>
      <c r="AF47" s="19" t="s">
        <v>2486</v>
      </c>
      <c r="AG47" s="48" t="s">
        <v>2486</v>
      </c>
      <c r="AH47" s="48" t="s">
        <v>2486</v>
      </c>
      <c r="AI47" s="48" t="s">
        <v>2567</v>
      </c>
      <c r="AJ47" s="50" t="s">
        <v>2567</v>
      </c>
      <c r="AK47" s="54" t="s">
        <v>54</v>
      </c>
      <c r="AL47" s="20" t="s">
        <v>55</v>
      </c>
      <c r="AM47" s="20"/>
      <c r="AN47" s="20"/>
      <c r="AO47" s="3"/>
      <c r="AP47" s="7">
        <f>VLOOKUP(B:B,Table3[#All],4,0)</f>
        <v>7000</v>
      </c>
      <c r="AQ47" s="7">
        <f>calcShift1(Таблица1[[#This Row],[Столбец5]:[Столбец36]])</f>
        <v>158.99999999999994</v>
      </c>
      <c r="AR47" s="7">
        <f>calcShift2(Таблица1[[#This Row],[Столбец5]:[Столбец36]])</f>
        <v>0</v>
      </c>
      <c r="AS47" s="7">
        <f>calcShift3(Таблица1[[#This Row],[Столбец5]:[Столбец36]])</f>
        <v>0</v>
      </c>
      <c r="AT47" s="7"/>
      <c r="AU47" s="7">
        <f>calcYavka(Таблица1[[#This Row],[Столбец5]:[Столбец36]])</f>
        <v>20</v>
      </c>
      <c r="AV47" s="9"/>
      <c r="AW47" s="18">
        <f>VLOOKUP(B:B,ДОП_ВСІ!B:AS,44,0)</f>
        <v>437.5</v>
      </c>
      <c r="AX47" s="7">
        <f>VLOOKUP(B:B,ДОП_ВСІ!B:AQ,42,0)</f>
        <v>0</v>
      </c>
      <c r="AY47" s="7"/>
      <c r="AZ47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47" s="6"/>
      <c r="BB47" s="47">
        <f>calcTS(Таблица1[[#This Row],[Столбец5]:[Столбец36]])</f>
        <v>0</v>
      </c>
    </row>
    <row r="48" spans="1:54" ht="42" x14ac:dyDescent="0.35">
      <c r="A48" s="33" t="s">
        <v>180</v>
      </c>
      <c r="B48" s="24" t="s">
        <v>181</v>
      </c>
      <c r="C48" s="20" t="s">
        <v>182</v>
      </c>
      <c r="D48" s="20" t="s">
        <v>2564</v>
      </c>
      <c r="E48" s="19" t="s">
        <v>2543</v>
      </c>
      <c r="F48" s="19" t="s">
        <v>2486</v>
      </c>
      <c r="G48" s="19" t="s">
        <v>2486</v>
      </c>
      <c r="H48" s="20" t="s">
        <v>2543</v>
      </c>
      <c r="I48" s="20" t="s">
        <v>2543</v>
      </c>
      <c r="J48" s="20" t="s">
        <v>2543</v>
      </c>
      <c r="K48" s="20" t="s">
        <v>2543</v>
      </c>
      <c r="L48" s="20" t="s">
        <v>2543</v>
      </c>
      <c r="M48" s="20" t="s">
        <v>2486</v>
      </c>
      <c r="N48" s="20" t="s">
        <v>2486</v>
      </c>
      <c r="O48" s="20" t="s">
        <v>141</v>
      </c>
      <c r="P48" s="20" t="s">
        <v>141</v>
      </c>
      <c r="Q48" s="20" t="s">
        <v>141</v>
      </c>
      <c r="R48" s="20" t="s">
        <v>141</v>
      </c>
      <c r="S48" s="19" t="s">
        <v>141</v>
      </c>
      <c r="T48" s="20" t="s">
        <v>2486</v>
      </c>
      <c r="U48" s="20" t="s">
        <v>2486</v>
      </c>
      <c r="V48" s="20" t="s">
        <v>2543</v>
      </c>
      <c r="W48" s="20" t="s">
        <v>2543</v>
      </c>
      <c r="X48" s="20" t="s">
        <v>2543</v>
      </c>
      <c r="Y48" s="20" t="s">
        <v>2543</v>
      </c>
      <c r="Z48" s="20" t="s">
        <v>2543</v>
      </c>
      <c r="AA48" s="20" t="s">
        <v>2543</v>
      </c>
      <c r="AB48" s="68" t="s">
        <v>2486</v>
      </c>
      <c r="AC48" s="20" t="s">
        <v>2543</v>
      </c>
      <c r="AD48" s="20" t="s">
        <v>2543</v>
      </c>
      <c r="AE48" s="20" t="s">
        <v>2570</v>
      </c>
      <c r="AF48" s="20" t="s">
        <v>2486</v>
      </c>
      <c r="AG48" s="48" t="s">
        <v>2486</v>
      </c>
      <c r="AH48" s="48" t="s">
        <v>2486</v>
      </c>
      <c r="AI48" s="48" t="s">
        <v>2567</v>
      </c>
      <c r="AJ48" s="50" t="s">
        <v>2567</v>
      </c>
      <c r="AK48" s="53" t="s">
        <v>54</v>
      </c>
      <c r="AL48" s="20" t="s">
        <v>55</v>
      </c>
      <c r="AM48" s="20"/>
      <c r="AN48" s="20"/>
      <c r="AO48" s="3"/>
      <c r="AP48" s="7">
        <f>VLOOKUP(B:B,Table3[#All],4,0)</f>
        <v>10000</v>
      </c>
      <c r="AQ48" s="7">
        <f>calcShift1(Таблица1[[#This Row],[Столбец5]:[Столбец36]])</f>
        <v>158.99999999999994</v>
      </c>
      <c r="AR48" s="7">
        <f>calcShift2(Таблица1[[#This Row],[Столбец5]:[Столбец36]])</f>
        <v>0</v>
      </c>
      <c r="AS48" s="7">
        <f>calcShift3(Таблица1[[#This Row],[Столбец5]:[Столбец36]])</f>
        <v>0</v>
      </c>
      <c r="AT48" s="7"/>
      <c r="AU48" s="7">
        <f>calcYavka(Таблица1[[#This Row],[Столбец5]:[Столбец36]])</f>
        <v>20</v>
      </c>
      <c r="AV48" s="9"/>
      <c r="AW48" s="18">
        <f>VLOOKUP(B:B,ДОП_ВСІ!B:AS,44,0)</f>
        <v>0</v>
      </c>
      <c r="AX48" s="7">
        <f>VLOOKUP(B:B,ДОП_ВСІ!B:AQ,42,0)</f>
        <v>0</v>
      </c>
      <c r="AY48" s="7"/>
      <c r="AZ48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48" s="6"/>
      <c r="BB48" s="47">
        <f>calcTS(Таблица1[[#This Row],[Столбец5]:[Столбец36]])</f>
        <v>0</v>
      </c>
    </row>
    <row r="49" spans="1:54" ht="42" x14ac:dyDescent="0.35">
      <c r="A49" s="33" t="s">
        <v>183</v>
      </c>
      <c r="B49" s="24" t="s">
        <v>184</v>
      </c>
      <c r="C49" s="20" t="s">
        <v>185</v>
      </c>
      <c r="D49" s="20" t="s">
        <v>2564</v>
      </c>
      <c r="E49" s="20" t="s">
        <v>2543</v>
      </c>
      <c r="F49" s="20" t="s">
        <v>2486</v>
      </c>
      <c r="G49" s="19" t="s">
        <v>2486</v>
      </c>
      <c r="H49" s="20" t="s">
        <v>2543</v>
      </c>
      <c r="I49" s="20" t="s">
        <v>2543</v>
      </c>
      <c r="J49" s="20" t="s">
        <v>2543</v>
      </c>
      <c r="K49" s="20" t="s">
        <v>2543</v>
      </c>
      <c r="L49" s="19" t="s">
        <v>2543</v>
      </c>
      <c r="M49" s="19" t="s">
        <v>2486</v>
      </c>
      <c r="N49" s="19" t="s">
        <v>2486</v>
      </c>
      <c r="O49" s="20" t="s">
        <v>141</v>
      </c>
      <c r="P49" s="20" t="s">
        <v>141</v>
      </c>
      <c r="Q49" s="20" t="s">
        <v>141</v>
      </c>
      <c r="R49" s="20" t="s">
        <v>141</v>
      </c>
      <c r="S49" s="20" t="s">
        <v>141</v>
      </c>
      <c r="T49" s="20" t="s">
        <v>2486</v>
      </c>
      <c r="U49" s="20" t="s">
        <v>2486</v>
      </c>
      <c r="V49" s="20" t="s">
        <v>2543</v>
      </c>
      <c r="W49" s="20" t="s">
        <v>2543</v>
      </c>
      <c r="X49" s="19" t="s">
        <v>2543</v>
      </c>
      <c r="Y49" s="20" t="s">
        <v>2543</v>
      </c>
      <c r="Z49" s="20" t="s">
        <v>2543</v>
      </c>
      <c r="AA49" s="20" t="s">
        <v>2543</v>
      </c>
      <c r="AB49" s="20" t="s">
        <v>2486</v>
      </c>
      <c r="AC49" s="20" t="s">
        <v>2543</v>
      </c>
      <c r="AD49" s="20" t="s">
        <v>2543</v>
      </c>
      <c r="AE49" s="19" t="s">
        <v>2570</v>
      </c>
      <c r="AF49" s="20" t="s">
        <v>2486</v>
      </c>
      <c r="AG49" s="48" t="s">
        <v>2486</v>
      </c>
      <c r="AH49" s="48" t="s">
        <v>2486</v>
      </c>
      <c r="AI49" s="48" t="s">
        <v>2567</v>
      </c>
      <c r="AJ49" s="50" t="s">
        <v>2567</v>
      </c>
      <c r="AK49" s="53" t="s">
        <v>54</v>
      </c>
      <c r="AL49" s="20" t="s">
        <v>55</v>
      </c>
      <c r="AM49" s="20"/>
      <c r="AN49" s="20"/>
      <c r="AO49" s="3"/>
      <c r="AP49" s="7">
        <f>VLOOKUP(B:B,Table3[#All],4,0)</f>
        <v>9000</v>
      </c>
      <c r="AQ49" s="7">
        <f>calcShift1(Таблица1[[#This Row],[Столбец5]:[Столбец36]])</f>
        <v>158.99999999999994</v>
      </c>
      <c r="AR49" s="7">
        <f>calcShift2(Таблица1[[#This Row],[Столбец5]:[Столбец36]])</f>
        <v>0</v>
      </c>
      <c r="AS49" s="7">
        <f>calcShift3(Таблица1[[#This Row],[Столбец5]:[Столбец36]])</f>
        <v>0</v>
      </c>
      <c r="AT49" s="7"/>
      <c r="AU49" s="7">
        <f>calcYavka(Таблица1[[#This Row],[Столбец5]:[Столбец36]])</f>
        <v>20</v>
      </c>
      <c r="AV49" s="9"/>
      <c r="AW49" s="18">
        <f>VLOOKUP(B:B,ДОП_ВСІ!B:AS,44,0)</f>
        <v>0</v>
      </c>
      <c r="AX49" s="7">
        <f>VLOOKUP(B:B,ДОП_ВСІ!B:AQ,42,0)</f>
        <v>0</v>
      </c>
      <c r="AY49" s="7"/>
      <c r="AZ49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49" s="6"/>
      <c r="BB49" s="47">
        <f>calcTS(Таблица1[[#This Row],[Столбец5]:[Столбец36]])</f>
        <v>0</v>
      </c>
    </row>
    <row r="50" spans="1:54" ht="42" x14ac:dyDescent="0.35">
      <c r="A50" s="33" t="s">
        <v>186</v>
      </c>
      <c r="B50" s="24" t="s">
        <v>187</v>
      </c>
      <c r="C50" s="20" t="s">
        <v>164</v>
      </c>
      <c r="D50" s="20" t="s">
        <v>2564</v>
      </c>
      <c r="E50" s="20" t="s">
        <v>2543</v>
      </c>
      <c r="F50" s="20" t="s">
        <v>2486</v>
      </c>
      <c r="G50" s="20" t="s">
        <v>2486</v>
      </c>
      <c r="H50" s="19" t="s">
        <v>2543</v>
      </c>
      <c r="I50" s="19" t="s">
        <v>2543</v>
      </c>
      <c r="J50" s="19" t="s">
        <v>2543</v>
      </c>
      <c r="K50" s="20" t="s">
        <v>2543</v>
      </c>
      <c r="L50" s="20" t="s">
        <v>2575</v>
      </c>
      <c r="M50" s="20" t="s">
        <v>2486</v>
      </c>
      <c r="N50" s="20" t="s">
        <v>2486</v>
      </c>
      <c r="O50" s="20" t="s">
        <v>141</v>
      </c>
      <c r="P50" s="20" t="s">
        <v>141</v>
      </c>
      <c r="Q50" s="20" t="s">
        <v>141</v>
      </c>
      <c r="R50" s="20" t="s">
        <v>141</v>
      </c>
      <c r="S50" s="19" t="s">
        <v>141</v>
      </c>
      <c r="T50" s="19" t="s">
        <v>2486</v>
      </c>
      <c r="U50" s="20" t="s">
        <v>2486</v>
      </c>
      <c r="V50" s="20" t="s">
        <v>2543</v>
      </c>
      <c r="W50" s="20" t="s">
        <v>2543</v>
      </c>
      <c r="X50" s="19" t="s">
        <v>2543</v>
      </c>
      <c r="Y50" s="19" t="s">
        <v>2543</v>
      </c>
      <c r="Z50" s="19" t="s">
        <v>2543</v>
      </c>
      <c r="AA50" s="20" t="s">
        <v>2543</v>
      </c>
      <c r="AB50" s="68" t="s">
        <v>2486</v>
      </c>
      <c r="AC50" s="20" t="s">
        <v>2543</v>
      </c>
      <c r="AD50" s="20" t="s">
        <v>2543</v>
      </c>
      <c r="AE50" s="20" t="s">
        <v>2570</v>
      </c>
      <c r="AF50" s="20" t="s">
        <v>2486</v>
      </c>
      <c r="AG50" s="48" t="s">
        <v>2486</v>
      </c>
      <c r="AH50" s="48" t="s">
        <v>2486</v>
      </c>
      <c r="AI50" s="48" t="s">
        <v>2577</v>
      </c>
      <c r="AJ50" s="50" t="s">
        <v>2567</v>
      </c>
      <c r="AK50" s="53" t="s">
        <v>54</v>
      </c>
      <c r="AL50" s="20" t="s">
        <v>55</v>
      </c>
      <c r="AM50" s="20"/>
      <c r="AN50" s="20"/>
      <c r="AO50" s="3"/>
      <c r="AP50" s="7">
        <f>VLOOKUP(B:B,Table3[#All],4,0)</f>
        <v>6500</v>
      </c>
      <c r="AQ50" s="7">
        <f>calcShift1(Таблица1[[#This Row],[Столбец5]:[Столбец36]])</f>
        <v>155.99999999999997</v>
      </c>
      <c r="AR50" s="7">
        <f>calcShift2(Таблица1[[#This Row],[Столбец5]:[Столбец36]])</f>
        <v>0</v>
      </c>
      <c r="AS50" s="7">
        <f>calcShift3(Таблица1[[#This Row],[Столбец5]:[Столбец36]])</f>
        <v>0</v>
      </c>
      <c r="AT50" s="7"/>
      <c r="AU50" s="7">
        <f>calcYavka(Таблица1[[#This Row],[Столбец5]:[Столбец36]])</f>
        <v>20</v>
      </c>
      <c r="AV50" s="9"/>
      <c r="AW50" s="18">
        <f>VLOOKUP(B:B,ДОП_ВСІ!B:AS,44,0)</f>
        <v>0</v>
      </c>
      <c r="AX50" s="7">
        <f>VLOOKUP(B:B,ДОП_ВСІ!B:AQ,42,0)</f>
        <v>0</v>
      </c>
      <c r="AY50" s="7"/>
      <c r="AZ50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50" s="6"/>
      <c r="BB50" s="47">
        <f>calcTS(Таблица1[[#This Row],[Столбец5]:[Столбец36]])</f>
        <v>0</v>
      </c>
    </row>
    <row r="51" spans="1:54" ht="42" x14ac:dyDescent="0.35">
      <c r="A51" s="33" t="s">
        <v>188</v>
      </c>
      <c r="B51" s="24" t="s">
        <v>189</v>
      </c>
      <c r="C51" s="20" t="s">
        <v>190</v>
      </c>
      <c r="D51" s="20" t="s">
        <v>2564</v>
      </c>
      <c r="E51" s="19" t="s">
        <v>2543</v>
      </c>
      <c r="F51" s="20" t="s">
        <v>2486</v>
      </c>
      <c r="G51" s="20" t="s">
        <v>2486</v>
      </c>
      <c r="H51" s="20" t="s">
        <v>2543</v>
      </c>
      <c r="I51" s="20" t="s">
        <v>2543</v>
      </c>
      <c r="J51" s="20" t="s">
        <v>2543</v>
      </c>
      <c r="K51" s="19" t="s">
        <v>2547</v>
      </c>
      <c r="L51" s="20" t="s">
        <v>2543</v>
      </c>
      <c r="M51" s="20" t="s">
        <v>2486</v>
      </c>
      <c r="N51" s="20" t="s">
        <v>2486</v>
      </c>
      <c r="O51" s="20" t="s">
        <v>141</v>
      </c>
      <c r="P51" s="20" t="s">
        <v>141</v>
      </c>
      <c r="Q51" s="20" t="s">
        <v>141</v>
      </c>
      <c r="R51" s="20" t="s">
        <v>141</v>
      </c>
      <c r="S51" s="20" t="s">
        <v>141</v>
      </c>
      <c r="T51" s="20" t="s">
        <v>2486</v>
      </c>
      <c r="U51" s="20" t="s">
        <v>2486</v>
      </c>
      <c r="V51" s="20" t="s">
        <v>2543</v>
      </c>
      <c r="W51" s="20" t="s">
        <v>2543</v>
      </c>
      <c r="X51" s="20" t="s">
        <v>2543</v>
      </c>
      <c r="Y51" s="20" t="s">
        <v>2543</v>
      </c>
      <c r="Z51" s="20" t="s">
        <v>2543</v>
      </c>
      <c r="AA51" s="20" t="s">
        <v>2543</v>
      </c>
      <c r="AB51" s="20" t="s">
        <v>2486</v>
      </c>
      <c r="AC51" s="20" t="s">
        <v>2543</v>
      </c>
      <c r="AD51" s="20" t="s">
        <v>2543</v>
      </c>
      <c r="AE51" s="20" t="s">
        <v>2570</v>
      </c>
      <c r="AF51" s="20" t="s">
        <v>2486</v>
      </c>
      <c r="AG51" s="48" t="s">
        <v>2486</v>
      </c>
      <c r="AH51" s="48" t="s">
        <v>2486</v>
      </c>
      <c r="AI51" s="48" t="s">
        <v>2567</v>
      </c>
      <c r="AJ51" s="50" t="s">
        <v>2567</v>
      </c>
      <c r="AK51" s="53" t="s">
        <v>54</v>
      </c>
      <c r="AL51" s="20" t="s">
        <v>55</v>
      </c>
      <c r="AM51" s="20"/>
      <c r="AN51" s="20"/>
      <c r="AO51" s="3"/>
      <c r="AP51" s="7">
        <f>VLOOKUP(B:B,Table3[#All],4,0)</f>
        <v>25000</v>
      </c>
      <c r="AQ51" s="7">
        <f>calcShift1(Таблица1[[#This Row],[Столбец5]:[Столбец36]])</f>
        <v>158.99999999999994</v>
      </c>
      <c r="AR51" s="7">
        <f>calcShift2(Таблица1[[#This Row],[Столбец5]:[Столбец36]])</f>
        <v>0</v>
      </c>
      <c r="AS51" s="7">
        <f>calcShift3(Таблица1[[#This Row],[Столбец5]:[Столбец36]])</f>
        <v>0</v>
      </c>
      <c r="AT51" s="7"/>
      <c r="AU51" s="7">
        <f>calcYavka(Таблица1[[#This Row],[Столбец5]:[Столбец36]])</f>
        <v>20</v>
      </c>
      <c r="AV51" s="9"/>
      <c r="AW51" s="18">
        <f>VLOOKUP(B:B,ДОП_ВСІ!B:AS,44,0)</f>
        <v>0</v>
      </c>
      <c r="AX51" s="7">
        <f>VLOOKUP(B:B,ДОП_ВСІ!B:AQ,42,0)</f>
        <v>0</v>
      </c>
      <c r="AY51" s="7"/>
      <c r="AZ51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51" s="6"/>
      <c r="BB51" s="47">
        <f>calcTS(Таблица1[[#This Row],[Столбец5]:[Столбец36]])</f>
        <v>0</v>
      </c>
    </row>
    <row r="52" spans="1:54" ht="42" x14ac:dyDescent="0.35">
      <c r="A52" s="33" t="s">
        <v>191</v>
      </c>
      <c r="B52" s="24" t="s">
        <v>192</v>
      </c>
      <c r="C52" s="20" t="s">
        <v>193</v>
      </c>
      <c r="D52" s="20" t="s">
        <v>2564</v>
      </c>
      <c r="E52" s="19" t="s">
        <v>2543</v>
      </c>
      <c r="F52" s="20" t="s">
        <v>2486</v>
      </c>
      <c r="G52" s="20" t="s">
        <v>2486</v>
      </c>
      <c r="H52" s="20" t="s">
        <v>2543</v>
      </c>
      <c r="I52" s="20" t="s">
        <v>2543</v>
      </c>
      <c r="J52" s="20" t="s">
        <v>2543</v>
      </c>
      <c r="K52" s="19" t="s">
        <v>2543</v>
      </c>
      <c r="L52" s="20" t="s">
        <v>2531</v>
      </c>
      <c r="M52" s="20" t="s">
        <v>2486</v>
      </c>
      <c r="N52" s="20" t="s">
        <v>2486</v>
      </c>
      <c r="O52" s="20" t="s">
        <v>141</v>
      </c>
      <c r="P52" s="20" t="s">
        <v>141</v>
      </c>
      <c r="Q52" s="20" t="s">
        <v>141</v>
      </c>
      <c r="R52" s="19" t="s">
        <v>141</v>
      </c>
      <c r="S52" s="20" t="s">
        <v>141</v>
      </c>
      <c r="T52" s="20" t="s">
        <v>2486</v>
      </c>
      <c r="U52" s="20" t="s">
        <v>2486</v>
      </c>
      <c r="V52" s="20" t="s">
        <v>2543</v>
      </c>
      <c r="W52" s="20" t="s">
        <v>2543</v>
      </c>
      <c r="X52" s="20" t="s">
        <v>2543</v>
      </c>
      <c r="Y52" s="20" t="s">
        <v>2543</v>
      </c>
      <c r="Z52" s="20" t="s">
        <v>2543</v>
      </c>
      <c r="AA52" s="20" t="s">
        <v>2543</v>
      </c>
      <c r="AB52" s="20" t="s">
        <v>2486</v>
      </c>
      <c r="AC52" s="19" t="s">
        <v>2543</v>
      </c>
      <c r="AD52" s="20" t="s">
        <v>2543</v>
      </c>
      <c r="AE52" s="20" t="s">
        <v>2570</v>
      </c>
      <c r="AF52" s="20" t="s">
        <v>2486</v>
      </c>
      <c r="AG52" s="48" t="s">
        <v>2486</v>
      </c>
      <c r="AH52" s="48" t="s">
        <v>2486</v>
      </c>
      <c r="AI52" s="48" t="s">
        <v>2571</v>
      </c>
      <c r="AJ52" s="50" t="s">
        <v>2567</v>
      </c>
      <c r="AK52" s="53" t="s">
        <v>72</v>
      </c>
      <c r="AL52" s="20" t="s">
        <v>71</v>
      </c>
      <c r="AM52" s="20"/>
      <c r="AN52" s="20"/>
      <c r="AO52" s="3"/>
      <c r="AP52" s="7">
        <f>VLOOKUP(B:B,Table3[#All],4,0)</f>
        <v>10000</v>
      </c>
      <c r="AQ52" s="7">
        <f>calcShift1(Таблица1[[#This Row],[Столбец5]:[Столбец36]])</f>
        <v>150.99999999999997</v>
      </c>
      <c r="AR52" s="7">
        <f>calcShift2(Таблица1[[#This Row],[Столбец5]:[Столбец36]])</f>
        <v>0</v>
      </c>
      <c r="AS52" s="7">
        <f>calcShift3(Таблица1[[#This Row],[Столбец5]:[Столбец36]])</f>
        <v>0</v>
      </c>
      <c r="AT52" s="7"/>
      <c r="AU52" s="7">
        <f>calcYavka(Таблица1[[#This Row],[Столбец5]:[Столбец36]])</f>
        <v>19</v>
      </c>
      <c r="AV52" s="9"/>
      <c r="AW52" s="18">
        <f>VLOOKUP(B:B,ДОП_ВСІ!B:AS,44,0)</f>
        <v>0</v>
      </c>
      <c r="AX52" s="7">
        <f>VLOOKUP(B:B,ДОП_ВСІ!B:AQ,42,0)</f>
        <v>0</v>
      </c>
      <c r="AY52" s="7"/>
      <c r="AZ52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52" s="6"/>
      <c r="BB52" s="47">
        <f>calcTS(Таблица1[[#This Row],[Столбец5]:[Столбец36]])</f>
        <v>0</v>
      </c>
    </row>
    <row r="53" spans="1:54" ht="42" x14ac:dyDescent="0.35">
      <c r="A53" s="33" t="s">
        <v>194</v>
      </c>
      <c r="B53" s="24" t="s">
        <v>195</v>
      </c>
      <c r="C53" s="20" t="s">
        <v>167</v>
      </c>
      <c r="D53" s="20" t="s">
        <v>2564</v>
      </c>
      <c r="E53" s="20" t="s">
        <v>2543</v>
      </c>
      <c r="F53" s="20" t="s">
        <v>2486</v>
      </c>
      <c r="G53" s="20" t="s">
        <v>2486</v>
      </c>
      <c r="H53" s="68" t="s">
        <v>2543</v>
      </c>
      <c r="I53" s="20" t="s">
        <v>2543</v>
      </c>
      <c r="J53" s="20" t="s">
        <v>2543</v>
      </c>
      <c r="K53" s="20" t="s">
        <v>2543</v>
      </c>
      <c r="L53" s="20" t="s">
        <v>2531</v>
      </c>
      <c r="M53" s="20" t="s">
        <v>2486</v>
      </c>
      <c r="N53" s="20" t="s">
        <v>2486</v>
      </c>
      <c r="O53" s="20" t="s">
        <v>141</v>
      </c>
      <c r="P53" s="20" t="s">
        <v>141</v>
      </c>
      <c r="Q53" s="20" t="s">
        <v>141</v>
      </c>
      <c r="R53" s="20" t="s">
        <v>141</v>
      </c>
      <c r="S53" s="20" t="s">
        <v>141</v>
      </c>
      <c r="T53" s="20" t="s">
        <v>2486</v>
      </c>
      <c r="U53" s="20" t="s">
        <v>2486</v>
      </c>
      <c r="V53" s="20" t="s">
        <v>2543</v>
      </c>
      <c r="W53" s="19" t="s">
        <v>2543</v>
      </c>
      <c r="X53" s="19" t="s">
        <v>2543</v>
      </c>
      <c r="Y53" s="20" t="s">
        <v>2543</v>
      </c>
      <c r="Z53" s="20" t="s">
        <v>2543</v>
      </c>
      <c r="AA53" s="20" t="s">
        <v>2543</v>
      </c>
      <c r="AB53" s="20" t="s">
        <v>2486</v>
      </c>
      <c r="AC53" s="20" t="s">
        <v>2543</v>
      </c>
      <c r="AD53" s="20" t="s">
        <v>2543</v>
      </c>
      <c r="AE53" s="20" t="s">
        <v>2570</v>
      </c>
      <c r="AF53" s="20" t="s">
        <v>2486</v>
      </c>
      <c r="AG53" s="48" t="s">
        <v>2486</v>
      </c>
      <c r="AH53" s="48" t="s">
        <v>2486</v>
      </c>
      <c r="AI53" s="48" t="s">
        <v>2571</v>
      </c>
      <c r="AJ53" s="50" t="s">
        <v>2567</v>
      </c>
      <c r="AK53" s="53" t="s">
        <v>72</v>
      </c>
      <c r="AL53" s="20" t="s">
        <v>71</v>
      </c>
      <c r="AM53" s="20"/>
      <c r="AN53" s="20"/>
      <c r="AO53" s="3"/>
      <c r="AP53" s="7">
        <f>VLOOKUP(B:B,Table3[#All],4,0)</f>
        <v>10000</v>
      </c>
      <c r="AQ53" s="7">
        <f>calcShift1(Таблица1[[#This Row],[Столбец5]:[Столбец36]])</f>
        <v>150.99999999999997</v>
      </c>
      <c r="AR53" s="7">
        <f>calcShift2(Таблица1[[#This Row],[Столбец5]:[Столбец36]])</f>
        <v>0</v>
      </c>
      <c r="AS53" s="7">
        <f>calcShift3(Таблица1[[#This Row],[Столбец5]:[Столбец36]])</f>
        <v>0</v>
      </c>
      <c r="AT53" s="7"/>
      <c r="AU53" s="7">
        <f>calcYavka(Таблица1[[#This Row],[Столбец5]:[Столбец36]])</f>
        <v>19</v>
      </c>
      <c r="AV53" s="9"/>
      <c r="AW53" s="18">
        <f>VLOOKUP(B:B,ДОП_ВСІ!B:AS,44,0)</f>
        <v>1250</v>
      </c>
      <c r="AX53" s="7">
        <f>VLOOKUP(B:B,ДОП_ВСІ!B:AQ,42,0)</f>
        <v>0</v>
      </c>
      <c r="AY53" s="7"/>
      <c r="AZ53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53" s="6"/>
      <c r="BB53" s="47">
        <f>calcTS(Таблица1[[#This Row],[Столбец5]:[Столбец36]])</f>
        <v>0</v>
      </c>
    </row>
    <row r="54" spans="1:54" ht="42" x14ac:dyDescent="0.35">
      <c r="A54" s="33" t="s">
        <v>196</v>
      </c>
      <c r="B54" s="24" t="s">
        <v>197</v>
      </c>
      <c r="C54" s="20" t="s">
        <v>198</v>
      </c>
      <c r="D54" s="20" t="s">
        <v>2564</v>
      </c>
      <c r="E54" s="20" t="s">
        <v>2543</v>
      </c>
      <c r="F54" s="20" t="s">
        <v>2486</v>
      </c>
      <c r="G54" s="20" t="s">
        <v>2486</v>
      </c>
      <c r="H54" s="20" t="s">
        <v>2543</v>
      </c>
      <c r="I54" s="20" t="s">
        <v>2543</v>
      </c>
      <c r="J54" s="20" t="s">
        <v>2543</v>
      </c>
      <c r="K54" s="20" t="s">
        <v>2543</v>
      </c>
      <c r="L54" s="20" t="s">
        <v>2543</v>
      </c>
      <c r="M54" s="20" t="s">
        <v>2486</v>
      </c>
      <c r="N54" s="20" t="s">
        <v>2486</v>
      </c>
      <c r="O54" s="20" t="s">
        <v>2501</v>
      </c>
      <c r="P54" s="20" t="s">
        <v>2501</v>
      </c>
      <c r="Q54" s="20" t="s">
        <v>2501</v>
      </c>
      <c r="R54" s="20" t="s">
        <v>2501</v>
      </c>
      <c r="S54" s="20" t="s">
        <v>2501</v>
      </c>
      <c r="T54" s="20" t="s">
        <v>2486</v>
      </c>
      <c r="U54" s="20" t="s">
        <v>2486</v>
      </c>
      <c r="V54" s="20" t="s">
        <v>2543</v>
      </c>
      <c r="W54" s="19" t="s">
        <v>2543</v>
      </c>
      <c r="X54" s="20" t="s">
        <v>2543</v>
      </c>
      <c r="Y54" s="20" t="s">
        <v>2543</v>
      </c>
      <c r="Z54" s="20" t="s">
        <v>2543</v>
      </c>
      <c r="AA54" s="20" t="s">
        <v>2543</v>
      </c>
      <c r="AB54" s="20" t="s">
        <v>2486</v>
      </c>
      <c r="AC54" s="20" t="s">
        <v>2543</v>
      </c>
      <c r="AD54" s="20" t="s">
        <v>2543</v>
      </c>
      <c r="AE54" s="20" t="s">
        <v>2570</v>
      </c>
      <c r="AF54" s="20" t="s">
        <v>2486</v>
      </c>
      <c r="AG54" s="48" t="s">
        <v>2486</v>
      </c>
      <c r="AH54" s="48" t="s">
        <v>2486</v>
      </c>
      <c r="AI54" s="48" t="s">
        <v>2574</v>
      </c>
      <c r="AJ54" s="50" t="s">
        <v>2567</v>
      </c>
      <c r="AK54" s="53" t="s">
        <v>75</v>
      </c>
      <c r="AL54" s="20" t="s">
        <v>75</v>
      </c>
      <c r="AM54" s="20"/>
      <c r="AN54" s="20"/>
      <c r="AO54" s="3"/>
      <c r="AP54" s="7">
        <f>VLOOKUP(B:B,Table3[#All],4,0)</f>
        <v>5100</v>
      </c>
      <c r="AQ54" s="7">
        <f>calcShift1(Таблица1[[#This Row],[Столбец5]:[Столбец36]])</f>
        <v>119</v>
      </c>
      <c r="AR54" s="7">
        <f>calcShift2(Таблица1[[#This Row],[Столбец5]:[Столбец36]])</f>
        <v>0</v>
      </c>
      <c r="AS54" s="7">
        <f>calcShift3(Таблица1[[#This Row],[Столбец5]:[Столбец36]])</f>
        <v>0</v>
      </c>
      <c r="AT54" s="7"/>
      <c r="AU54" s="7">
        <f>calcYavka(Таблица1[[#This Row],[Столбец5]:[Столбец36]])</f>
        <v>15</v>
      </c>
      <c r="AV54" s="9"/>
      <c r="AW54" s="18">
        <f>VLOOKUP(B:B,ДОП_ВСІ!B:AS,44,0)</f>
        <v>0</v>
      </c>
      <c r="AX54" s="7">
        <f>VLOOKUP(B:B,ДОП_ВСІ!B:AQ,42,0)</f>
        <v>0</v>
      </c>
      <c r="AY54" s="7"/>
      <c r="AZ54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54" s="6"/>
      <c r="BB54" s="47">
        <f>calcTS(Таблица1[[#This Row],[Столбец5]:[Столбец36]])</f>
        <v>0</v>
      </c>
    </row>
    <row r="55" spans="1:54" ht="42" x14ac:dyDescent="0.35">
      <c r="A55" s="33" t="s">
        <v>199</v>
      </c>
      <c r="B55" s="24" t="s">
        <v>200</v>
      </c>
      <c r="C55" s="20" t="s">
        <v>201</v>
      </c>
      <c r="D55" s="20" t="s">
        <v>2564</v>
      </c>
      <c r="E55" s="20" t="s">
        <v>2543</v>
      </c>
      <c r="F55" s="20" t="s">
        <v>2486</v>
      </c>
      <c r="G55" s="20" t="s">
        <v>2486</v>
      </c>
      <c r="H55" s="20" t="s">
        <v>2543</v>
      </c>
      <c r="I55" s="20" t="s">
        <v>2543</v>
      </c>
      <c r="J55" s="20" t="s">
        <v>2543</v>
      </c>
      <c r="K55" s="20" t="s">
        <v>2543</v>
      </c>
      <c r="L55" s="19" t="s">
        <v>2543</v>
      </c>
      <c r="M55" s="19" t="s">
        <v>2486</v>
      </c>
      <c r="N55" s="19" t="s">
        <v>2486</v>
      </c>
      <c r="O55" s="19" t="s">
        <v>2543</v>
      </c>
      <c r="P55" s="20" t="s">
        <v>2543</v>
      </c>
      <c r="Q55" s="20" t="s">
        <v>2543</v>
      </c>
      <c r="R55" s="20" t="s">
        <v>2543</v>
      </c>
      <c r="S55" s="20" t="s">
        <v>2543</v>
      </c>
      <c r="T55" s="20" t="s">
        <v>2486</v>
      </c>
      <c r="U55" s="20" t="s">
        <v>2486</v>
      </c>
      <c r="V55" s="20" t="s">
        <v>2543</v>
      </c>
      <c r="W55" s="20" t="s">
        <v>2543</v>
      </c>
      <c r="X55" s="19" t="s">
        <v>2543</v>
      </c>
      <c r="Y55" s="20" t="s">
        <v>2543</v>
      </c>
      <c r="Z55" s="19" t="s">
        <v>2543</v>
      </c>
      <c r="AA55" s="19" t="s">
        <v>2543</v>
      </c>
      <c r="AB55" s="20" t="s">
        <v>2486</v>
      </c>
      <c r="AC55" s="20" t="s">
        <v>2543</v>
      </c>
      <c r="AD55" s="20" t="s">
        <v>2543</v>
      </c>
      <c r="AE55" s="19" t="s">
        <v>2570</v>
      </c>
      <c r="AF55" s="19" t="s">
        <v>2486</v>
      </c>
      <c r="AG55" s="48" t="s">
        <v>2486</v>
      </c>
      <c r="AH55" s="48" t="s">
        <v>2486</v>
      </c>
      <c r="AI55" s="48" t="s">
        <v>2567</v>
      </c>
      <c r="AJ55" s="50" t="s">
        <v>2567</v>
      </c>
      <c r="AK55" s="54" t="s">
        <v>54</v>
      </c>
      <c r="AL55" s="20" t="s">
        <v>55</v>
      </c>
      <c r="AM55" s="20"/>
      <c r="AN55" s="20"/>
      <c r="AO55" s="3"/>
      <c r="AP55" s="7">
        <f>VLOOKUP(B:B,Table3[#All],4,0)</f>
        <v>6500</v>
      </c>
      <c r="AQ55" s="7">
        <f>calcShift1(Таблица1[[#This Row],[Столбец5]:[Столбец36]])</f>
        <v>158.99999999999994</v>
      </c>
      <c r="AR55" s="7">
        <f>calcShift2(Таблица1[[#This Row],[Столбец5]:[Столбец36]])</f>
        <v>0</v>
      </c>
      <c r="AS55" s="7">
        <f>calcShift3(Таблица1[[#This Row],[Столбец5]:[Столбец36]])</f>
        <v>0</v>
      </c>
      <c r="AT55" s="7"/>
      <c r="AU55" s="7">
        <f>calcYavka(Таблица1[[#This Row],[Столбец5]:[Столбец36]])</f>
        <v>20</v>
      </c>
      <c r="AV55" s="9"/>
      <c r="AW55" s="18">
        <f>VLOOKUP(B:B,ДОП_ВСІ!B:AS,44,0)</f>
        <v>0</v>
      </c>
      <c r="AX55" s="7">
        <f>VLOOKUP(B:B,ДОП_ВСІ!B:AQ,42,0)</f>
        <v>0</v>
      </c>
      <c r="AY55" s="7"/>
      <c r="AZ55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55" s="6"/>
      <c r="BB55" s="47">
        <f>calcTS(Таблица1[[#This Row],[Столбец5]:[Столбец36]])</f>
        <v>0</v>
      </c>
    </row>
    <row r="56" spans="1:54" ht="42" x14ac:dyDescent="0.35">
      <c r="A56" s="33" t="s">
        <v>202</v>
      </c>
      <c r="B56" s="24" t="s">
        <v>203</v>
      </c>
      <c r="C56" s="20" t="s">
        <v>173</v>
      </c>
      <c r="D56" s="20" t="s">
        <v>2564</v>
      </c>
      <c r="E56" s="20" t="s">
        <v>2543</v>
      </c>
      <c r="F56" s="20" t="s">
        <v>2486</v>
      </c>
      <c r="G56" s="20" t="s">
        <v>2486</v>
      </c>
      <c r="H56" s="20" t="s">
        <v>2543</v>
      </c>
      <c r="I56" s="20" t="s">
        <v>2543</v>
      </c>
      <c r="J56" s="20" t="s">
        <v>2543</v>
      </c>
      <c r="K56" s="20" t="s">
        <v>2543</v>
      </c>
      <c r="L56" s="19" t="s">
        <v>2543</v>
      </c>
      <c r="M56" s="19" t="s">
        <v>2486</v>
      </c>
      <c r="N56" s="19" t="s">
        <v>2486</v>
      </c>
      <c r="O56" s="68" t="s">
        <v>2543</v>
      </c>
      <c r="P56" s="20" t="s">
        <v>2543</v>
      </c>
      <c r="Q56" s="20" t="s">
        <v>2543</v>
      </c>
      <c r="R56" s="20" t="s">
        <v>2543</v>
      </c>
      <c r="S56" s="20" t="s">
        <v>2543</v>
      </c>
      <c r="T56" s="20" t="s">
        <v>2486</v>
      </c>
      <c r="U56" s="20" t="s">
        <v>2486</v>
      </c>
      <c r="V56" s="20" t="s">
        <v>2543</v>
      </c>
      <c r="W56" s="20" t="s">
        <v>2543</v>
      </c>
      <c r="X56" s="20" t="s">
        <v>2543</v>
      </c>
      <c r="Y56" s="20" t="s">
        <v>2543</v>
      </c>
      <c r="Z56" s="20" t="s">
        <v>2543</v>
      </c>
      <c r="AA56" s="20" t="s">
        <v>2543</v>
      </c>
      <c r="AB56" s="20" t="s">
        <v>2486</v>
      </c>
      <c r="AC56" s="20" t="s">
        <v>2543</v>
      </c>
      <c r="AD56" s="20" t="s">
        <v>2543</v>
      </c>
      <c r="AE56" s="20" t="s">
        <v>2570</v>
      </c>
      <c r="AF56" s="20" t="s">
        <v>2486</v>
      </c>
      <c r="AG56" s="48" t="s">
        <v>2486</v>
      </c>
      <c r="AH56" s="48" t="s">
        <v>2486</v>
      </c>
      <c r="AI56" s="48" t="s">
        <v>2567</v>
      </c>
      <c r="AJ56" s="50" t="s">
        <v>2567</v>
      </c>
      <c r="AK56" s="53" t="s">
        <v>54</v>
      </c>
      <c r="AL56" s="20" t="s">
        <v>55</v>
      </c>
      <c r="AM56" s="20"/>
      <c r="AN56" s="20"/>
      <c r="AO56" s="3"/>
      <c r="AP56" s="7">
        <f>VLOOKUP(B:B,Table3[#All],4,0)</f>
        <v>7500</v>
      </c>
      <c r="AQ56" s="7">
        <f>calcShift1(Таблица1[[#This Row],[Столбец5]:[Столбец36]])</f>
        <v>158.99999999999994</v>
      </c>
      <c r="AR56" s="7">
        <f>calcShift2(Таблица1[[#This Row],[Столбец5]:[Столбец36]])</f>
        <v>0</v>
      </c>
      <c r="AS56" s="7">
        <f>calcShift3(Таблица1[[#This Row],[Столбец5]:[Столбец36]])</f>
        <v>0</v>
      </c>
      <c r="AT56" s="7"/>
      <c r="AU56" s="7">
        <f>calcYavka(Таблица1[[#This Row],[Столбец5]:[Столбец36]])</f>
        <v>20</v>
      </c>
      <c r="AV56" s="9"/>
      <c r="AW56" s="18">
        <f>VLOOKUP(B:B,ДОП_ВСІ!B:AS,44,0)</f>
        <v>0</v>
      </c>
      <c r="AX56" s="7">
        <f>VLOOKUP(B:B,ДОП_ВСІ!B:AQ,42,0)</f>
        <v>0</v>
      </c>
      <c r="AY56" s="7"/>
      <c r="AZ56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56" s="6"/>
      <c r="BB56" s="47">
        <f>calcTS(Таблица1[[#This Row],[Столбец5]:[Столбец36]])</f>
        <v>0</v>
      </c>
    </row>
    <row r="57" spans="1:54" ht="42" x14ac:dyDescent="0.35">
      <c r="A57" s="33" t="s">
        <v>204</v>
      </c>
      <c r="B57" s="24" t="s">
        <v>205</v>
      </c>
      <c r="C57" s="20" t="s">
        <v>185</v>
      </c>
      <c r="D57" s="20" t="s">
        <v>2564</v>
      </c>
      <c r="E57" s="19" t="s">
        <v>2543</v>
      </c>
      <c r="F57" s="19" t="s">
        <v>2486</v>
      </c>
      <c r="G57" s="19" t="s">
        <v>2486</v>
      </c>
      <c r="H57" s="20" t="s">
        <v>2543</v>
      </c>
      <c r="I57" s="20" t="s">
        <v>2543</v>
      </c>
      <c r="J57" s="19" t="s">
        <v>2543</v>
      </c>
      <c r="K57" s="20" t="s">
        <v>2543</v>
      </c>
      <c r="L57" s="20" t="s">
        <v>2543</v>
      </c>
      <c r="M57" s="20" t="s">
        <v>2486</v>
      </c>
      <c r="N57" s="20" t="s">
        <v>2486</v>
      </c>
      <c r="O57" s="20" t="s">
        <v>2543</v>
      </c>
      <c r="P57" s="20" t="s">
        <v>2543</v>
      </c>
      <c r="Q57" s="19" t="s">
        <v>2543</v>
      </c>
      <c r="R57" s="20" t="s">
        <v>2543</v>
      </c>
      <c r="S57" s="20" t="s">
        <v>2543</v>
      </c>
      <c r="T57" s="20" t="s">
        <v>2486</v>
      </c>
      <c r="U57" s="20" t="s">
        <v>2486</v>
      </c>
      <c r="V57" s="20" t="s">
        <v>2543</v>
      </c>
      <c r="W57" s="20" t="s">
        <v>2543</v>
      </c>
      <c r="X57" s="20" t="s">
        <v>2543</v>
      </c>
      <c r="Y57" s="20" t="s">
        <v>2543</v>
      </c>
      <c r="Z57" s="20" t="s">
        <v>2543</v>
      </c>
      <c r="AA57" s="20" t="s">
        <v>2485</v>
      </c>
      <c r="AB57" s="20" t="s">
        <v>2486</v>
      </c>
      <c r="AC57" s="68" t="s">
        <v>2485</v>
      </c>
      <c r="AD57" s="20" t="s">
        <v>2485</v>
      </c>
      <c r="AE57" s="20" t="s">
        <v>2485</v>
      </c>
      <c r="AF57" s="20" t="s">
        <v>2486</v>
      </c>
      <c r="AG57" s="48" t="s">
        <v>2486</v>
      </c>
      <c r="AH57" s="48" t="s">
        <v>2486</v>
      </c>
      <c r="AI57" s="48" t="s">
        <v>2578</v>
      </c>
      <c r="AJ57" s="50" t="s">
        <v>2567</v>
      </c>
      <c r="AK57" s="53" t="s">
        <v>76</v>
      </c>
      <c r="AL57" s="19" t="s">
        <v>74</v>
      </c>
      <c r="AM57" s="19"/>
      <c r="AN57" s="20"/>
      <c r="AO57" s="3"/>
      <c r="AP57" s="7">
        <f>VLOOKUP(B:B,Table3[#All],4,0)</f>
        <v>9000</v>
      </c>
      <c r="AQ57" s="7">
        <f>calcShift1(Таблица1[[#This Row],[Столбец5]:[Столбец36]])</f>
        <v>127.99999999999997</v>
      </c>
      <c r="AR57" s="7">
        <f>calcShift2(Таблица1[[#This Row],[Столбец5]:[Столбец36]])</f>
        <v>0</v>
      </c>
      <c r="AS57" s="7">
        <f>calcShift3(Таблица1[[#This Row],[Столбец5]:[Столбец36]])</f>
        <v>0</v>
      </c>
      <c r="AT57" s="7"/>
      <c r="AU57" s="7">
        <f>calcYavka(Таблица1[[#This Row],[Столбец5]:[Столбец36]])</f>
        <v>16</v>
      </c>
      <c r="AV57" s="9"/>
      <c r="AW57" s="18">
        <f>VLOOKUP(B:B,ДОП_ВСІ!B:AS,44,0)</f>
        <v>787.5</v>
      </c>
      <c r="AX57" s="7">
        <f>VLOOKUP(B:B,ДОП_ВСІ!B:AQ,42,0)</f>
        <v>0</v>
      </c>
      <c r="AY57" s="7"/>
      <c r="AZ57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57" s="6"/>
      <c r="BB57" s="47">
        <f>calcTS(Таблица1[[#This Row],[Столбец5]:[Столбец36]])</f>
        <v>0</v>
      </c>
    </row>
    <row r="58" spans="1:54" ht="42" x14ac:dyDescent="0.35">
      <c r="A58" s="33" t="s">
        <v>206</v>
      </c>
      <c r="B58" s="24" t="s">
        <v>207</v>
      </c>
      <c r="C58" s="20" t="s">
        <v>164</v>
      </c>
      <c r="D58" s="20" t="s">
        <v>2564</v>
      </c>
      <c r="E58" s="19" t="s">
        <v>2543</v>
      </c>
      <c r="F58" s="19" t="s">
        <v>2486</v>
      </c>
      <c r="G58" s="19" t="s">
        <v>2486</v>
      </c>
      <c r="H58" s="20" t="s">
        <v>2543</v>
      </c>
      <c r="I58" s="20" t="s">
        <v>2543</v>
      </c>
      <c r="J58" s="20" t="s">
        <v>2543</v>
      </c>
      <c r="K58" s="20" t="s">
        <v>2543</v>
      </c>
      <c r="L58" s="19" t="s">
        <v>2543</v>
      </c>
      <c r="M58" s="20" t="s">
        <v>2486</v>
      </c>
      <c r="N58" s="20" t="s">
        <v>2486</v>
      </c>
      <c r="O58" s="20" t="s">
        <v>2543</v>
      </c>
      <c r="P58" s="20" t="s">
        <v>2543</v>
      </c>
      <c r="Q58" s="19" t="s">
        <v>2543</v>
      </c>
      <c r="R58" s="19" t="s">
        <v>2543</v>
      </c>
      <c r="S58" s="20" t="s">
        <v>2543</v>
      </c>
      <c r="T58" s="20" t="s">
        <v>2486</v>
      </c>
      <c r="U58" s="20" t="s">
        <v>2486</v>
      </c>
      <c r="V58" s="19" t="s">
        <v>2543</v>
      </c>
      <c r="W58" s="20" t="s">
        <v>2543</v>
      </c>
      <c r="X58" s="20" t="s">
        <v>2543</v>
      </c>
      <c r="Y58" s="19" t="s">
        <v>2543</v>
      </c>
      <c r="Z58" s="20" t="s">
        <v>2543</v>
      </c>
      <c r="AA58" s="20" t="s">
        <v>2543</v>
      </c>
      <c r="AB58" s="19" t="s">
        <v>2486</v>
      </c>
      <c r="AC58" s="20" t="s">
        <v>2543</v>
      </c>
      <c r="AD58" s="20" t="s">
        <v>2543</v>
      </c>
      <c r="AE58" s="20" t="s">
        <v>2570</v>
      </c>
      <c r="AF58" s="20" t="s">
        <v>2486</v>
      </c>
      <c r="AG58" s="48" t="s">
        <v>2486</v>
      </c>
      <c r="AH58" s="48" t="s">
        <v>2486</v>
      </c>
      <c r="AI58" s="48" t="s">
        <v>2567</v>
      </c>
      <c r="AJ58" s="50" t="s">
        <v>2567</v>
      </c>
      <c r="AK58" s="53" t="s">
        <v>54</v>
      </c>
      <c r="AL58" s="20" t="s">
        <v>55</v>
      </c>
      <c r="AM58" s="20"/>
      <c r="AN58" s="20"/>
      <c r="AO58" s="3"/>
      <c r="AP58" s="7">
        <f>VLOOKUP(B:B,Table3[#All],4,0)</f>
        <v>6500</v>
      </c>
      <c r="AQ58" s="7">
        <f>calcShift1(Таблица1[[#This Row],[Столбец5]:[Столбец36]])</f>
        <v>158.99999999999994</v>
      </c>
      <c r="AR58" s="7">
        <f>calcShift2(Таблица1[[#This Row],[Столбец5]:[Столбец36]])</f>
        <v>0</v>
      </c>
      <c r="AS58" s="7">
        <f>calcShift3(Таблица1[[#This Row],[Столбец5]:[Столбец36]])</f>
        <v>0</v>
      </c>
      <c r="AT58" s="7"/>
      <c r="AU58" s="7">
        <f>calcYavka(Таблица1[[#This Row],[Столбец5]:[Столбец36]])</f>
        <v>20</v>
      </c>
      <c r="AV58" s="9"/>
      <c r="AW58" s="18">
        <f>VLOOKUP(B:B,ДОП_ВСІ!B:AS,44,0)</f>
        <v>0</v>
      </c>
      <c r="AX58" s="7">
        <f>VLOOKUP(B:B,ДОП_ВСІ!B:AQ,42,0)</f>
        <v>0</v>
      </c>
      <c r="AY58" s="7"/>
      <c r="AZ58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58" s="6"/>
      <c r="BB58" s="47">
        <f>calcTS(Таблица1[[#This Row],[Столбец5]:[Столбец36]])</f>
        <v>0</v>
      </c>
    </row>
    <row r="59" spans="1:54" ht="42" x14ac:dyDescent="0.35">
      <c r="A59" s="33" t="s">
        <v>208</v>
      </c>
      <c r="B59" s="24" t="s">
        <v>209</v>
      </c>
      <c r="C59" s="20" t="s">
        <v>179</v>
      </c>
      <c r="D59" s="20" t="s">
        <v>2564</v>
      </c>
      <c r="E59" s="20" t="s">
        <v>2543</v>
      </c>
      <c r="F59" s="19" t="s">
        <v>2486</v>
      </c>
      <c r="G59" s="19" t="s">
        <v>2486</v>
      </c>
      <c r="H59" s="19" t="s">
        <v>2543</v>
      </c>
      <c r="I59" s="19" t="s">
        <v>2543</v>
      </c>
      <c r="J59" s="20" t="s">
        <v>2543</v>
      </c>
      <c r="K59" s="20" t="s">
        <v>2543</v>
      </c>
      <c r="L59" s="20" t="s">
        <v>2543</v>
      </c>
      <c r="M59" s="19" t="s">
        <v>2486</v>
      </c>
      <c r="N59" s="20" t="s">
        <v>2486</v>
      </c>
      <c r="O59" s="20" t="s">
        <v>2543</v>
      </c>
      <c r="P59" s="20" t="s">
        <v>2543</v>
      </c>
      <c r="Q59" s="20" t="s">
        <v>2543</v>
      </c>
      <c r="R59" s="20" t="s">
        <v>2543</v>
      </c>
      <c r="S59" s="20" t="s">
        <v>2543</v>
      </c>
      <c r="T59" s="20" t="s">
        <v>2486</v>
      </c>
      <c r="U59" s="19" t="s">
        <v>2486</v>
      </c>
      <c r="V59" s="19" t="s">
        <v>2543</v>
      </c>
      <c r="W59" s="19" t="s">
        <v>2543</v>
      </c>
      <c r="X59" s="19" t="s">
        <v>2543</v>
      </c>
      <c r="Y59" s="20" t="s">
        <v>2543</v>
      </c>
      <c r="Z59" s="20" t="s">
        <v>2543</v>
      </c>
      <c r="AA59" s="19" t="s">
        <v>2543</v>
      </c>
      <c r="AB59" s="19" t="s">
        <v>2486</v>
      </c>
      <c r="AC59" s="19" t="s">
        <v>2543</v>
      </c>
      <c r="AD59" s="19" t="s">
        <v>2543</v>
      </c>
      <c r="AE59" s="20" t="s">
        <v>2570</v>
      </c>
      <c r="AF59" s="20" t="s">
        <v>2486</v>
      </c>
      <c r="AG59" s="48" t="s">
        <v>2486</v>
      </c>
      <c r="AH59" s="48" t="s">
        <v>2486</v>
      </c>
      <c r="AI59" s="48" t="s">
        <v>2567</v>
      </c>
      <c r="AJ59" s="50" t="s">
        <v>2567</v>
      </c>
      <c r="AK59" s="53" t="s">
        <v>54</v>
      </c>
      <c r="AL59" s="19" t="s">
        <v>55</v>
      </c>
      <c r="AM59" s="20"/>
      <c r="AN59" s="20"/>
      <c r="AO59" s="3"/>
      <c r="AP59" s="7">
        <f>VLOOKUP(B:B,Table3[#All],4,0)</f>
        <v>7000</v>
      </c>
      <c r="AQ59" s="7">
        <f>calcShift1(Таблица1[[#This Row],[Столбец5]:[Столбец36]])</f>
        <v>158.99999999999994</v>
      </c>
      <c r="AR59" s="7">
        <f>calcShift2(Таблица1[[#This Row],[Столбец5]:[Столбец36]])</f>
        <v>0</v>
      </c>
      <c r="AS59" s="7">
        <f>calcShift3(Таблица1[[#This Row],[Столбец5]:[Столбец36]])</f>
        <v>0</v>
      </c>
      <c r="AT59" s="7"/>
      <c r="AU59" s="7">
        <f>calcYavka(Таблица1[[#This Row],[Столбец5]:[Столбец36]])</f>
        <v>20</v>
      </c>
      <c r="AV59" s="9"/>
      <c r="AW59" s="18">
        <f>VLOOKUP(B:B,ДОП_ВСІ!B:AS,44,0)</f>
        <v>525</v>
      </c>
      <c r="AX59" s="7">
        <f>VLOOKUP(B:B,ДОП_ВСІ!B:AQ,42,0)</f>
        <v>0</v>
      </c>
      <c r="AY59" s="7"/>
      <c r="AZ59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59" s="6"/>
      <c r="BB59" s="47">
        <f>calcTS(Таблица1[[#This Row],[Столбец5]:[Столбец36]])</f>
        <v>0</v>
      </c>
    </row>
    <row r="60" spans="1:54" ht="42" x14ac:dyDescent="0.35">
      <c r="A60" s="33" t="s">
        <v>210</v>
      </c>
      <c r="B60" s="24" t="s">
        <v>211</v>
      </c>
      <c r="C60" s="20" t="s">
        <v>212</v>
      </c>
      <c r="D60" s="20" t="s">
        <v>2564</v>
      </c>
      <c r="E60" s="20" t="s">
        <v>2543</v>
      </c>
      <c r="F60" s="19" t="s">
        <v>2486</v>
      </c>
      <c r="G60" s="19" t="s">
        <v>2486</v>
      </c>
      <c r="H60" s="19" t="s">
        <v>141</v>
      </c>
      <c r="I60" s="20" t="s">
        <v>141</v>
      </c>
      <c r="J60" s="19" t="s">
        <v>2531</v>
      </c>
      <c r="K60" s="20" t="s">
        <v>2531</v>
      </c>
      <c r="L60" s="20" t="s">
        <v>2531</v>
      </c>
      <c r="M60" s="19" t="s">
        <v>2486</v>
      </c>
      <c r="N60" s="19" t="s">
        <v>2486</v>
      </c>
      <c r="O60" s="20" t="s">
        <v>2543</v>
      </c>
      <c r="P60" s="19" t="s">
        <v>2543</v>
      </c>
      <c r="Q60" s="20" t="s">
        <v>2543</v>
      </c>
      <c r="R60" s="20" t="s">
        <v>2543</v>
      </c>
      <c r="S60" s="20" t="s">
        <v>2543</v>
      </c>
      <c r="T60" s="20" t="s">
        <v>2486</v>
      </c>
      <c r="U60" s="19" t="s">
        <v>2486</v>
      </c>
      <c r="V60" s="19" t="s">
        <v>2543</v>
      </c>
      <c r="W60" s="19" t="s">
        <v>2543</v>
      </c>
      <c r="X60" s="19" t="s">
        <v>2543</v>
      </c>
      <c r="Y60" s="20" t="s">
        <v>2543</v>
      </c>
      <c r="Z60" s="20" t="s">
        <v>2543</v>
      </c>
      <c r="AA60" s="19" t="s">
        <v>2543</v>
      </c>
      <c r="AB60" s="19" t="s">
        <v>2486</v>
      </c>
      <c r="AC60" s="19" t="s">
        <v>141</v>
      </c>
      <c r="AD60" s="19" t="s">
        <v>2543</v>
      </c>
      <c r="AE60" s="19" t="s">
        <v>2570</v>
      </c>
      <c r="AF60" s="20" t="s">
        <v>2486</v>
      </c>
      <c r="AG60" s="48" t="s">
        <v>2486</v>
      </c>
      <c r="AH60" s="48" t="s">
        <v>2486</v>
      </c>
      <c r="AI60" s="48" t="s">
        <v>2579</v>
      </c>
      <c r="AJ60" s="50" t="s">
        <v>2567</v>
      </c>
      <c r="AK60" s="53" t="s">
        <v>52</v>
      </c>
      <c r="AL60" s="20" t="s">
        <v>69</v>
      </c>
      <c r="AM60" s="20"/>
      <c r="AN60" s="20"/>
      <c r="AO60" s="3"/>
      <c r="AP60" s="7">
        <f>VLOOKUP(B:B,Table3[#All],4,0)</f>
        <v>6500</v>
      </c>
      <c r="AQ60" s="7">
        <f>calcShift1(Таблица1[[#This Row],[Столбец5]:[Столбец36]])</f>
        <v>134.99999999999997</v>
      </c>
      <c r="AR60" s="7">
        <f>calcShift2(Таблица1[[#This Row],[Столбец5]:[Столбец36]])</f>
        <v>0</v>
      </c>
      <c r="AS60" s="7">
        <f>calcShift3(Таблица1[[#This Row],[Столбец5]:[Столбец36]])</f>
        <v>0</v>
      </c>
      <c r="AT60" s="7"/>
      <c r="AU60" s="7">
        <f>calcYavka(Таблица1[[#This Row],[Столбец5]:[Столбец36]])</f>
        <v>17</v>
      </c>
      <c r="AV60" s="9"/>
      <c r="AW60" s="18">
        <f>VLOOKUP(B:B,ДОП_ВСІ!B:AS,44,0)</f>
        <v>975</v>
      </c>
      <c r="AX60" s="7">
        <f>VLOOKUP(B:B,ДОП_ВСІ!B:AQ,42,0)</f>
        <v>0</v>
      </c>
      <c r="AY60" s="7"/>
      <c r="AZ60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60" s="6"/>
      <c r="BB60" s="47">
        <f>calcTS(Таблица1[[#This Row],[Столбец5]:[Столбец36]])</f>
        <v>0</v>
      </c>
    </row>
    <row r="61" spans="1:54" ht="42" x14ac:dyDescent="0.35">
      <c r="A61" s="33" t="s">
        <v>213</v>
      </c>
      <c r="B61" s="24" t="s">
        <v>214</v>
      </c>
      <c r="C61" s="20" t="s">
        <v>164</v>
      </c>
      <c r="D61" s="20" t="s">
        <v>2564</v>
      </c>
      <c r="E61" s="20" t="s">
        <v>2543</v>
      </c>
      <c r="F61" s="20" t="s">
        <v>2486</v>
      </c>
      <c r="G61" s="20" t="s">
        <v>2486</v>
      </c>
      <c r="H61" s="20" t="s">
        <v>141</v>
      </c>
      <c r="I61" s="20" t="s">
        <v>141</v>
      </c>
      <c r="J61" s="20" t="s">
        <v>141</v>
      </c>
      <c r="K61" s="20" t="s">
        <v>141</v>
      </c>
      <c r="L61" s="20" t="s">
        <v>141</v>
      </c>
      <c r="M61" s="19" t="s">
        <v>2486</v>
      </c>
      <c r="N61" s="19" t="s">
        <v>2486</v>
      </c>
      <c r="O61" s="19" t="s">
        <v>2543</v>
      </c>
      <c r="P61" s="19" t="s">
        <v>2543</v>
      </c>
      <c r="Q61" s="20" t="s">
        <v>2543</v>
      </c>
      <c r="R61" s="20" t="s">
        <v>2543</v>
      </c>
      <c r="S61" s="20" t="s">
        <v>2543</v>
      </c>
      <c r="T61" s="20" t="s">
        <v>2486</v>
      </c>
      <c r="U61" s="19" t="s">
        <v>2486</v>
      </c>
      <c r="V61" s="19" t="s">
        <v>2543</v>
      </c>
      <c r="W61" s="19" t="s">
        <v>2543</v>
      </c>
      <c r="X61" s="19" t="s">
        <v>2543</v>
      </c>
      <c r="Y61" s="20" t="s">
        <v>2543</v>
      </c>
      <c r="Z61" s="20" t="s">
        <v>2543</v>
      </c>
      <c r="AA61" s="19" t="s">
        <v>2543</v>
      </c>
      <c r="AB61" s="19" t="s">
        <v>2486</v>
      </c>
      <c r="AC61" s="20" t="s">
        <v>141</v>
      </c>
      <c r="AD61" s="19" t="s">
        <v>2543</v>
      </c>
      <c r="AE61" s="19" t="s">
        <v>2570</v>
      </c>
      <c r="AF61" s="19" t="s">
        <v>2486</v>
      </c>
      <c r="AG61" s="48" t="s">
        <v>2486</v>
      </c>
      <c r="AH61" s="48" t="s">
        <v>2486</v>
      </c>
      <c r="AI61" s="48" t="s">
        <v>2567</v>
      </c>
      <c r="AJ61" s="50" t="s">
        <v>2567</v>
      </c>
      <c r="AK61" s="53" t="s">
        <v>54</v>
      </c>
      <c r="AL61" s="20" t="s">
        <v>55</v>
      </c>
      <c r="AM61" s="20"/>
      <c r="AN61" s="20"/>
      <c r="AO61" s="3"/>
      <c r="AP61" s="7">
        <f>VLOOKUP(B:B,Table3[#All],4,0)</f>
        <v>7500</v>
      </c>
      <c r="AQ61" s="7">
        <f>calcShift1(Таблица1[[#This Row],[Столбец5]:[Столбец36]])</f>
        <v>158.99999999999994</v>
      </c>
      <c r="AR61" s="7">
        <f>calcShift2(Таблица1[[#This Row],[Столбец5]:[Столбец36]])</f>
        <v>0</v>
      </c>
      <c r="AS61" s="7">
        <f>calcShift3(Таблица1[[#This Row],[Столбец5]:[Столбец36]])</f>
        <v>0</v>
      </c>
      <c r="AT61" s="7"/>
      <c r="AU61" s="7">
        <f>calcYavka(Таблица1[[#This Row],[Столбец5]:[Столбец36]])</f>
        <v>20</v>
      </c>
      <c r="AV61" s="9"/>
      <c r="AW61" s="18">
        <f>VLOOKUP(B:B,ДОП_ВСІ!B:AS,44,0)</f>
        <v>1875</v>
      </c>
      <c r="AX61" s="7">
        <f>VLOOKUP(B:B,ДОП_ВСІ!B:AQ,42,0)</f>
        <v>0</v>
      </c>
      <c r="AY61" s="7"/>
      <c r="AZ61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61" s="6"/>
      <c r="BB61" s="47">
        <f>calcTS(Таблица1[[#This Row],[Столбец5]:[Столбец36]])</f>
        <v>0</v>
      </c>
    </row>
    <row r="62" spans="1:54" x14ac:dyDescent="0.35">
      <c r="A62" s="33" t="s">
        <v>215</v>
      </c>
      <c r="B62" s="24" t="s">
        <v>216</v>
      </c>
      <c r="C62" s="20" t="s">
        <v>212</v>
      </c>
      <c r="D62" s="20" t="s">
        <v>2564</v>
      </c>
      <c r="E62" s="20" t="s">
        <v>2543</v>
      </c>
      <c r="F62" s="20" t="s">
        <v>2486</v>
      </c>
      <c r="G62" s="20" t="s">
        <v>2486</v>
      </c>
      <c r="H62" s="20" t="s">
        <v>141</v>
      </c>
      <c r="I62" s="20" t="s">
        <v>141</v>
      </c>
      <c r="J62" s="20" t="s">
        <v>141</v>
      </c>
      <c r="K62" s="20" t="s">
        <v>141</v>
      </c>
      <c r="L62" s="20" t="s">
        <v>141</v>
      </c>
      <c r="M62" s="20" t="s">
        <v>2486</v>
      </c>
      <c r="N62" s="20" t="s">
        <v>2486</v>
      </c>
      <c r="O62" s="20" t="s">
        <v>2543</v>
      </c>
      <c r="P62" s="20" t="s">
        <v>2543</v>
      </c>
      <c r="Q62" s="20" t="s">
        <v>2543</v>
      </c>
      <c r="R62" s="20" t="s">
        <v>2543</v>
      </c>
      <c r="S62" s="20" t="s">
        <v>2543</v>
      </c>
      <c r="T62" s="20" t="s">
        <v>2486</v>
      </c>
      <c r="U62" s="20" t="s">
        <v>2486</v>
      </c>
      <c r="V62" s="20" t="s">
        <v>2543</v>
      </c>
      <c r="W62" s="20" t="s">
        <v>2543</v>
      </c>
      <c r="X62" s="20" t="s">
        <v>2543</v>
      </c>
      <c r="Y62" s="20" t="s">
        <v>2543</v>
      </c>
      <c r="Z62" s="20" t="s">
        <v>2543</v>
      </c>
      <c r="AA62" s="20" t="s">
        <v>2543</v>
      </c>
      <c r="AB62" s="20" t="s">
        <v>2486</v>
      </c>
      <c r="AC62" s="20" t="s">
        <v>141</v>
      </c>
      <c r="AD62" s="20" t="s">
        <v>2543</v>
      </c>
      <c r="AE62" s="20" t="s">
        <v>2570</v>
      </c>
      <c r="AF62" s="20" t="s">
        <v>2486</v>
      </c>
      <c r="AG62" s="48" t="s">
        <v>2486</v>
      </c>
      <c r="AH62" s="48" t="s">
        <v>2486</v>
      </c>
      <c r="AI62" s="48" t="s">
        <v>2567</v>
      </c>
      <c r="AJ62" s="50" t="s">
        <v>2567</v>
      </c>
      <c r="AK62" s="53" t="s">
        <v>54</v>
      </c>
      <c r="AL62" s="19" t="s">
        <v>55</v>
      </c>
      <c r="AM62" s="20"/>
      <c r="AN62" s="20"/>
      <c r="AO62" s="3"/>
      <c r="AP62" s="7">
        <f>VLOOKUP(B:B,Table3[#All],4,0)</f>
        <v>6500</v>
      </c>
      <c r="AQ62" s="7">
        <f>calcShift1(Таблица1[[#This Row],[Столбец5]:[Столбец36]])</f>
        <v>158.99999999999994</v>
      </c>
      <c r="AR62" s="7">
        <f>calcShift2(Таблица1[[#This Row],[Столбец5]:[Столбец36]])</f>
        <v>0</v>
      </c>
      <c r="AS62" s="7">
        <f>calcShift3(Таблица1[[#This Row],[Столбец5]:[Столбец36]])</f>
        <v>0</v>
      </c>
      <c r="AT62" s="7"/>
      <c r="AU62" s="7">
        <f>calcYavka(Таблица1[[#This Row],[Столбец5]:[Столбец36]])</f>
        <v>20</v>
      </c>
      <c r="AV62" s="9"/>
      <c r="AW62" s="18">
        <f>VLOOKUP(B:B,ДОП_ВСІ!B:AS,44,0)</f>
        <v>975</v>
      </c>
      <c r="AX62" s="7">
        <f>VLOOKUP(B:B,ДОП_ВСІ!B:AQ,42,0)</f>
        <v>0</v>
      </c>
      <c r="AY62" s="7"/>
      <c r="AZ62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62" s="6"/>
      <c r="BB62" s="47">
        <f>calcTS(Таблица1[[#This Row],[Столбец5]:[Столбец36]])</f>
        <v>0</v>
      </c>
    </row>
    <row r="63" spans="1:54" ht="42" x14ac:dyDescent="0.35">
      <c r="A63" s="33" t="s">
        <v>217</v>
      </c>
      <c r="B63" s="24" t="s">
        <v>218</v>
      </c>
      <c r="C63" s="20" t="s">
        <v>173</v>
      </c>
      <c r="D63" s="20" t="s">
        <v>2564</v>
      </c>
      <c r="E63" s="20" t="s">
        <v>2543</v>
      </c>
      <c r="F63" s="20" t="s">
        <v>2486</v>
      </c>
      <c r="G63" s="19" t="s">
        <v>2486</v>
      </c>
      <c r="H63" s="19" t="s">
        <v>141</v>
      </c>
      <c r="I63" s="19" t="s">
        <v>141</v>
      </c>
      <c r="J63" s="19" t="s">
        <v>141</v>
      </c>
      <c r="K63" s="20" t="s">
        <v>141</v>
      </c>
      <c r="L63" s="20" t="s">
        <v>141</v>
      </c>
      <c r="M63" s="19" t="s">
        <v>2486</v>
      </c>
      <c r="N63" s="19" t="s">
        <v>2486</v>
      </c>
      <c r="O63" s="20" t="s">
        <v>2543</v>
      </c>
      <c r="P63" s="19" t="s">
        <v>2543</v>
      </c>
      <c r="Q63" s="19" t="s">
        <v>2543</v>
      </c>
      <c r="R63" s="20" t="s">
        <v>2543</v>
      </c>
      <c r="S63" s="20" t="s">
        <v>2543</v>
      </c>
      <c r="T63" s="20" t="s">
        <v>2486</v>
      </c>
      <c r="U63" s="19" t="s">
        <v>2486</v>
      </c>
      <c r="V63" s="19" t="s">
        <v>2543</v>
      </c>
      <c r="W63" s="20" t="s">
        <v>2543</v>
      </c>
      <c r="X63" s="20" t="s">
        <v>2543</v>
      </c>
      <c r="Y63" s="20" t="s">
        <v>2543</v>
      </c>
      <c r="Z63" s="20" t="s">
        <v>2543</v>
      </c>
      <c r="AA63" s="20" t="s">
        <v>2543</v>
      </c>
      <c r="AB63" s="20" t="s">
        <v>2486</v>
      </c>
      <c r="AC63" s="19" t="s">
        <v>141</v>
      </c>
      <c r="AD63" s="19" t="s">
        <v>2543</v>
      </c>
      <c r="AE63" s="19" t="s">
        <v>2570</v>
      </c>
      <c r="AF63" s="20" t="s">
        <v>2486</v>
      </c>
      <c r="AG63" s="48" t="s">
        <v>2486</v>
      </c>
      <c r="AH63" s="48" t="s">
        <v>2486</v>
      </c>
      <c r="AI63" s="48" t="s">
        <v>2567</v>
      </c>
      <c r="AJ63" s="50" t="s">
        <v>2567</v>
      </c>
      <c r="AK63" s="53" t="s">
        <v>54</v>
      </c>
      <c r="AL63" s="20" t="s">
        <v>55</v>
      </c>
      <c r="AM63" s="19"/>
      <c r="AN63" s="20"/>
      <c r="AO63" s="3"/>
      <c r="AP63" s="7">
        <f>VLOOKUP(B:B,Table3[#All],4,0)</f>
        <v>7500</v>
      </c>
      <c r="AQ63" s="7">
        <f>calcShift1(Таблица1[[#This Row],[Столбец5]:[Столбец36]])</f>
        <v>158.99999999999994</v>
      </c>
      <c r="AR63" s="7">
        <f>calcShift2(Таблица1[[#This Row],[Столбец5]:[Столбец36]])</f>
        <v>0</v>
      </c>
      <c r="AS63" s="7">
        <f>calcShift3(Таблица1[[#This Row],[Столбец5]:[Столбец36]])</f>
        <v>0</v>
      </c>
      <c r="AT63" s="7"/>
      <c r="AU63" s="7">
        <f>calcYavka(Таблица1[[#This Row],[Столбец5]:[Столбец36]])</f>
        <v>20</v>
      </c>
      <c r="AV63" s="9"/>
      <c r="AW63" s="18">
        <f>VLOOKUP(B:B,ДОП_ВСІ!B:AS,44,0)</f>
        <v>2812.5</v>
      </c>
      <c r="AX63" s="7">
        <f>VLOOKUP(B:B,ДОП_ВСІ!B:AQ,42,0)</f>
        <v>0</v>
      </c>
      <c r="AY63" s="7"/>
      <c r="AZ63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63" s="6"/>
      <c r="BB63" s="47">
        <f>calcTS(Таблица1[[#This Row],[Столбец5]:[Столбец36]])</f>
        <v>0</v>
      </c>
    </row>
    <row r="64" spans="1:54" ht="42" x14ac:dyDescent="0.35">
      <c r="A64" s="33" t="s">
        <v>219</v>
      </c>
      <c r="B64" s="24" t="s">
        <v>220</v>
      </c>
      <c r="C64" s="20" t="s">
        <v>221</v>
      </c>
      <c r="D64" s="20" t="s">
        <v>2564</v>
      </c>
      <c r="E64" s="20" t="s">
        <v>2501</v>
      </c>
      <c r="F64" s="20" t="s">
        <v>2486</v>
      </c>
      <c r="G64" s="19" t="s">
        <v>2486</v>
      </c>
      <c r="H64" s="19" t="s">
        <v>141</v>
      </c>
      <c r="I64" s="19" t="s">
        <v>141</v>
      </c>
      <c r="J64" s="19" t="s">
        <v>141</v>
      </c>
      <c r="K64" s="20" t="s">
        <v>141</v>
      </c>
      <c r="L64" s="20" t="s">
        <v>141</v>
      </c>
      <c r="M64" s="19" t="s">
        <v>2486</v>
      </c>
      <c r="N64" s="19" t="s">
        <v>2486</v>
      </c>
      <c r="O64" s="19" t="s">
        <v>2543</v>
      </c>
      <c r="P64" s="19" t="s">
        <v>2543</v>
      </c>
      <c r="Q64" s="19" t="s">
        <v>2543</v>
      </c>
      <c r="R64" s="20" t="s">
        <v>2543</v>
      </c>
      <c r="S64" s="20" t="s">
        <v>2543</v>
      </c>
      <c r="T64" s="20" t="s">
        <v>2486</v>
      </c>
      <c r="U64" s="19" t="s">
        <v>2486</v>
      </c>
      <c r="V64" s="20" t="s">
        <v>2543</v>
      </c>
      <c r="W64" s="19" t="s">
        <v>2543</v>
      </c>
      <c r="X64" s="19" t="s">
        <v>2543</v>
      </c>
      <c r="Y64" s="20" t="s">
        <v>141</v>
      </c>
      <c r="Z64" s="20" t="s">
        <v>141</v>
      </c>
      <c r="AA64" s="20" t="s">
        <v>2547</v>
      </c>
      <c r="AB64" s="20" t="s">
        <v>2547</v>
      </c>
      <c r="AC64" s="20" t="s">
        <v>141</v>
      </c>
      <c r="AD64" s="20" t="s">
        <v>2543</v>
      </c>
      <c r="AE64" s="20" t="s">
        <v>2570</v>
      </c>
      <c r="AF64" s="20" t="s">
        <v>2486</v>
      </c>
      <c r="AG64" s="48" t="s">
        <v>2486</v>
      </c>
      <c r="AH64" s="48" t="s">
        <v>2486</v>
      </c>
      <c r="AI64" s="48" t="s">
        <v>2580</v>
      </c>
      <c r="AJ64" s="50" t="s">
        <v>2567</v>
      </c>
      <c r="AK64" s="53" t="s">
        <v>54</v>
      </c>
      <c r="AL64" s="20" t="s">
        <v>55</v>
      </c>
      <c r="AM64" s="19"/>
      <c r="AN64" s="20"/>
      <c r="AO64" s="3"/>
      <c r="AP64" s="7">
        <f>VLOOKUP(B:B,Table3[#All],4,0)</f>
        <v>32000</v>
      </c>
      <c r="AQ64" s="7">
        <f>calcShift1(Таблица1[[#This Row],[Столбец5]:[Столбец36]])</f>
        <v>158.99999999999994</v>
      </c>
      <c r="AR64" s="7">
        <f>calcShift2(Таблица1[[#This Row],[Столбец5]:[Столбец36]])</f>
        <v>0</v>
      </c>
      <c r="AS64" s="7">
        <f>calcShift3(Таблица1[[#This Row],[Столбец5]:[Столбец36]])</f>
        <v>0</v>
      </c>
      <c r="AT64" s="7"/>
      <c r="AU64" s="7">
        <f>calcYavka(Таблица1[[#This Row],[Столбец5]:[Столбец36]])</f>
        <v>20</v>
      </c>
      <c r="AV64" s="9"/>
      <c r="AW64" s="18">
        <f>VLOOKUP(B:B,ДОП_ВСІ!B:AS,44,0)</f>
        <v>0</v>
      </c>
      <c r="AX64" s="7">
        <f>VLOOKUP(B:B,ДОП_ВСІ!B:AQ,42,0)</f>
        <v>0</v>
      </c>
      <c r="AY64" s="7"/>
      <c r="AZ64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64" s="6"/>
      <c r="BB64" s="47">
        <f>calcTS(Таблица1[[#This Row],[Столбец5]:[Столбец36]])</f>
        <v>0</v>
      </c>
    </row>
    <row r="65" spans="1:54" ht="42" x14ac:dyDescent="0.35">
      <c r="A65" s="33" t="s">
        <v>222</v>
      </c>
      <c r="B65" s="24" t="s">
        <v>223</v>
      </c>
      <c r="C65" s="20" t="s">
        <v>164</v>
      </c>
      <c r="D65" s="20" t="s">
        <v>2564</v>
      </c>
      <c r="E65" s="20" t="s">
        <v>2543</v>
      </c>
      <c r="F65" s="19" t="s">
        <v>2486</v>
      </c>
      <c r="G65" s="20" t="s">
        <v>2486</v>
      </c>
      <c r="H65" s="20" t="s">
        <v>141</v>
      </c>
      <c r="I65" s="20" t="s">
        <v>141</v>
      </c>
      <c r="J65" s="19" t="s">
        <v>141</v>
      </c>
      <c r="K65" s="20" t="s">
        <v>141</v>
      </c>
      <c r="L65" s="20" t="s">
        <v>2581</v>
      </c>
      <c r="M65" s="20" t="s">
        <v>2581</v>
      </c>
      <c r="N65" s="68" t="s">
        <v>2581</v>
      </c>
      <c r="O65" s="20" t="s">
        <v>2581</v>
      </c>
      <c r="P65" s="20" t="s">
        <v>2581</v>
      </c>
      <c r="Q65" s="19" t="s">
        <v>2581</v>
      </c>
      <c r="R65" s="20" t="s">
        <v>2581</v>
      </c>
      <c r="S65" s="20" t="s">
        <v>2581</v>
      </c>
      <c r="T65" s="20" t="s">
        <v>2581</v>
      </c>
      <c r="U65" s="20" t="s">
        <v>2581</v>
      </c>
      <c r="V65" s="20" t="s">
        <v>2543</v>
      </c>
      <c r="W65" s="19" t="s">
        <v>2543</v>
      </c>
      <c r="X65" s="19" t="s">
        <v>2543</v>
      </c>
      <c r="Y65" s="20" t="s">
        <v>2543</v>
      </c>
      <c r="Z65" s="20" t="s">
        <v>2543</v>
      </c>
      <c r="AA65" s="20" t="s">
        <v>2543</v>
      </c>
      <c r="AB65" s="20" t="s">
        <v>2486</v>
      </c>
      <c r="AC65" s="19" t="s">
        <v>141</v>
      </c>
      <c r="AD65" s="20" t="s">
        <v>2543</v>
      </c>
      <c r="AE65" s="20" t="s">
        <v>2570</v>
      </c>
      <c r="AF65" s="20" t="s">
        <v>2486</v>
      </c>
      <c r="AG65" s="48" t="s">
        <v>2486</v>
      </c>
      <c r="AH65" s="48" t="s">
        <v>2486</v>
      </c>
      <c r="AI65" s="48" t="s">
        <v>2582</v>
      </c>
      <c r="AJ65" s="50" t="s">
        <v>2567</v>
      </c>
      <c r="AK65" s="53" t="s">
        <v>69</v>
      </c>
      <c r="AL65" s="20" t="s">
        <v>52</v>
      </c>
      <c r="AM65" s="20"/>
      <c r="AN65" s="20"/>
      <c r="AO65" s="3"/>
      <c r="AP65" s="7">
        <f>VLOOKUP(B:B,Table3[#All],4,0)</f>
        <v>6500</v>
      </c>
      <c r="AQ65" s="7">
        <f>calcShift1(Таблица1[[#This Row],[Столбец5]:[Столбец36]])</f>
        <v>111</v>
      </c>
      <c r="AR65" s="7">
        <f>calcShift2(Таблица1[[#This Row],[Столбец5]:[Столбец36]])</f>
        <v>0</v>
      </c>
      <c r="AS65" s="7">
        <f>calcShift3(Таблица1[[#This Row],[Столбец5]:[Столбец36]])</f>
        <v>0</v>
      </c>
      <c r="AT65" s="7"/>
      <c r="AU65" s="7">
        <f>calcYavka(Таблица1[[#This Row],[Столбец5]:[Столбец36]])</f>
        <v>14</v>
      </c>
      <c r="AV65" s="9"/>
      <c r="AW65" s="18">
        <f>VLOOKUP(B:B,ДОП_ВСІ!B:AS,44,0)</f>
        <v>0</v>
      </c>
      <c r="AX65" s="7">
        <f>VLOOKUP(B:B,ДОП_ВСІ!B:AQ,42,0)</f>
        <v>0</v>
      </c>
      <c r="AY65" s="7"/>
      <c r="AZ65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65" s="6"/>
      <c r="BB65" s="47">
        <f>calcTS(Таблица1[[#This Row],[Столбец5]:[Столбец36]])</f>
        <v>0</v>
      </c>
    </row>
    <row r="66" spans="1:54" ht="42" x14ac:dyDescent="0.35">
      <c r="A66" s="33" t="s">
        <v>224</v>
      </c>
      <c r="B66" s="24" t="s">
        <v>225</v>
      </c>
      <c r="C66" s="20" t="s">
        <v>201</v>
      </c>
      <c r="D66" s="20" t="s">
        <v>2564</v>
      </c>
      <c r="E66" s="20" t="s">
        <v>2543</v>
      </c>
      <c r="F66" s="19" t="s">
        <v>2486</v>
      </c>
      <c r="G66" s="19" t="s">
        <v>2486</v>
      </c>
      <c r="H66" s="19" t="s">
        <v>141</v>
      </c>
      <c r="I66" s="19" t="s">
        <v>141</v>
      </c>
      <c r="J66" s="19" t="s">
        <v>141</v>
      </c>
      <c r="K66" s="20" t="s">
        <v>141</v>
      </c>
      <c r="L66" s="20" t="s">
        <v>141</v>
      </c>
      <c r="M66" s="19" t="s">
        <v>2486</v>
      </c>
      <c r="N66" s="19" t="s">
        <v>2486</v>
      </c>
      <c r="O66" s="19" t="s">
        <v>2543</v>
      </c>
      <c r="P66" s="19" t="s">
        <v>2543</v>
      </c>
      <c r="Q66" s="20" t="s">
        <v>2543</v>
      </c>
      <c r="R66" s="20" t="s">
        <v>2575</v>
      </c>
      <c r="S66" s="20" t="s">
        <v>2543</v>
      </c>
      <c r="T66" s="20" t="s">
        <v>2486</v>
      </c>
      <c r="U66" s="19" t="s">
        <v>2486</v>
      </c>
      <c r="V66" s="19" t="s">
        <v>2485</v>
      </c>
      <c r="W66" s="20" t="s">
        <v>2543</v>
      </c>
      <c r="X66" s="20" t="s">
        <v>2485</v>
      </c>
      <c r="Y66" s="20" t="s">
        <v>2575</v>
      </c>
      <c r="Z66" s="20" t="s">
        <v>2485</v>
      </c>
      <c r="AA66" s="19" t="s">
        <v>2485</v>
      </c>
      <c r="AB66" s="19" t="s">
        <v>2486</v>
      </c>
      <c r="AC66" s="19" t="s">
        <v>2485</v>
      </c>
      <c r="AD66" s="20" t="s">
        <v>2543</v>
      </c>
      <c r="AE66" s="19" t="s">
        <v>2570</v>
      </c>
      <c r="AF66" s="20" t="s">
        <v>2486</v>
      </c>
      <c r="AG66" s="48" t="s">
        <v>2486</v>
      </c>
      <c r="AH66" s="48" t="s">
        <v>2486</v>
      </c>
      <c r="AI66" s="48" t="s">
        <v>2583</v>
      </c>
      <c r="AJ66" s="50" t="s">
        <v>2567</v>
      </c>
      <c r="AK66" s="53" t="s">
        <v>75</v>
      </c>
      <c r="AL66" s="20" t="s">
        <v>75</v>
      </c>
      <c r="AM66" s="20"/>
      <c r="AN66" s="20"/>
      <c r="AO66" s="3"/>
      <c r="AP66" s="7">
        <f>VLOOKUP(B:B,Table3[#All],4,0)</f>
        <v>6500</v>
      </c>
      <c r="AQ66" s="7">
        <f>calcShift1(Таблица1[[#This Row],[Столбец5]:[Столбец36]])</f>
        <v>113.00000000000001</v>
      </c>
      <c r="AR66" s="7">
        <f>calcShift2(Таблица1[[#This Row],[Столбец5]:[Столбец36]])</f>
        <v>0</v>
      </c>
      <c r="AS66" s="7">
        <f>calcShift3(Таблица1[[#This Row],[Столбец5]:[Столбец36]])</f>
        <v>0</v>
      </c>
      <c r="AT66" s="7"/>
      <c r="AU66" s="7">
        <f>calcYavka(Таблица1[[#This Row],[Столбец5]:[Столбец36]])</f>
        <v>15</v>
      </c>
      <c r="AV66" s="9"/>
      <c r="AW66" s="18">
        <f>VLOOKUP(B:B,ДОП_ВСІ!B:AS,44,0)</f>
        <v>0</v>
      </c>
      <c r="AX66" s="7">
        <f>VLOOKUP(B:B,ДОП_ВСІ!B:AQ,42,0)</f>
        <v>0</v>
      </c>
      <c r="AY66" s="7"/>
      <c r="AZ66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66" s="6"/>
      <c r="BB66" s="47">
        <f>calcTS(Таблица1[[#This Row],[Столбец5]:[Столбец36]])</f>
        <v>0</v>
      </c>
    </row>
    <row r="67" spans="1:54" ht="42" x14ac:dyDescent="0.35">
      <c r="A67" s="33" t="s">
        <v>226</v>
      </c>
      <c r="B67" s="24" t="s">
        <v>227</v>
      </c>
      <c r="C67" s="20" t="s">
        <v>164</v>
      </c>
      <c r="D67" s="20" t="s">
        <v>2564</v>
      </c>
      <c r="E67" s="20" t="s">
        <v>2543</v>
      </c>
      <c r="F67" s="19" t="s">
        <v>2486</v>
      </c>
      <c r="G67" s="19" t="s">
        <v>2486</v>
      </c>
      <c r="H67" s="19" t="s">
        <v>141</v>
      </c>
      <c r="I67" s="20" t="s">
        <v>141</v>
      </c>
      <c r="J67" s="20" t="s">
        <v>141</v>
      </c>
      <c r="K67" s="20" t="s">
        <v>141</v>
      </c>
      <c r="L67" s="20" t="s">
        <v>141</v>
      </c>
      <c r="M67" s="19" t="s">
        <v>2486</v>
      </c>
      <c r="N67" s="19" t="s">
        <v>2486</v>
      </c>
      <c r="O67" s="19" t="s">
        <v>2543</v>
      </c>
      <c r="P67" s="19" t="s">
        <v>2543</v>
      </c>
      <c r="Q67" s="20" t="s">
        <v>2543</v>
      </c>
      <c r="R67" s="20" t="s">
        <v>2543</v>
      </c>
      <c r="S67" s="20" t="s">
        <v>2543</v>
      </c>
      <c r="T67" s="20" t="s">
        <v>2486</v>
      </c>
      <c r="U67" s="19" t="s">
        <v>2486</v>
      </c>
      <c r="V67" s="19" t="s">
        <v>2543</v>
      </c>
      <c r="W67" s="19" t="s">
        <v>2543</v>
      </c>
      <c r="X67" s="19" t="s">
        <v>2543</v>
      </c>
      <c r="Y67" s="20" t="s">
        <v>2501</v>
      </c>
      <c r="Z67" s="20" t="s">
        <v>2501</v>
      </c>
      <c r="AA67" s="19" t="s">
        <v>2501</v>
      </c>
      <c r="AB67" s="19" t="s">
        <v>2501</v>
      </c>
      <c r="AC67" s="20" t="s">
        <v>2501</v>
      </c>
      <c r="AD67" s="20" t="s">
        <v>2501</v>
      </c>
      <c r="AE67" s="19" t="s">
        <v>2501</v>
      </c>
      <c r="AF67" s="19" t="s">
        <v>2486</v>
      </c>
      <c r="AG67" s="48" t="s">
        <v>2486</v>
      </c>
      <c r="AH67" s="48" t="s">
        <v>2486</v>
      </c>
      <c r="AI67" s="48" t="s">
        <v>2583</v>
      </c>
      <c r="AJ67" s="50" t="s">
        <v>2567</v>
      </c>
      <c r="AK67" s="54" t="s">
        <v>74</v>
      </c>
      <c r="AL67" s="19" t="s">
        <v>76</v>
      </c>
      <c r="AM67" s="20"/>
      <c r="AN67" s="20"/>
      <c r="AO67" s="3"/>
      <c r="AP67" s="7">
        <f>VLOOKUP(B:B,Table3[#All],4,0)</f>
        <v>6500</v>
      </c>
      <c r="AQ67" s="7">
        <f>calcShift1(Таблица1[[#This Row],[Столбец5]:[Столбец36]])</f>
        <v>111.99999999999999</v>
      </c>
      <c r="AR67" s="7">
        <f>calcShift2(Таблица1[[#This Row],[Столбец5]:[Столбец36]])</f>
        <v>0</v>
      </c>
      <c r="AS67" s="7">
        <f>calcShift3(Таблица1[[#This Row],[Столбец5]:[Столбец36]])</f>
        <v>0</v>
      </c>
      <c r="AT67" s="7"/>
      <c r="AU67" s="7">
        <f>calcYavka(Таблица1[[#This Row],[Столбец5]:[Столбец36]])</f>
        <v>14</v>
      </c>
      <c r="AV67" s="9"/>
      <c r="AW67" s="18">
        <f>VLOOKUP(B:B,ДОП_ВСІ!B:AS,44,0)</f>
        <v>0</v>
      </c>
      <c r="AX67" s="7">
        <f>VLOOKUP(B:B,ДОП_ВСІ!B:AQ,42,0)</f>
        <v>0</v>
      </c>
      <c r="AY67" s="7"/>
      <c r="AZ67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67" s="6"/>
      <c r="BB67" s="47">
        <f>calcTS(Таблица1[[#This Row],[Столбец5]:[Столбец36]])</f>
        <v>0</v>
      </c>
    </row>
    <row r="68" spans="1:54" ht="42" x14ac:dyDescent="0.35">
      <c r="A68" s="25" t="s">
        <v>228</v>
      </c>
      <c r="B68" s="26" t="s">
        <v>229</v>
      </c>
      <c r="C68" s="27" t="s">
        <v>173</v>
      </c>
      <c r="D68" s="20" t="s">
        <v>2564</v>
      </c>
      <c r="E68" s="28" t="s">
        <v>2543</v>
      </c>
      <c r="F68" s="27" t="s">
        <v>2486</v>
      </c>
      <c r="G68" s="27" t="s">
        <v>2486</v>
      </c>
      <c r="H68" s="27" t="s">
        <v>141</v>
      </c>
      <c r="I68" s="27" t="s">
        <v>141</v>
      </c>
      <c r="J68" s="27" t="s">
        <v>141</v>
      </c>
      <c r="K68" s="28" t="s">
        <v>141</v>
      </c>
      <c r="L68" s="27" t="s">
        <v>141</v>
      </c>
      <c r="M68" s="27" t="s">
        <v>2486</v>
      </c>
      <c r="N68" s="28" t="s">
        <v>2486</v>
      </c>
      <c r="O68" s="28" t="s">
        <v>2543</v>
      </c>
      <c r="P68" s="28" t="s">
        <v>2543</v>
      </c>
      <c r="Q68" s="28" t="s">
        <v>2543</v>
      </c>
      <c r="R68" s="27" t="s">
        <v>2501</v>
      </c>
      <c r="S68" s="27" t="s">
        <v>2501</v>
      </c>
      <c r="T68" s="27" t="s">
        <v>2501</v>
      </c>
      <c r="U68" s="27" t="s">
        <v>2501</v>
      </c>
      <c r="V68" s="27" t="s">
        <v>2501</v>
      </c>
      <c r="W68" s="27" t="s">
        <v>2501</v>
      </c>
      <c r="X68" s="27" t="s">
        <v>2501</v>
      </c>
      <c r="Y68" s="27" t="s">
        <v>2501</v>
      </c>
      <c r="Z68" s="28" t="s">
        <v>2501</v>
      </c>
      <c r="AA68" s="27" t="s">
        <v>2501</v>
      </c>
      <c r="AB68" s="27" t="s">
        <v>2501</v>
      </c>
      <c r="AC68" s="27" t="s">
        <v>2501</v>
      </c>
      <c r="AD68" s="27" t="s">
        <v>2501</v>
      </c>
      <c r="AE68" s="27" t="s">
        <v>2501</v>
      </c>
      <c r="AF68" s="27" t="s">
        <v>2486</v>
      </c>
      <c r="AG68" s="48" t="s">
        <v>2486</v>
      </c>
      <c r="AH68" s="48" t="s">
        <v>2486</v>
      </c>
      <c r="AI68" s="48" t="s">
        <v>2584</v>
      </c>
      <c r="AJ68" s="50" t="s">
        <v>2567</v>
      </c>
      <c r="AK68" s="51" t="s">
        <v>2585</v>
      </c>
      <c r="AL68" s="27" t="s">
        <v>53</v>
      </c>
      <c r="AM68" s="29"/>
      <c r="AN68" s="30"/>
      <c r="AO68" s="26"/>
      <c r="AP68" s="7">
        <f>VLOOKUP(B:B,Table3[#All],4,0)</f>
        <v>7500</v>
      </c>
      <c r="AQ68" s="7">
        <f>calcShift1(Таблица1[[#This Row],[Столбец5]:[Столбец36]])</f>
        <v>72</v>
      </c>
      <c r="AR68" s="7">
        <f>calcShift2(Таблица1[[#This Row],[Столбец5]:[Столбец36]])</f>
        <v>0</v>
      </c>
      <c r="AS68" s="7">
        <f>calcShift3(Таблица1[[#This Row],[Столбец5]:[Столбец36]])</f>
        <v>0</v>
      </c>
      <c r="AT68" s="26"/>
      <c r="AU68" s="7">
        <f>calcYavka(Таблица1[[#This Row],[Столбец5]:[Столбец36]])</f>
        <v>9</v>
      </c>
      <c r="AV68" s="31"/>
      <c r="AW68" s="18">
        <f>VLOOKUP(B:B,ДОП_ВСІ!B:AS,44,0)</f>
        <v>0</v>
      </c>
      <c r="AX68" s="7">
        <f>VLOOKUP(B:B,ДОП_ВСІ!B:AQ,42,0)</f>
        <v>0</v>
      </c>
      <c r="AY68" s="7"/>
      <c r="AZ68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68" s="26"/>
      <c r="BB68" s="47">
        <f>calcTS(Таблица1[[#This Row],[Столбец5]:[Столбец36]])</f>
        <v>0</v>
      </c>
    </row>
    <row r="69" spans="1:54" ht="42" x14ac:dyDescent="0.35">
      <c r="A69" s="25" t="s">
        <v>230</v>
      </c>
      <c r="B69" s="26" t="s">
        <v>231</v>
      </c>
      <c r="C69" s="27" t="s">
        <v>173</v>
      </c>
      <c r="D69" s="20" t="s">
        <v>2564</v>
      </c>
      <c r="E69" s="28" t="s">
        <v>2543</v>
      </c>
      <c r="F69" s="27" t="s">
        <v>2486</v>
      </c>
      <c r="G69" s="69" t="s">
        <v>2486</v>
      </c>
      <c r="H69" s="27" t="s">
        <v>141</v>
      </c>
      <c r="I69" s="27" t="s">
        <v>141</v>
      </c>
      <c r="J69" s="27" t="s">
        <v>141</v>
      </c>
      <c r="K69" s="28" t="s">
        <v>141</v>
      </c>
      <c r="L69" s="27" t="s">
        <v>141</v>
      </c>
      <c r="M69" s="27" t="s">
        <v>2486</v>
      </c>
      <c r="N69" s="28" t="s">
        <v>2486</v>
      </c>
      <c r="O69" s="28" t="s">
        <v>141</v>
      </c>
      <c r="P69" s="28" t="s">
        <v>141</v>
      </c>
      <c r="Q69" s="28" t="s">
        <v>141</v>
      </c>
      <c r="R69" s="27" t="s">
        <v>141</v>
      </c>
      <c r="S69" s="27" t="s">
        <v>141</v>
      </c>
      <c r="T69" s="27" t="s">
        <v>2486</v>
      </c>
      <c r="U69" s="27" t="s">
        <v>2486</v>
      </c>
      <c r="V69" s="27" t="s">
        <v>2543</v>
      </c>
      <c r="W69" s="27" t="s">
        <v>2543</v>
      </c>
      <c r="X69" s="27" t="s">
        <v>2543</v>
      </c>
      <c r="Y69" s="27" t="s">
        <v>2543</v>
      </c>
      <c r="Z69" s="69" t="s">
        <v>2543</v>
      </c>
      <c r="AA69" s="27" t="s">
        <v>2543</v>
      </c>
      <c r="AB69" s="27" t="s">
        <v>2486</v>
      </c>
      <c r="AC69" s="27" t="s">
        <v>2543</v>
      </c>
      <c r="AD69" s="27" t="s">
        <v>141</v>
      </c>
      <c r="AE69" s="27" t="s">
        <v>2570</v>
      </c>
      <c r="AF69" s="27" t="s">
        <v>2486</v>
      </c>
      <c r="AG69" s="69" t="s">
        <v>2486</v>
      </c>
      <c r="AH69" s="48" t="s">
        <v>2486</v>
      </c>
      <c r="AI69" s="48" t="s">
        <v>2567</v>
      </c>
      <c r="AJ69" s="50" t="s">
        <v>2567</v>
      </c>
      <c r="AK69" s="51" t="s">
        <v>54</v>
      </c>
      <c r="AL69" s="27" t="s">
        <v>55</v>
      </c>
      <c r="AM69" s="29"/>
      <c r="AN69" s="30"/>
      <c r="AO69" s="26"/>
      <c r="AP69" s="7">
        <f>VLOOKUP(B:B,Table3[#All],4,0)</f>
        <v>7500</v>
      </c>
      <c r="AQ69" s="7">
        <f>calcShift1(Таблица1[[#This Row],[Столбец5]:[Столбец36]])</f>
        <v>158.99999999999994</v>
      </c>
      <c r="AR69" s="7">
        <f>calcShift2(Таблица1[[#This Row],[Столбец5]:[Столбец36]])</f>
        <v>0</v>
      </c>
      <c r="AS69" s="7">
        <f>calcShift3(Таблица1[[#This Row],[Столбец5]:[Столбец36]])</f>
        <v>0</v>
      </c>
      <c r="AT69" s="26"/>
      <c r="AU69" s="7">
        <f>calcYavka(Таблица1[[#This Row],[Столбец5]:[Столбец36]])</f>
        <v>20</v>
      </c>
      <c r="AV69" s="31"/>
      <c r="AW69" s="18">
        <f>VLOOKUP(B:B,ДОП_ВСІ!B:AS,44,0)</f>
        <v>0</v>
      </c>
      <c r="AX69" s="7">
        <f>VLOOKUP(B:B,ДОП_ВСІ!B:AQ,42,0)</f>
        <v>0</v>
      </c>
      <c r="AY69" s="7"/>
      <c r="AZ69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69" s="26"/>
      <c r="BB69" s="47">
        <f>calcTS(Таблица1[[#This Row],[Столбец5]:[Столбец36]])</f>
        <v>0</v>
      </c>
    </row>
    <row r="70" spans="1:54" ht="42" x14ac:dyDescent="0.35">
      <c r="A70" s="25" t="s">
        <v>232</v>
      </c>
      <c r="B70" s="26" t="s">
        <v>233</v>
      </c>
      <c r="C70" s="27" t="s">
        <v>173</v>
      </c>
      <c r="D70" s="20" t="s">
        <v>2564</v>
      </c>
      <c r="E70" s="28" t="s">
        <v>2543</v>
      </c>
      <c r="F70" s="27" t="s">
        <v>2486</v>
      </c>
      <c r="G70" s="27" t="s">
        <v>2486</v>
      </c>
      <c r="H70" s="27" t="s">
        <v>141</v>
      </c>
      <c r="I70" s="27" t="s">
        <v>141</v>
      </c>
      <c r="J70" s="27" t="s">
        <v>141</v>
      </c>
      <c r="K70" s="28" t="s">
        <v>141</v>
      </c>
      <c r="L70" s="27" t="s">
        <v>141</v>
      </c>
      <c r="M70" s="27" t="s">
        <v>2486</v>
      </c>
      <c r="N70" s="28" t="s">
        <v>2486</v>
      </c>
      <c r="O70" s="28" t="s">
        <v>141</v>
      </c>
      <c r="P70" s="28" t="s">
        <v>141</v>
      </c>
      <c r="Q70" s="28" t="s">
        <v>141</v>
      </c>
      <c r="R70" s="27" t="s">
        <v>141</v>
      </c>
      <c r="S70" s="27" t="s">
        <v>141</v>
      </c>
      <c r="T70" s="27" t="s">
        <v>2486</v>
      </c>
      <c r="U70" s="27" t="s">
        <v>2486</v>
      </c>
      <c r="V70" s="27" t="s">
        <v>2543</v>
      </c>
      <c r="W70" s="27" t="s">
        <v>2543</v>
      </c>
      <c r="X70" s="27" t="s">
        <v>2543</v>
      </c>
      <c r="Y70" s="27" t="s">
        <v>2543</v>
      </c>
      <c r="Z70" s="28" t="s">
        <v>2543</v>
      </c>
      <c r="AA70" s="27" t="s">
        <v>2543</v>
      </c>
      <c r="AB70" s="27" t="s">
        <v>2486</v>
      </c>
      <c r="AC70" s="27" t="s">
        <v>2543</v>
      </c>
      <c r="AD70" s="27" t="s">
        <v>141</v>
      </c>
      <c r="AE70" s="27" t="s">
        <v>2570</v>
      </c>
      <c r="AF70" s="27" t="s">
        <v>2486</v>
      </c>
      <c r="AG70" s="48" t="s">
        <v>2486</v>
      </c>
      <c r="AH70" s="48" t="s">
        <v>2486</v>
      </c>
      <c r="AI70" s="48" t="s">
        <v>2567</v>
      </c>
      <c r="AJ70" s="50" t="s">
        <v>2567</v>
      </c>
      <c r="AK70" s="51" t="s">
        <v>54</v>
      </c>
      <c r="AL70" s="27" t="s">
        <v>55</v>
      </c>
      <c r="AM70" s="29"/>
      <c r="AN70" s="30"/>
      <c r="AO70" s="26"/>
      <c r="AP70" s="7">
        <f>VLOOKUP(B:B,Table3[#All],4,0)</f>
        <v>7500</v>
      </c>
      <c r="AQ70" s="7">
        <f>calcShift1(Таблица1[[#This Row],[Столбец5]:[Столбец36]])</f>
        <v>158.99999999999994</v>
      </c>
      <c r="AR70" s="7">
        <f>calcShift2(Таблица1[[#This Row],[Столбец5]:[Столбец36]])</f>
        <v>0</v>
      </c>
      <c r="AS70" s="7">
        <f>calcShift3(Таблица1[[#This Row],[Столбец5]:[Столбец36]])</f>
        <v>0</v>
      </c>
      <c r="AT70" s="26"/>
      <c r="AU70" s="7">
        <f>calcYavka(Таблица1[[#This Row],[Столбец5]:[Столбец36]])</f>
        <v>20</v>
      </c>
      <c r="AV70" s="31"/>
      <c r="AW70" s="18">
        <f>VLOOKUP(B:B,ДОП_ВСІ!B:AS,44,0)</f>
        <v>562.5</v>
      </c>
      <c r="AX70" s="7">
        <f>VLOOKUP(B:B,ДОП_ВСІ!B:AQ,42,0)</f>
        <v>0</v>
      </c>
      <c r="AY70" s="7"/>
      <c r="AZ70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70" s="26"/>
      <c r="BB70" s="47">
        <f>calcTS(Таблица1[[#This Row],[Столбец5]:[Столбец36]])</f>
        <v>0</v>
      </c>
    </row>
    <row r="71" spans="1:54" ht="42" x14ac:dyDescent="0.35">
      <c r="A71" s="25" t="s">
        <v>234</v>
      </c>
      <c r="B71" s="26" t="s">
        <v>235</v>
      </c>
      <c r="C71" s="27" t="s">
        <v>173</v>
      </c>
      <c r="D71" s="20" t="s">
        <v>2564</v>
      </c>
      <c r="E71" s="28" t="s">
        <v>2543</v>
      </c>
      <c r="F71" s="27" t="s">
        <v>2486</v>
      </c>
      <c r="G71" s="27" t="s">
        <v>2486</v>
      </c>
      <c r="H71" s="27" t="s">
        <v>141</v>
      </c>
      <c r="I71" s="27" t="s">
        <v>141</v>
      </c>
      <c r="J71" s="27" t="s">
        <v>141</v>
      </c>
      <c r="K71" s="28" t="s">
        <v>141</v>
      </c>
      <c r="L71" s="27" t="s">
        <v>141</v>
      </c>
      <c r="M71" s="27" t="s">
        <v>2486</v>
      </c>
      <c r="N71" s="28" t="s">
        <v>2486</v>
      </c>
      <c r="O71" s="28" t="s">
        <v>141</v>
      </c>
      <c r="P71" s="28" t="s">
        <v>141</v>
      </c>
      <c r="Q71" s="28" t="s">
        <v>141</v>
      </c>
      <c r="R71" s="27" t="s">
        <v>141</v>
      </c>
      <c r="S71" s="27" t="s">
        <v>141</v>
      </c>
      <c r="T71" s="27" t="s">
        <v>2486</v>
      </c>
      <c r="U71" s="27" t="s">
        <v>2486</v>
      </c>
      <c r="V71" s="27" t="s">
        <v>2543</v>
      </c>
      <c r="W71" s="27" t="s">
        <v>2543</v>
      </c>
      <c r="X71" s="27" t="s">
        <v>2543</v>
      </c>
      <c r="Y71" s="27" t="s">
        <v>2543</v>
      </c>
      <c r="Z71" s="28" t="s">
        <v>2543</v>
      </c>
      <c r="AA71" s="27" t="s">
        <v>2543</v>
      </c>
      <c r="AB71" s="27" t="s">
        <v>2486</v>
      </c>
      <c r="AC71" s="27" t="s">
        <v>2543</v>
      </c>
      <c r="AD71" s="27" t="s">
        <v>141</v>
      </c>
      <c r="AE71" s="27" t="s">
        <v>2570</v>
      </c>
      <c r="AF71" s="27" t="s">
        <v>2486</v>
      </c>
      <c r="AG71" s="48" t="s">
        <v>2486</v>
      </c>
      <c r="AH71" s="48" t="s">
        <v>2486</v>
      </c>
      <c r="AI71" s="48" t="s">
        <v>2567</v>
      </c>
      <c r="AJ71" s="50" t="s">
        <v>2567</v>
      </c>
      <c r="AK71" s="51" t="s">
        <v>54</v>
      </c>
      <c r="AL71" s="27" t="s">
        <v>55</v>
      </c>
      <c r="AM71" s="29"/>
      <c r="AN71" s="30"/>
      <c r="AO71" s="26"/>
      <c r="AP71" s="7">
        <f>VLOOKUP(B:B,Table3[#All],4,0)</f>
        <v>7500</v>
      </c>
      <c r="AQ71" s="7">
        <f>calcShift1(Таблица1[[#This Row],[Столбец5]:[Столбец36]])</f>
        <v>158.99999999999994</v>
      </c>
      <c r="AR71" s="7">
        <f>calcShift2(Таблица1[[#This Row],[Столбец5]:[Столбец36]])</f>
        <v>0</v>
      </c>
      <c r="AS71" s="7">
        <f>calcShift3(Таблица1[[#This Row],[Столбец5]:[Столбец36]])</f>
        <v>0</v>
      </c>
      <c r="AT71" s="26"/>
      <c r="AU71" s="7">
        <f>calcYavka(Таблица1[[#This Row],[Столбец5]:[Столбец36]])</f>
        <v>20</v>
      </c>
      <c r="AV71" s="31"/>
      <c r="AW71" s="18">
        <f>VLOOKUP(B:B,ДОП_ВСІ!B:AS,44,0)</f>
        <v>1500</v>
      </c>
      <c r="AX71" s="7">
        <f>VLOOKUP(B:B,ДОП_ВСІ!B:AQ,42,0)</f>
        <v>0</v>
      </c>
      <c r="AY71" s="7"/>
      <c r="AZ71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71" s="26"/>
      <c r="BB71" s="47">
        <f>calcTS(Таблица1[[#This Row],[Столбец5]:[Столбец36]])</f>
        <v>0</v>
      </c>
    </row>
    <row r="72" spans="1:54" ht="42" x14ac:dyDescent="0.35">
      <c r="A72" s="25" t="s">
        <v>236</v>
      </c>
      <c r="B72" s="26" t="s">
        <v>237</v>
      </c>
      <c r="C72" s="27" t="s">
        <v>238</v>
      </c>
      <c r="D72" s="20" t="s">
        <v>2564</v>
      </c>
      <c r="E72" s="28" t="s">
        <v>2543</v>
      </c>
      <c r="F72" s="27" t="s">
        <v>2486</v>
      </c>
      <c r="G72" s="27" t="s">
        <v>2486</v>
      </c>
      <c r="H72" s="27" t="s">
        <v>141</v>
      </c>
      <c r="I72" s="27" t="s">
        <v>141</v>
      </c>
      <c r="J72" s="27" t="s">
        <v>141</v>
      </c>
      <c r="K72" s="28" t="s">
        <v>141</v>
      </c>
      <c r="L72" s="27" t="s">
        <v>141</v>
      </c>
      <c r="M72" s="27" t="s">
        <v>2486</v>
      </c>
      <c r="N72" s="28" t="s">
        <v>2486</v>
      </c>
      <c r="O72" s="28" t="s">
        <v>141</v>
      </c>
      <c r="P72" s="28" t="s">
        <v>141</v>
      </c>
      <c r="Q72" s="28" t="s">
        <v>141</v>
      </c>
      <c r="R72" s="27" t="s">
        <v>141</v>
      </c>
      <c r="S72" s="27" t="s">
        <v>141</v>
      </c>
      <c r="T72" s="27" t="s">
        <v>2486</v>
      </c>
      <c r="U72" s="27" t="s">
        <v>2486</v>
      </c>
      <c r="V72" s="27" t="s">
        <v>2543</v>
      </c>
      <c r="W72" s="27" t="s">
        <v>2543</v>
      </c>
      <c r="X72" s="27" t="s">
        <v>2543</v>
      </c>
      <c r="Y72" s="27" t="s">
        <v>2543</v>
      </c>
      <c r="Z72" s="28" t="s">
        <v>2543</v>
      </c>
      <c r="AA72" s="27" t="s">
        <v>2543</v>
      </c>
      <c r="AB72" s="27" t="s">
        <v>2486</v>
      </c>
      <c r="AC72" s="27" t="s">
        <v>2501</v>
      </c>
      <c r="AD72" s="27" t="s">
        <v>2501</v>
      </c>
      <c r="AE72" s="27" t="s">
        <v>2501</v>
      </c>
      <c r="AF72" s="27" t="s">
        <v>2486</v>
      </c>
      <c r="AG72" s="48" t="s">
        <v>2486</v>
      </c>
      <c r="AH72" s="48" t="s">
        <v>2486</v>
      </c>
      <c r="AI72" s="48" t="s">
        <v>2586</v>
      </c>
      <c r="AJ72" s="50" t="s">
        <v>2567</v>
      </c>
      <c r="AK72" s="51" t="s">
        <v>52</v>
      </c>
      <c r="AL72" s="27" t="s">
        <v>69</v>
      </c>
      <c r="AM72" s="29"/>
      <c r="AN72" s="30"/>
      <c r="AO72" s="26"/>
      <c r="AP72" s="7">
        <f>VLOOKUP(B:B,Table3[#All],4,0)</f>
        <v>18000</v>
      </c>
      <c r="AQ72" s="7">
        <f>calcShift1(Таблица1[[#This Row],[Столбец5]:[Столбец36]])</f>
        <v>135.99999999999997</v>
      </c>
      <c r="AR72" s="7">
        <f>calcShift2(Таблица1[[#This Row],[Столбец5]:[Столбец36]])</f>
        <v>0</v>
      </c>
      <c r="AS72" s="7">
        <f>calcShift3(Таблица1[[#This Row],[Столбец5]:[Столбец36]])</f>
        <v>0</v>
      </c>
      <c r="AT72" s="26"/>
      <c r="AU72" s="7">
        <f>calcYavka(Таблица1[[#This Row],[Столбец5]:[Столбец36]])</f>
        <v>17</v>
      </c>
      <c r="AV72" s="31"/>
      <c r="AW72" s="18">
        <f>VLOOKUP(B:B,ДОП_ВСІ!B:AS,44,0)</f>
        <v>2250</v>
      </c>
      <c r="AX72" s="7">
        <f>VLOOKUP(B:B,ДОП_ВСІ!B:AQ,42,0)</f>
        <v>0</v>
      </c>
      <c r="AY72" s="7"/>
      <c r="AZ72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72" s="26"/>
      <c r="BB72" s="47">
        <f>calcTS(Таблица1[[#This Row],[Столбец5]:[Столбец36]])</f>
        <v>0</v>
      </c>
    </row>
    <row r="73" spans="1:54" ht="42" x14ac:dyDescent="0.35">
      <c r="A73" s="25" t="s">
        <v>239</v>
      </c>
      <c r="B73" s="6" t="s">
        <v>240</v>
      </c>
      <c r="C73" s="27" t="s">
        <v>185</v>
      </c>
      <c r="D73" s="20" t="s">
        <v>2564</v>
      </c>
      <c r="E73" s="28" t="s">
        <v>2543</v>
      </c>
      <c r="F73" s="27" t="s">
        <v>2486</v>
      </c>
      <c r="G73" s="27" t="s">
        <v>2486</v>
      </c>
      <c r="H73" s="27" t="s">
        <v>141</v>
      </c>
      <c r="I73" s="27" t="s">
        <v>141</v>
      </c>
      <c r="J73" s="27" t="s">
        <v>141</v>
      </c>
      <c r="K73" s="28" t="s">
        <v>141</v>
      </c>
      <c r="L73" s="27" t="s">
        <v>141</v>
      </c>
      <c r="M73" s="27" t="s">
        <v>2486</v>
      </c>
      <c r="N73" s="28" t="s">
        <v>2486</v>
      </c>
      <c r="O73" s="28" t="s">
        <v>141</v>
      </c>
      <c r="P73" s="28" t="s">
        <v>141</v>
      </c>
      <c r="Q73" s="28" t="s">
        <v>141</v>
      </c>
      <c r="R73" s="27" t="s">
        <v>141</v>
      </c>
      <c r="S73" s="27" t="s">
        <v>141</v>
      </c>
      <c r="T73" s="27" t="s">
        <v>2486</v>
      </c>
      <c r="U73" s="27" t="s">
        <v>2486</v>
      </c>
      <c r="V73" s="27" t="s">
        <v>2543</v>
      </c>
      <c r="W73" s="27" t="s">
        <v>2543</v>
      </c>
      <c r="X73" s="27" t="s">
        <v>2543</v>
      </c>
      <c r="Y73" s="27" t="s">
        <v>2543</v>
      </c>
      <c r="Z73" s="28" t="s">
        <v>2543</v>
      </c>
      <c r="AA73" s="27" t="s">
        <v>2543</v>
      </c>
      <c r="AB73" s="27" t="s">
        <v>2486</v>
      </c>
      <c r="AC73" s="27" t="s">
        <v>141</v>
      </c>
      <c r="AD73" s="27" t="s">
        <v>141</v>
      </c>
      <c r="AE73" s="27" t="s">
        <v>2570</v>
      </c>
      <c r="AF73" s="27" t="s">
        <v>2486</v>
      </c>
      <c r="AG73" s="48" t="s">
        <v>2486</v>
      </c>
      <c r="AH73" s="48" t="s">
        <v>2486</v>
      </c>
      <c r="AI73" s="48" t="s">
        <v>2567</v>
      </c>
      <c r="AJ73" s="50" t="s">
        <v>2567</v>
      </c>
      <c r="AK73" s="51" t="s">
        <v>54</v>
      </c>
      <c r="AL73" s="27" t="s">
        <v>55</v>
      </c>
      <c r="AM73" s="29"/>
      <c r="AN73" s="30"/>
      <c r="AO73" s="26"/>
      <c r="AP73" s="7">
        <f>VLOOKUP(B:B,Table3[#All],4,0)</f>
        <v>9000</v>
      </c>
      <c r="AQ73" s="7">
        <f>calcShift1(Таблица1[[#This Row],[Столбец5]:[Столбец36]])</f>
        <v>158.99999999999994</v>
      </c>
      <c r="AR73" s="7">
        <f>calcShift2(Таблица1[[#This Row],[Столбец5]:[Столбец36]])</f>
        <v>0</v>
      </c>
      <c r="AS73" s="7">
        <f>calcShift3(Таблица1[[#This Row],[Столбец5]:[Столбец36]])</f>
        <v>0</v>
      </c>
      <c r="AT73" s="26"/>
      <c r="AU73" s="7">
        <f>calcYavka(Таблица1[[#This Row],[Столбец5]:[Столбец36]])</f>
        <v>20</v>
      </c>
      <c r="AV73" s="31"/>
      <c r="AW73" s="18">
        <f>VLOOKUP(B:B,ДОП_ВСІ!B:AS,44,0)</f>
        <v>0</v>
      </c>
      <c r="AX73" s="7">
        <f>VLOOKUP(B:B,ДОП_ВСІ!B:AQ,42,0)</f>
        <v>0</v>
      </c>
      <c r="AY73" s="7"/>
      <c r="AZ73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73" s="26"/>
      <c r="BB73" s="47">
        <f>calcTS(Таблица1[[#This Row],[Столбец5]:[Столбец36]])</f>
        <v>0</v>
      </c>
    </row>
    <row r="74" spans="1:54" ht="42" x14ac:dyDescent="0.35">
      <c r="A74" s="25" t="s">
        <v>241</v>
      </c>
      <c r="B74" s="26" t="s">
        <v>242</v>
      </c>
      <c r="C74" s="27" t="s">
        <v>243</v>
      </c>
      <c r="D74" s="20" t="s">
        <v>2564</v>
      </c>
      <c r="E74" s="28" t="s">
        <v>2543</v>
      </c>
      <c r="F74" s="27" t="s">
        <v>2486</v>
      </c>
      <c r="G74" s="27" t="s">
        <v>2486</v>
      </c>
      <c r="H74" s="27" t="s">
        <v>141</v>
      </c>
      <c r="I74" s="27" t="s">
        <v>141</v>
      </c>
      <c r="J74" s="27" t="s">
        <v>141</v>
      </c>
      <c r="K74" s="28" t="s">
        <v>141</v>
      </c>
      <c r="L74" s="27" t="s">
        <v>141</v>
      </c>
      <c r="M74" s="27" t="s">
        <v>2486</v>
      </c>
      <c r="N74" s="28" t="s">
        <v>2486</v>
      </c>
      <c r="O74" s="28" t="s">
        <v>141</v>
      </c>
      <c r="P74" s="28" t="s">
        <v>141</v>
      </c>
      <c r="Q74" s="28" t="s">
        <v>141</v>
      </c>
      <c r="R74" s="27" t="s">
        <v>141</v>
      </c>
      <c r="S74" s="27" t="s">
        <v>141</v>
      </c>
      <c r="T74" s="27" t="s">
        <v>2486</v>
      </c>
      <c r="U74" s="27" t="s">
        <v>2486</v>
      </c>
      <c r="V74" s="27" t="s">
        <v>2543</v>
      </c>
      <c r="W74" s="27" t="s">
        <v>2543</v>
      </c>
      <c r="X74" s="27" t="s">
        <v>2543</v>
      </c>
      <c r="Y74" s="27" t="s">
        <v>2543</v>
      </c>
      <c r="Z74" s="28" t="s">
        <v>2543</v>
      </c>
      <c r="AA74" s="27" t="s">
        <v>2543</v>
      </c>
      <c r="AB74" s="27" t="s">
        <v>2486</v>
      </c>
      <c r="AC74" s="27" t="s">
        <v>141</v>
      </c>
      <c r="AD74" s="27" t="s">
        <v>141</v>
      </c>
      <c r="AE74" s="27" t="s">
        <v>2570</v>
      </c>
      <c r="AF74" s="27" t="s">
        <v>2486</v>
      </c>
      <c r="AG74" s="48" t="s">
        <v>2486</v>
      </c>
      <c r="AH74" s="48" t="s">
        <v>2486</v>
      </c>
      <c r="AI74" s="48" t="s">
        <v>2567</v>
      </c>
      <c r="AJ74" s="50" t="s">
        <v>2567</v>
      </c>
      <c r="AK74" s="51" t="s">
        <v>54</v>
      </c>
      <c r="AL74" s="27" t="s">
        <v>55</v>
      </c>
      <c r="AM74" s="29"/>
      <c r="AN74" s="30"/>
      <c r="AO74" s="26"/>
      <c r="AP74" s="7">
        <f>VLOOKUP(B:B,Table3[#All],4,0)</f>
        <v>5800</v>
      </c>
      <c r="AQ74" s="7">
        <f>calcShift1(Таблица1[[#This Row],[Столбец5]:[Столбец36]])</f>
        <v>158.99999999999994</v>
      </c>
      <c r="AR74" s="7">
        <f>calcShift2(Таблица1[[#This Row],[Столбец5]:[Столбец36]])</f>
        <v>0</v>
      </c>
      <c r="AS74" s="7">
        <f>calcShift3(Таблица1[[#This Row],[Столбец5]:[Столбец36]])</f>
        <v>0</v>
      </c>
      <c r="AT74" s="26"/>
      <c r="AU74" s="7">
        <f>calcYavka(Таблица1[[#This Row],[Столбец5]:[Столбец36]])</f>
        <v>20</v>
      </c>
      <c r="AV74" s="31"/>
      <c r="AW74" s="18">
        <f>VLOOKUP(B:B,ДОП_ВСІ!B:AS,44,0)</f>
        <v>362.5</v>
      </c>
      <c r="AX74" s="7">
        <f>VLOOKUP(B:B,ДОП_ВСІ!B:AQ,42,0)</f>
        <v>0</v>
      </c>
      <c r="AY74" s="7"/>
      <c r="AZ74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74" s="26"/>
      <c r="BB74" s="47">
        <f>calcTS(Таблица1[[#This Row],[Столбец5]:[Столбец36]])</f>
        <v>0</v>
      </c>
    </row>
    <row r="75" spans="1:54" ht="42" x14ac:dyDescent="0.35">
      <c r="A75" s="25" t="s">
        <v>244</v>
      </c>
      <c r="B75" s="26" t="s">
        <v>245</v>
      </c>
      <c r="C75" s="27" t="s">
        <v>246</v>
      </c>
      <c r="D75" s="20" t="s">
        <v>2564</v>
      </c>
      <c r="E75" s="28" t="s">
        <v>2543</v>
      </c>
      <c r="F75" s="27" t="s">
        <v>2486</v>
      </c>
      <c r="G75" s="27" t="s">
        <v>2486</v>
      </c>
      <c r="H75" s="27" t="s">
        <v>141</v>
      </c>
      <c r="I75" s="27" t="s">
        <v>141</v>
      </c>
      <c r="J75" s="27" t="s">
        <v>141</v>
      </c>
      <c r="K75" s="28" t="s">
        <v>141</v>
      </c>
      <c r="L75" s="27" t="s">
        <v>141</v>
      </c>
      <c r="M75" s="27" t="s">
        <v>2486</v>
      </c>
      <c r="N75" s="28" t="s">
        <v>2486</v>
      </c>
      <c r="O75" s="28" t="s">
        <v>141</v>
      </c>
      <c r="P75" s="28" t="s">
        <v>141</v>
      </c>
      <c r="Q75" s="28" t="s">
        <v>141</v>
      </c>
      <c r="R75" s="27" t="s">
        <v>141</v>
      </c>
      <c r="S75" s="27" t="s">
        <v>141</v>
      </c>
      <c r="T75" s="27" t="s">
        <v>2486</v>
      </c>
      <c r="U75" s="27" t="s">
        <v>2486</v>
      </c>
      <c r="V75" s="27" t="s">
        <v>2501</v>
      </c>
      <c r="W75" s="27" t="s">
        <v>2501</v>
      </c>
      <c r="X75" s="27" t="s">
        <v>2501</v>
      </c>
      <c r="Y75" s="27" t="s">
        <v>2501</v>
      </c>
      <c r="Z75" s="28" t="s">
        <v>2501</v>
      </c>
      <c r="AA75" s="27" t="s">
        <v>2501</v>
      </c>
      <c r="AB75" s="27" t="s">
        <v>2501</v>
      </c>
      <c r="AC75" s="27" t="s">
        <v>2501</v>
      </c>
      <c r="AD75" s="27" t="s">
        <v>2501</v>
      </c>
      <c r="AE75" s="27" t="s">
        <v>2501</v>
      </c>
      <c r="AF75" s="27" t="s">
        <v>2486</v>
      </c>
      <c r="AG75" s="48" t="s">
        <v>2486</v>
      </c>
      <c r="AH75" s="48" t="s">
        <v>2501</v>
      </c>
      <c r="AI75" s="48" t="s">
        <v>2587</v>
      </c>
      <c r="AJ75" s="50" t="s">
        <v>2567</v>
      </c>
      <c r="AK75" s="51" t="s">
        <v>71</v>
      </c>
      <c r="AL75" s="27" t="s">
        <v>72</v>
      </c>
      <c r="AM75" s="29"/>
      <c r="AN75" s="30"/>
      <c r="AO75" s="26"/>
      <c r="AP75" s="7">
        <f>VLOOKUP(B:B,Table3[#All],4,0)</f>
        <v>5500</v>
      </c>
      <c r="AQ75" s="7">
        <f>calcShift1(Таблица1[[#This Row],[Столбец5]:[Столбец36]])</f>
        <v>88</v>
      </c>
      <c r="AR75" s="7">
        <f>calcShift2(Таблица1[[#This Row],[Столбец5]:[Столбец36]])</f>
        <v>0</v>
      </c>
      <c r="AS75" s="7">
        <f>calcShift3(Таблица1[[#This Row],[Столбец5]:[Столбец36]])</f>
        <v>0</v>
      </c>
      <c r="AT75" s="26"/>
      <c r="AU75" s="7">
        <f>calcYavka(Таблица1[[#This Row],[Столбец5]:[Столбец36]])</f>
        <v>11</v>
      </c>
      <c r="AV75" s="31"/>
      <c r="AW75" s="18">
        <f>VLOOKUP(B:B,ДОП_ВСІ!B:AS,44,0)</f>
        <v>0</v>
      </c>
      <c r="AX75" s="7">
        <f>VLOOKUP(B:B,ДОП_ВСІ!B:AQ,42,0)</f>
        <v>0</v>
      </c>
      <c r="AY75" s="7"/>
      <c r="AZ75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75" s="26"/>
      <c r="BB75" s="47">
        <f>calcTS(Таблица1[[#This Row],[Столбец5]:[Столбец36]])</f>
        <v>0</v>
      </c>
    </row>
    <row r="76" spans="1:54" ht="42" x14ac:dyDescent="0.35">
      <c r="A76" s="25" t="s">
        <v>247</v>
      </c>
      <c r="B76" s="26" t="s">
        <v>248</v>
      </c>
      <c r="C76" s="27" t="s">
        <v>249</v>
      </c>
      <c r="D76" s="20" t="s">
        <v>2564</v>
      </c>
      <c r="E76" s="28" t="s">
        <v>2543</v>
      </c>
      <c r="F76" s="69" t="s">
        <v>2486</v>
      </c>
      <c r="G76" s="27" t="s">
        <v>2486</v>
      </c>
      <c r="H76" s="69" t="s">
        <v>2547</v>
      </c>
      <c r="I76" s="27" t="s">
        <v>2547</v>
      </c>
      <c r="J76" s="27" t="s">
        <v>2547</v>
      </c>
      <c r="K76" s="28" t="s">
        <v>2547</v>
      </c>
      <c r="L76" s="27" t="s">
        <v>2547</v>
      </c>
      <c r="M76" s="27" t="s">
        <v>2486</v>
      </c>
      <c r="N76" s="28" t="s">
        <v>2486</v>
      </c>
      <c r="O76" s="69" t="s">
        <v>141</v>
      </c>
      <c r="P76" s="28" t="s">
        <v>141</v>
      </c>
      <c r="Q76" s="28" t="s">
        <v>141</v>
      </c>
      <c r="R76" s="27" t="s">
        <v>141</v>
      </c>
      <c r="S76" s="27" t="s">
        <v>141</v>
      </c>
      <c r="T76" s="27" t="s">
        <v>2486</v>
      </c>
      <c r="U76" s="27" t="s">
        <v>2486</v>
      </c>
      <c r="V76" s="69" t="s">
        <v>2543</v>
      </c>
      <c r="W76" s="27" t="s">
        <v>2543</v>
      </c>
      <c r="X76" s="27" t="s">
        <v>2543</v>
      </c>
      <c r="Y76" s="69" t="s">
        <v>2543</v>
      </c>
      <c r="Z76" s="27" t="s">
        <v>2543</v>
      </c>
      <c r="AA76" s="27" t="s">
        <v>2543</v>
      </c>
      <c r="AB76" s="27" t="s">
        <v>2486</v>
      </c>
      <c r="AC76" s="27" t="s">
        <v>2543</v>
      </c>
      <c r="AD76" s="27" t="s">
        <v>2543</v>
      </c>
      <c r="AE76" s="27" t="s">
        <v>2570</v>
      </c>
      <c r="AF76" s="27" t="s">
        <v>2486</v>
      </c>
      <c r="AG76" s="48" t="s">
        <v>2486</v>
      </c>
      <c r="AH76" s="69" t="s">
        <v>2486</v>
      </c>
      <c r="AI76" s="48" t="s">
        <v>2567</v>
      </c>
      <c r="AJ76" s="50" t="s">
        <v>2567</v>
      </c>
      <c r="AK76" s="51" t="s">
        <v>54</v>
      </c>
      <c r="AL76" s="27" t="s">
        <v>55</v>
      </c>
      <c r="AM76" s="32"/>
      <c r="AN76" s="30"/>
      <c r="AO76" s="26"/>
      <c r="AP76" s="7">
        <f>VLOOKUP(B:B,Table3[#All],4,0)</f>
        <v>21000</v>
      </c>
      <c r="AQ76" s="7">
        <f>calcShift1(Таблица1[[#This Row],[Столбец5]:[Столбец36]])</f>
        <v>158.99999999999994</v>
      </c>
      <c r="AR76" s="7">
        <f>calcShift2(Таблица1[[#This Row],[Столбец5]:[Столбец36]])</f>
        <v>0</v>
      </c>
      <c r="AS76" s="7">
        <f>calcShift3(Таблица1[[#This Row],[Столбец5]:[Столбец36]])</f>
        <v>0</v>
      </c>
      <c r="AT76" s="26"/>
      <c r="AU76" s="7">
        <f>calcYavka(Таблица1[[#This Row],[Столбец5]:[Столбец36]])</f>
        <v>20</v>
      </c>
      <c r="AV76" s="31"/>
      <c r="AW76" s="18">
        <f>VLOOKUP(B:B,ДОП_ВСІ!B:AS,44,0)</f>
        <v>0</v>
      </c>
      <c r="AX76" s="7">
        <f>VLOOKUP(B:B,ДОП_ВСІ!B:AQ,42,0)</f>
        <v>0</v>
      </c>
      <c r="AY76" s="7"/>
      <c r="AZ76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76" s="26"/>
      <c r="BB76" s="47">
        <f>calcTS(Таблица1[[#This Row],[Столбец5]:[Столбец36]])</f>
        <v>0</v>
      </c>
    </row>
    <row r="77" spans="1:54" ht="42" x14ac:dyDescent="0.35">
      <c r="A77" s="25" t="s">
        <v>637</v>
      </c>
      <c r="B77" s="26" t="s">
        <v>638</v>
      </c>
      <c r="C77" s="27" t="s">
        <v>639</v>
      </c>
      <c r="D77" s="20" t="s">
        <v>2564</v>
      </c>
      <c r="E77" s="28" t="s">
        <v>2543</v>
      </c>
      <c r="F77" s="27" t="s">
        <v>2486</v>
      </c>
      <c r="G77" s="27" t="s">
        <v>2486</v>
      </c>
      <c r="H77" s="27" t="s">
        <v>2543</v>
      </c>
      <c r="I77" s="27" t="s">
        <v>2543</v>
      </c>
      <c r="J77" s="27" t="s">
        <v>2543</v>
      </c>
      <c r="K77" s="28" t="s">
        <v>2543</v>
      </c>
      <c r="L77" s="27" t="s">
        <v>2543</v>
      </c>
      <c r="M77" s="27" t="s">
        <v>2486</v>
      </c>
      <c r="N77" s="28" t="s">
        <v>2486</v>
      </c>
      <c r="O77" s="28" t="s">
        <v>2492</v>
      </c>
      <c r="P77" s="28" t="s">
        <v>2543</v>
      </c>
      <c r="Q77" s="28" t="s">
        <v>2531</v>
      </c>
      <c r="R77" s="27" t="s">
        <v>2531</v>
      </c>
      <c r="S77" s="27" t="s">
        <v>2531</v>
      </c>
      <c r="T77" s="27" t="s">
        <v>2486</v>
      </c>
      <c r="U77" s="27" t="s">
        <v>2486</v>
      </c>
      <c r="V77" s="27" t="s">
        <v>2543</v>
      </c>
      <c r="W77" s="27" t="s">
        <v>2543</v>
      </c>
      <c r="X77" s="27" t="s">
        <v>2543</v>
      </c>
      <c r="Y77" s="27" t="s">
        <v>2501</v>
      </c>
      <c r="Z77" s="27" t="s">
        <v>2501</v>
      </c>
      <c r="AA77" s="27" t="s">
        <v>2501</v>
      </c>
      <c r="AB77" s="27" t="s">
        <v>2501</v>
      </c>
      <c r="AC77" s="27" t="s">
        <v>2501</v>
      </c>
      <c r="AD77" s="27" t="s">
        <v>2501</v>
      </c>
      <c r="AE77" s="27" t="s">
        <v>2501</v>
      </c>
      <c r="AF77" s="27" t="s">
        <v>2501</v>
      </c>
      <c r="AG77" s="48" t="s">
        <v>2501</v>
      </c>
      <c r="AH77" s="48" t="s">
        <v>2501</v>
      </c>
      <c r="AI77" s="48" t="s">
        <v>2588</v>
      </c>
      <c r="AJ77" s="50" t="s">
        <v>2567</v>
      </c>
      <c r="AK77" s="51" t="s">
        <v>55</v>
      </c>
      <c r="AL77" s="27" t="s">
        <v>54</v>
      </c>
      <c r="AM77" s="32"/>
      <c r="AN77" s="30"/>
      <c r="AO77" s="26"/>
      <c r="AP77" s="7">
        <f>VLOOKUP(B:B,Table3[#All],4,0)</f>
        <v>4800</v>
      </c>
      <c r="AQ77" s="7">
        <f>calcShift1(Таблица1[[#This Row],[Столбец5]:[Столбец36]])</f>
        <v>80</v>
      </c>
      <c r="AR77" s="7">
        <f>calcShift2(Таблица1[[#This Row],[Столбец5]:[Столбец36]])</f>
        <v>0</v>
      </c>
      <c r="AS77" s="7">
        <f>calcShift3(Таблица1[[#This Row],[Столбец5]:[Столбец36]])</f>
        <v>0</v>
      </c>
      <c r="AT77" s="26"/>
      <c r="AU77" s="7">
        <f>calcYavka(Таблица1[[#This Row],[Столбец5]:[Столбец36]])</f>
        <v>10</v>
      </c>
      <c r="AV77" s="31"/>
      <c r="AW77" s="18">
        <f>VLOOKUP(B:B,ДОП_ВСІ!B:AS,44,0)</f>
        <v>0</v>
      </c>
      <c r="AX77" s="7">
        <f>VLOOKUP(B:B,ДОП_ВСІ!B:AQ,42,0)</f>
        <v>0</v>
      </c>
      <c r="AY77" s="7">
        <f>Таблица1[[#This Row],[Столбец47]]*30</f>
        <v>300</v>
      </c>
      <c r="AZ77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77" s="26"/>
      <c r="BB77" s="47">
        <f>calcTS(Таблица1[[#This Row],[Столбец5]:[Столбец36]])</f>
        <v>0</v>
      </c>
    </row>
    <row r="78" spans="1:54" ht="42" x14ac:dyDescent="0.35">
      <c r="A78" s="25" t="s">
        <v>641</v>
      </c>
      <c r="B78" s="26" t="s">
        <v>642</v>
      </c>
      <c r="C78" s="27" t="s">
        <v>639</v>
      </c>
      <c r="D78" s="20" t="s">
        <v>2564</v>
      </c>
      <c r="E78" s="28" t="s">
        <v>2543</v>
      </c>
      <c r="F78" s="27" t="s">
        <v>2486</v>
      </c>
      <c r="G78" s="27" t="s">
        <v>2486</v>
      </c>
      <c r="H78" s="27" t="s">
        <v>2543</v>
      </c>
      <c r="I78" s="27" t="s">
        <v>2543</v>
      </c>
      <c r="J78" s="27" t="s">
        <v>2543</v>
      </c>
      <c r="K78" s="28" t="s">
        <v>2543</v>
      </c>
      <c r="L78" s="27" t="s">
        <v>2543</v>
      </c>
      <c r="M78" s="27" t="s">
        <v>2486</v>
      </c>
      <c r="N78" s="28" t="s">
        <v>2486</v>
      </c>
      <c r="O78" s="28" t="s">
        <v>2543</v>
      </c>
      <c r="P78" s="28" t="s">
        <v>2543</v>
      </c>
      <c r="Q78" s="28" t="s">
        <v>2543</v>
      </c>
      <c r="R78" s="27" t="s">
        <v>2543</v>
      </c>
      <c r="S78" s="27" t="s">
        <v>2543</v>
      </c>
      <c r="T78" s="27" t="s">
        <v>2486</v>
      </c>
      <c r="U78" s="27" t="s">
        <v>2486</v>
      </c>
      <c r="V78" s="27" t="s">
        <v>2543</v>
      </c>
      <c r="W78" s="27" t="s">
        <v>2543</v>
      </c>
      <c r="X78" s="27" t="s">
        <v>2543</v>
      </c>
      <c r="Y78" s="27" t="s">
        <v>2543</v>
      </c>
      <c r="Z78" s="27" t="s">
        <v>2543</v>
      </c>
      <c r="AA78" s="27" t="s">
        <v>2543</v>
      </c>
      <c r="AB78" s="27" t="s">
        <v>2486</v>
      </c>
      <c r="AC78" s="27" t="s">
        <v>2543</v>
      </c>
      <c r="AD78" s="27" t="s">
        <v>2543</v>
      </c>
      <c r="AE78" s="27" t="s">
        <v>2570</v>
      </c>
      <c r="AF78" s="27" t="s">
        <v>2486</v>
      </c>
      <c r="AG78" s="48" t="s">
        <v>2486</v>
      </c>
      <c r="AH78" s="48" t="s">
        <v>2486</v>
      </c>
      <c r="AI78" s="48" t="s">
        <v>2567</v>
      </c>
      <c r="AJ78" s="50" t="s">
        <v>2567</v>
      </c>
      <c r="AK78" s="51" t="s">
        <v>54</v>
      </c>
      <c r="AL78" s="27" t="s">
        <v>55</v>
      </c>
      <c r="AM78" s="32"/>
      <c r="AN78" s="30"/>
      <c r="AO78" s="26"/>
      <c r="AP78" s="7">
        <f>VLOOKUP(B:B,Table3[#All],4,0)</f>
        <v>4800</v>
      </c>
      <c r="AQ78" s="7">
        <f>calcShift1(Таблица1[[#This Row],[Столбец5]:[Столбец36]])</f>
        <v>158.99999999999994</v>
      </c>
      <c r="AR78" s="7">
        <f>calcShift2(Таблица1[[#This Row],[Столбец5]:[Столбец36]])</f>
        <v>0</v>
      </c>
      <c r="AS78" s="7">
        <f>calcShift3(Таблица1[[#This Row],[Столбец5]:[Столбец36]])</f>
        <v>0</v>
      </c>
      <c r="AT78" s="26"/>
      <c r="AU78" s="7">
        <f>calcYavka(Таблица1[[#This Row],[Столбец5]:[Столбец36]])</f>
        <v>20</v>
      </c>
      <c r="AV78" s="31"/>
      <c r="AW78" s="18">
        <f>VLOOKUP(B:B,ДОП_ВСІ!B:AS,44,0)</f>
        <v>0</v>
      </c>
      <c r="AX78" s="7">
        <f>VLOOKUP(B:B,ДОП_ВСІ!B:AQ,42,0)</f>
        <v>0</v>
      </c>
      <c r="AY78" s="7">
        <f>Таблица1[[#This Row],[Столбец47]]*30</f>
        <v>600</v>
      </c>
      <c r="AZ78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78" s="26"/>
      <c r="BB78" s="47">
        <f>calcTS(Таблица1[[#This Row],[Столбец5]:[Столбец36]])</f>
        <v>0</v>
      </c>
    </row>
    <row r="79" spans="1:54" ht="42" x14ac:dyDescent="0.35">
      <c r="A79" s="25" t="s">
        <v>643</v>
      </c>
      <c r="B79" s="26" t="s">
        <v>644</v>
      </c>
      <c r="C79" s="27" t="s">
        <v>639</v>
      </c>
      <c r="D79" s="20" t="s">
        <v>2564</v>
      </c>
      <c r="E79" s="28" t="s">
        <v>2543</v>
      </c>
      <c r="F79" s="27" t="s">
        <v>2486</v>
      </c>
      <c r="G79" s="27" t="s">
        <v>2486</v>
      </c>
      <c r="H79" s="27" t="s">
        <v>2543</v>
      </c>
      <c r="I79" s="27" t="s">
        <v>2543</v>
      </c>
      <c r="J79" s="27" t="s">
        <v>2543</v>
      </c>
      <c r="K79" s="28" t="s">
        <v>2543</v>
      </c>
      <c r="L79" s="27" t="s">
        <v>2543</v>
      </c>
      <c r="M79" s="27" t="s">
        <v>2486</v>
      </c>
      <c r="N79" s="28" t="s">
        <v>2486</v>
      </c>
      <c r="O79" s="28" t="s">
        <v>2543</v>
      </c>
      <c r="P79" s="28" t="s">
        <v>2543</v>
      </c>
      <c r="Q79" s="28" t="s">
        <v>2543</v>
      </c>
      <c r="R79" s="27" t="s">
        <v>2543</v>
      </c>
      <c r="S79" s="27" t="s">
        <v>2543</v>
      </c>
      <c r="T79" s="27" t="s">
        <v>2486</v>
      </c>
      <c r="U79" s="27" t="s">
        <v>2486</v>
      </c>
      <c r="V79" s="27" t="s">
        <v>2543</v>
      </c>
      <c r="W79" s="27" t="s">
        <v>2543</v>
      </c>
      <c r="X79" s="27" t="s">
        <v>2543</v>
      </c>
      <c r="Y79" s="27" t="s">
        <v>2543</v>
      </c>
      <c r="Z79" s="27" t="s">
        <v>2543</v>
      </c>
      <c r="AA79" s="27" t="s">
        <v>2543</v>
      </c>
      <c r="AB79" s="27" t="s">
        <v>2486</v>
      </c>
      <c r="AC79" s="27" t="s">
        <v>2543</v>
      </c>
      <c r="AD79" s="27" t="s">
        <v>2543</v>
      </c>
      <c r="AE79" s="27" t="s">
        <v>2570</v>
      </c>
      <c r="AF79" s="27" t="s">
        <v>2486</v>
      </c>
      <c r="AG79" s="48" t="s">
        <v>2486</v>
      </c>
      <c r="AH79" s="48" t="s">
        <v>2486</v>
      </c>
      <c r="AI79" s="48" t="s">
        <v>2567</v>
      </c>
      <c r="AJ79" s="50" t="s">
        <v>2567</v>
      </c>
      <c r="AK79" s="51" t="s">
        <v>54</v>
      </c>
      <c r="AL79" s="27" t="s">
        <v>55</v>
      </c>
      <c r="AM79" s="32"/>
      <c r="AN79" s="30"/>
      <c r="AO79" s="26"/>
      <c r="AP79" s="7">
        <f>VLOOKUP(B:B,Table3[#All],4,0)</f>
        <v>4800</v>
      </c>
      <c r="AQ79" s="7">
        <f>calcShift1(Таблица1[[#This Row],[Столбец5]:[Столбец36]])</f>
        <v>158.99999999999994</v>
      </c>
      <c r="AR79" s="7">
        <f>calcShift2(Таблица1[[#This Row],[Столбец5]:[Столбец36]])</f>
        <v>0</v>
      </c>
      <c r="AS79" s="7">
        <f>calcShift3(Таблица1[[#This Row],[Столбец5]:[Столбец36]])</f>
        <v>0</v>
      </c>
      <c r="AT79" s="26"/>
      <c r="AU79" s="7">
        <f>calcYavka(Таблица1[[#This Row],[Столбец5]:[Столбец36]])</f>
        <v>20</v>
      </c>
      <c r="AV79" s="31"/>
      <c r="AW79" s="18">
        <f>VLOOKUP(B:B,ДОП_ВСІ!B:AS,44,0)</f>
        <v>540</v>
      </c>
      <c r="AX79" s="7">
        <f>VLOOKUP(B:B,ДОП_ВСІ!B:AQ,42,0)</f>
        <v>0</v>
      </c>
      <c r="AY79" s="7">
        <f>Таблица1[[#This Row],[Столбец47]]*30</f>
        <v>600</v>
      </c>
      <c r="AZ79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79" s="26"/>
      <c r="BB79" s="47">
        <f>calcTS(Таблица1[[#This Row],[Столбец5]:[Столбец36]])</f>
        <v>0</v>
      </c>
    </row>
    <row r="80" spans="1:54" x14ac:dyDescent="0.35">
      <c r="A80" s="25" t="s">
        <v>646</v>
      </c>
      <c r="B80" s="26" t="s">
        <v>647</v>
      </c>
      <c r="C80" s="27" t="s">
        <v>639</v>
      </c>
      <c r="D80" s="20" t="s">
        <v>2564</v>
      </c>
      <c r="E80" s="28" t="s">
        <v>2486</v>
      </c>
      <c r="F80" s="27" t="s">
        <v>2486</v>
      </c>
      <c r="G80" s="27" t="s">
        <v>2486</v>
      </c>
      <c r="H80" s="27" t="s">
        <v>2486</v>
      </c>
      <c r="I80" s="27" t="s">
        <v>2486</v>
      </c>
      <c r="J80" s="27" t="s">
        <v>2486</v>
      </c>
      <c r="K80" s="28" t="s">
        <v>2486</v>
      </c>
      <c r="L80" s="27" t="s">
        <v>2486</v>
      </c>
      <c r="M80" s="27" t="s">
        <v>2486</v>
      </c>
      <c r="N80" s="28" t="s">
        <v>2486</v>
      </c>
      <c r="O80" s="28" t="s">
        <v>2486</v>
      </c>
      <c r="P80" s="28" t="s">
        <v>2486</v>
      </c>
      <c r="Q80" s="28" t="s">
        <v>2486</v>
      </c>
      <c r="R80" s="27" t="s">
        <v>2486</v>
      </c>
      <c r="S80" s="27" t="s">
        <v>141</v>
      </c>
      <c r="T80" s="27" t="s">
        <v>2486</v>
      </c>
      <c r="U80" s="27" t="s">
        <v>2486</v>
      </c>
      <c r="V80" s="27" t="s">
        <v>2543</v>
      </c>
      <c r="W80" s="27" t="s">
        <v>2543</v>
      </c>
      <c r="X80" s="27" t="s">
        <v>2543</v>
      </c>
      <c r="Y80" s="27" t="s">
        <v>2543</v>
      </c>
      <c r="Z80" s="27" t="s">
        <v>2543</v>
      </c>
      <c r="AA80" s="27" t="s">
        <v>2543</v>
      </c>
      <c r="AB80" s="27" t="s">
        <v>2486</v>
      </c>
      <c r="AC80" s="27" t="s">
        <v>2543</v>
      </c>
      <c r="AD80" s="27" t="s">
        <v>2543</v>
      </c>
      <c r="AE80" s="27" t="s">
        <v>2570</v>
      </c>
      <c r="AF80" s="27" t="s">
        <v>2486</v>
      </c>
      <c r="AG80" s="48" t="s">
        <v>2486</v>
      </c>
      <c r="AH80" s="48" t="s">
        <v>2486</v>
      </c>
      <c r="AI80" s="48" t="s">
        <v>2589</v>
      </c>
      <c r="AJ80" s="50" t="s">
        <v>2589</v>
      </c>
      <c r="AK80" s="51" t="s">
        <v>55</v>
      </c>
      <c r="AL80" s="27" t="s">
        <v>54</v>
      </c>
      <c r="AM80" s="32"/>
      <c r="AN80" s="30"/>
      <c r="AO80" s="26"/>
      <c r="AP80" s="7">
        <f>VLOOKUP(B:B,Table3[#All],4,0)</f>
        <v>4800</v>
      </c>
      <c r="AQ80" s="7">
        <f>calcShift1(Таблица1[[#This Row],[Столбец5]:[Столбец36]])</f>
        <v>79</v>
      </c>
      <c r="AR80" s="7">
        <f>calcShift2(Таблица1[[#This Row],[Столбец5]:[Столбец36]])</f>
        <v>0</v>
      </c>
      <c r="AS80" s="7">
        <f>calcShift3(Таблица1[[#This Row],[Столбец5]:[Столбец36]])</f>
        <v>0</v>
      </c>
      <c r="AT80" s="26"/>
      <c r="AU80" s="7">
        <f>calcYavka(Таблица1[[#This Row],[Столбец5]:[Столбец36]])</f>
        <v>10</v>
      </c>
      <c r="AV80" s="31"/>
      <c r="AW80" s="18">
        <f>VLOOKUP(B:B,ДОП_ВСІ!B:AS,44,0)</f>
        <v>0</v>
      </c>
      <c r="AX80" s="7">
        <f>VLOOKUP(B:B,ДОП_ВСІ!B:AQ,42,0)</f>
        <v>0</v>
      </c>
      <c r="AY80" s="7">
        <f>Таблица1[[#This Row],[Столбец47]]*30</f>
        <v>300</v>
      </c>
      <c r="AZ80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80" s="26"/>
      <c r="BB80" s="47">
        <f>calcTS(Таблица1[[#This Row],[Столбец5]:[Столбец36]])</f>
        <v>0</v>
      </c>
    </row>
    <row r="81" spans="1:54" ht="42" x14ac:dyDescent="0.35">
      <c r="A81" s="25" t="s">
        <v>648</v>
      </c>
      <c r="B81" s="26" t="s">
        <v>649</v>
      </c>
      <c r="C81" s="27" t="s">
        <v>639</v>
      </c>
      <c r="D81" s="20" t="s">
        <v>2564</v>
      </c>
      <c r="E81" s="28" t="s">
        <v>2543</v>
      </c>
      <c r="F81" s="27" t="s">
        <v>2486</v>
      </c>
      <c r="G81" s="27" t="s">
        <v>2486</v>
      </c>
      <c r="H81" s="27" t="s">
        <v>2543</v>
      </c>
      <c r="I81" s="27" t="s">
        <v>141</v>
      </c>
      <c r="J81" s="27" t="s">
        <v>141</v>
      </c>
      <c r="K81" s="28" t="s">
        <v>2543</v>
      </c>
      <c r="L81" s="27" t="s">
        <v>2543</v>
      </c>
      <c r="M81" s="27" t="s">
        <v>2486</v>
      </c>
      <c r="N81" s="28" t="s">
        <v>2486</v>
      </c>
      <c r="O81" s="28" t="s">
        <v>141</v>
      </c>
      <c r="P81" s="28" t="s">
        <v>141</v>
      </c>
      <c r="Q81" s="28" t="s">
        <v>141</v>
      </c>
      <c r="R81" s="27" t="s">
        <v>141</v>
      </c>
      <c r="S81" s="27" t="s">
        <v>141</v>
      </c>
      <c r="T81" s="27" t="s">
        <v>2486</v>
      </c>
      <c r="U81" s="27" t="s">
        <v>2486</v>
      </c>
      <c r="V81" s="27" t="s">
        <v>2543</v>
      </c>
      <c r="W81" s="27" t="s">
        <v>2543</v>
      </c>
      <c r="X81" s="27" t="s">
        <v>2543</v>
      </c>
      <c r="Y81" s="27" t="s">
        <v>2543</v>
      </c>
      <c r="Z81" s="27" t="s">
        <v>2543</v>
      </c>
      <c r="AA81" s="27" t="s">
        <v>2543</v>
      </c>
      <c r="AB81" s="27" t="s">
        <v>2486</v>
      </c>
      <c r="AC81" s="27" t="s">
        <v>2543</v>
      </c>
      <c r="AD81" s="27" t="s">
        <v>2543</v>
      </c>
      <c r="AE81" s="27" t="s">
        <v>2570</v>
      </c>
      <c r="AF81" s="27" t="s">
        <v>2486</v>
      </c>
      <c r="AG81" s="48" t="s">
        <v>2486</v>
      </c>
      <c r="AH81" s="48" t="s">
        <v>2486</v>
      </c>
      <c r="AI81" s="48" t="s">
        <v>2567</v>
      </c>
      <c r="AJ81" s="50" t="s">
        <v>2567</v>
      </c>
      <c r="AK81" s="51" t="s">
        <v>54</v>
      </c>
      <c r="AL81" s="27" t="s">
        <v>55</v>
      </c>
      <c r="AM81" s="32"/>
      <c r="AN81" s="30"/>
      <c r="AO81" s="26"/>
      <c r="AP81" s="7">
        <f>VLOOKUP(B:B,Table3[#All],4,0)</f>
        <v>4800</v>
      </c>
      <c r="AQ81" s="7">
        <f>calcShift1(Таблица1[[#This Row],[Столбец5]:[Столбец36]])</f>
        <v>158.99999999999994</v>
      </c>
      <c r="AR81" s="7">
        <f>calcShift2(Таблица1[[#This Row],[Столбец5]:[Столбец36]])</f>
        <v>0</v>
      </c>
      <c r="AS81" s="7">
        <f>calcShift3(Таблица1[[#This Row],[Столбец5]:[Столбец36]])</f>
        <v>0</v>
      </c>
      <c r="AT81" s="26"/>
      <c r="AU81" s="7">
        <f>calcYavka(Таблица1[[#This Row],[Столбец5]:[Столбец36]])</f>
        <v>20</v>
      </c>
      <c r="AV81" s="31"/>
      <c r="AW81" s="18">
        <f>VLOOKUP(B:B,ДОП_ВСІ!B:AS,44,0)</f>
        <v>420</v>
      </c>
      <c r="AX81" s="7">
        <f>VLOOKUP(B:B,ДОП_ВСІ!B:AQ,42,0)</f>
        <v>0</v>
      </c>
      <c r="AY81" s="7">
        <f>Таблица1[[#This Row],[Столбец47]]*30</f>
        <v>600</v>
      </c>
      <c r="AZ81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81" s="26"/>
      <c r="BB81" s="47">
        <f>calcTS(Таблица1[[#This Row],[Столбец5]:[Столбец36]])</f>
        <v>0</v>
      </c>
    </row>
    <row r="82" spans="1:54" x14ac:dyDescent="0.35">
      <c r="A82" s="25" t="s">
        <v>650</v>
      </c>
      <c r="B82" s="26" t="s">
        <v>651</v>
      </c>
      <c r="C82" s="27" t="s">
        <v>639</v>
      </c>
      <c r="D82" s="20" t="s">
        <v>2564</v>
      </c>
      <c r="E82" s="28" t="s">
        <v>2486</v>
      </c>
      <c r="F82" s="27" t="s">
        <v>2543</v>
      </c>
      <c r="G82" s="27" t="s">
        <v>2543</v>
      </c>
      <c r="H82" s="27" t="s">
        <v>2543</v>
      </c>
      <c r="I82" s="27" t="s">
        <v>2492</v>
      </c>
      <c r="J82" s="27" t="s">
        <v>2486</v>
      </c>
      <c r="K82" s="28" t="s">
        <v>2486</v>
      </c>
      <c r="L82" s="27" t="s">
        <v>2542</v>
      </c>
      <c r="M82" s="27" t="s">
        <v>2542</v>
      </c>
      <c r="N82" s="28" t="s">
        <v>2492</v>
      </c>
      <c r="O82" s="28" t="s">
        <v>2501</v>
      </c>
      <c r="P82" s="28" t="s">
        <v>2501</v>
      </c>
      <c r="Q82" s="28" t="s">
        <v>2501</v>
      </c>
      <c r="R82" s="27" t="s">
        <v>2501</v>
      </c>
      <c r="S82" s="27" t="s">
        <v>2501</v>
      </c>
      <c r="T82" s="27" t="s">
        <v>2501</v>
      </c>
      <c r="U82" s="27" t="s">
        <v>2501</v>
      </c>
      <c r="V82" s="27" t="s">
        <v>2501</v>
      </c>
      <c r="W82" s="27" t="s">
        <v>2501</v>
      </c>
      <c r="X82" s="27" t="s">
        <v>2501</v>
      </c>
      <c r="Y82" s="27" t="s">
        <v>2501</v>
      </c>
      <c r="Z82" s="27" t="s">
        <v>2501</v>
      </c>
      <c r="AA82" s="27" t="s">
        <v>2501</v>
      </c>
      <c r="AB82" s="27" t="s">
        <v>2501</v>
      </c>
      <c r="AC82" s="27" t="s">
        <v>2501</v>
      </c>
      <c r="AD82" s="27" t="s">
        <v>2501</v>
      </c>
      <c r="AE82" s="27" t="s">
        <v>2501</v>
      </c>
      <c r="AF82" s="27" t="s">
        <v>2501</v>
      </c>
      <c r="AG82" s="48" t="s">
        <v>2501</v>
      </c>
      <c r="AH82" s="48" t="s">
        <v>2501</v>
      </c>
      <c r="AI82" s="48" t="s">
        <v>2590</v>
      </c>
      <c r="AJ82" s="50" t="s">
        <v>2580</v>
      </c>
      <c r="AK82" s="51" t="s">
        <v>2591</v>
      </c>
      <c r="AL82" s="27" t="s">
        <v>90</v>
      </c>
      <c r="AM82" s="32"/>
      <c r="AN82" s="30"/>
      <c r="AO82" s="26"/>
      <c r="AP82" s="7">
        <f>VLOOKUP(B:B,Table3[#All],4,0)</f>
        <v>4800</v>
      </c>
      <c r="AQ82" s="7">
        <f>calcShift1(Таблица1[[#This Row],[Столбец5]:[Столбец36]])</f>
        <v>24</v>
      </c>
      <c r="AR82" s="7">
        <f>calcShift2(Таблица1[[#This Row],[Столбец5]:[Столбец36]])</f>
        <v>16</v>
      </c>
      <c r="AS82" s="7">
        <f>calcShift3(Таблица1[[#This Row],[Столбец5]:[Столбец36]])</f>
        <v>0</v>
      </c>
      <c r="AT82" s="26"/>
      <c r="AU82" s="7">
        <f>calcYavka(Таблица1[[#This Row],[Столбец5]:[Столбец36]])</f>
        <v>5</v>
      </c>
      <c r="AV82" s="31"/>
      <c r="AW82" s="18">
        <f>VLOOKUP(B:B,ДОП_ВСІ!B:AS,44,0)</f>
        <v>0</v>
      </c>
      <c r="AX82" s="7">
        <f>VLOOKUP(B:B,ДОП_ВСІ!B:AQ,42,0)</f>
        <v>0</v>
      </c>
      <c r="AY82" s="7">
        <f>Таблица1[[#This Row],[Столбец47]]*30</f>
        <v>150</v>
      </c>
      <c r="AZ82" s="6">
        <f>((((Таблица1[[#This Row],[Столбец42]]/160)*Таблица1[[#This Row],[Столбец44]])*0.25)*0.35)+((((Таблица1[[#This Row],[Столбец42]]/160)*Таблица1[[#This Row],[Столбец44]])*0.5)*0.2)</f>
        <v>90</v>
      </c>
      <c r="BA82" s="26"/>
      <c r="BB82" s="47">
        <f>calcTS(Таблица1[[#This Row],[Столбец5]:[Столбец36]])</f>
        <v>0</v>
      </c>
    </row>
    <row r="83" spans="1:54" ht="42" x14ac:dyDescent="0.35">
      <c r="A83" s="25" t="s">
        <v>652</v>
      </c>
      <c r="B83" s="26" t="s">
        <v>653</v>
      </c>
      <c r="C83" s="27" t="s">
        <v>639</v>
      </c>
      <c r="D83" s="20" t="s">
        <v>2564</v>
      </c>
      <c r="E83" s="28" t="s">
        <v>2543</v>
      </c>
      <c r="F83" s="27" t="s">
        <v>2486</v>
      </c>
      <c r="G83" s="27" t="s">
        <v>2486</v>
      </c>
      <c r="H83" s="27" t="s">
        <v>2543</v>
      </c>
      <c r="I83" s="27" t="s">
        <v>2543</v>
      </c>
      <c r="J83" s="27" t="s">
        <v>2543</v>
      </c>
      <c r="K83" s="28" t="s">
        <v>141</v>
      </c>
      <c r="L83" s="27" t="s">
        <v>141</v>
      </c>
      <c r="M83" s="27" t="s">
        <v>2486</v>
      </c>
      <c r="N83" s="28" t="s">
        <v>2486</v>
      </c>
      <c r="O83" s="28" t="s">
        <v>141</v>
      </c>
      <c r="P83" s="28" t="s">
        <v>141</v>
      </c>
      <c r="Q83" s="28" t="s">
        <v>141</v>
      </c>
      <c r="R83" s="27" t="s">
        <v>141</v>
      </c>
      <c r="S83" s="27" t="s">
        <v>141</v>
      </c>
      <c r="T83" s="27" t="s">
        <v>2486</v>
      </c>
      <c r="U83" s="27" t="s">
        <v>2486</v>
      </c>
      <c r="V83" s="27" t="s">
        <v>2485</v>
      </c>
      <c r="W83" s="27" t="s">
        <v>2485</v>
      </c>
      <c r="X83" s="27" t="s">
        <v>2485</v>
      </c>
      <c r="Y83" s="27" t="s">
        <v>2485</v>
      </c>
      <c r="Z83" s="27" t="s">
        <v>2485</v>
      </c>
      <c r="AA83" s="27" t="s">
        <v>2485</v>
      </c>
      <c r="AB83" s="27" t="s">
        <v>2486</v>
      </c>
      <c r="AC83" s="27" t="s">
        <v>2485</v>
      </c>
      <c r="AD83" s="27" t="s">
        <v>2485</v>
      </c>
      <c r="AE83" s="27" t="s">
        <v>2485</v>
      </c>
      <c r="AF83" s="27" t="s">
        <v>2486</v>
      </c>
      <c r="AG83" s="48" t="s">
        <v>2486</v>
      </c>
      <c r="AH83" s="48" t="s">
        <v>2486</v>
      </c>
      <c r="AI83" s="48" t="s">
        <v>2587</v>
      </c>
      <c r="AJ83" s="50" t="s">
        <v>2567</v>
      </c>
      <c r="AK83" s="51" t="s">
        <v>71</v>
      </c>
      <c r="AL83" s="27" t="s">
        <v>72</v>
      </c>
      <c r="AM83" s="32"/>
      <c r="AN83" s="30"/>
      <c r="AO83" s="26"/>
      <c r="AP83" s="7">
        <f>VLOOKUP(B:B,Table3[#All],4,0)</f>
        <v>4800</v>
      </c>
      <c r="AQ83" s="7">
        <f>calcShift1(Таблица1[[#This Row],[Столбец5]:[Столбец36]])</f>
        <v>88</v>
      </c>
      <c r="AR83" s="7">
        <f>calcShift2(Таблица1[[#This Row],[Столбец5]:[Столбец36]])</f>
        <v>0</v>
      </c>
      <c r="AS83" s="7">
        <f>calcShift3(Таблица1[[#This Row],[Столбец5]:[Столбец36]])</f>
        <v>0</v>
      </c>
      <c r="AT83" s="26"/>
      <c r="AU83" s="7">
        <f>calcYavka(Таблица1[[#This Row],[Столбец5]:[Столбец36]])</f>
        <v>11</v>
      </c>
      <c r="AV83" s="31"/>
      <c r="AW83" s="18">
        <f>VLOOKUP(B:B,ДОП_ВСІ!B:AS,44,0)</f>
        <v>480</v>
      </c>
      <c r="AX83" s="7">
        <f>VLOOKUP(B:B,ДОП_ВСІ!B:AQ,42,0)</f>
        <v>0</v>
      </c>
      <c r="AY83" s="7">
        <f>Таблица1[[#This Row],[Столбец47]]*30</f>
        <v>330</v>
      </c>
      <c r="AZ83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83" s="26"/>
      <c r="BB83" s="47">
        <f>calcTS(Таблица1[[#This Row],[Столбец5]:[Столбец36]])</f>
        <v>0</v>
      </c>
    </row>
    <row r="84" spans="1:54" ht="42" x14ac:dyDescent="0.35">
      <c r="A84" s="25" t="s">
        <v>654</v>
      </c>
      <c r="B84" s="26" t="s">
        <v>655</v>
      </c>
      <c r="C84" s="27" t="s">
        <v>639</v>
      </c>
      <c r="D84" s="20" t="s">
        <v>2564</v>
      </c>
      <c r="E84" s="28" t="s">
        <v>2543</v>
      </c>
      <c r="F84" s="27" t="s">
        <v>2486</v>
      </c>
      <c r="G84" s="27" t="s">
        <v>2486</v>
      </c>
      <c r="H84" s="27" t="s">
        <v>2543</v>
      </c>
      <c r="I84" s="27" t="s">
        <v>2543</v>
      </c>
      <c r="J84" s="27" t="s">
        <v>2543</v>
      </c>
      <c r="K84" s="28" t="s">
        <v>2570</v>
      </c>
      <c r="L84" s="27" t="s">
        <v>2543</v>
      </c>
      <c r="M84" s="27" t="s">
        <v>2486</v>
      </c>
      <c r="N84" s="28" t="s">
        <v>2486</v>
      </c>
      <c r="O84" s="28" t="s">
        <v>141</v>
      </c>
      <c r="P84" s="28" t="s">
        <v>141</v>
      </c>
      <c r="Q84" s="28" t="s">
        <v>141</v>
      </c>
      <c r="R84" s="27" t="s">
        <v>141</v>
      </c>
      <c r="S84" s="27" t="s">
        <v>141</v>
      </c>
      <c r="T84" s="27" t="s">
        <v>2486</v>
      </c>
      <c r="U84" s="27" t="s">
        <v>2486</v>
      </c>
      <c r="V84" s="27" t="s">
        <v>2543</v>
      </c>
      <c r="W84" s="27" t="s">
        <v>2543</v>
      </c>
      <c r="X84" s="27" t="s">
        <v>2543</v>
      </c>
      <c r="Y84" s="27" t="s">
        <v>2543</v>
      </c>
      <c r="Z84" s="27" t="s">
        <v>2543</v>
      </c>
      <c r="AA84" s="27" t="s">
        <v>2485</v>
      </c>
      <c r="AB84" s="27" t="s">
        <v>2486</v>
      </c>
      <c r="AC84" s="27" t="s">
        <v>2543</v>
      </c>
      <c r="AD84" s="27" t="s">
        <v>2543</v>
      </c>
      <c r="AE84" s="27" t="s">
        <v>2570</v>
      </c>
      <c r="AF84" s="27" t="s">
        <v>2486</v>
      </c>
      <c r="AG84" s="48" t="s">
        <v>2486</v>
      </c>
      <c r="AH84" s="48" t="s">
        <v>2486</v>
      </c>
      <c r="AI84" s="48" t="s">
        <v>2592</v>
      </c>
      <c r="AJ84" s="50" t="s">
        <v>2567</v>
      </c>
      <c r="AK84" s="51" t="s">
        <v>72</v>
      </c>
      <c r="AL84" s="27" t="s">
        <v>71</v>
      </c>
      <c r="AM84" s="32"/>
      <c r="AN84" s="30"/>
      <c r="AO84" s="26"/>
      <c r="AP84" s="7">
        <f>VLOOKUP(B:B,Table3[#All],4,0)</f>
        <v>4800</v>
      </c>
      <c r="AQ84" s="7">
        <f>calcShift1(Таблица1[[#This Row],[Столбец5]:[Столбец36]])</f>
        <v>149.99999999999997</v>
      </c>
      <c r="AR84" s="7">
        <f>calcShift2(Таблица1[[#This Row],[Столбец5]:[Столбец36]])</f>
        <v>0</v>
      </c>
      <c r="AS84" s="7">
        <f>calcShift3(Таблица1[[#This Row],[Столбец5]:[Столбец36]])</f>
        <v>0</v>
      </c>
      <c r="AT84" s="26"/>
      <c r="AU84" s="7">
        <f>calcYavka(Таблица1[[#This Row],[Столбец5]:[Столбец36]])</f>
        <v>19</v>
      </c>
      <c r="AV84" s="31"/>
      <c r="AW84" s="18">
        <f>VLOOKUP(B:B,ДОП_ВСІ!B:AS,44,0)</f>
        <v>0</v>
      </c>
      <c r="AX84" s="7">
        <f>VLOOKUP(B:B,ДОП_ВСІ!B:AQ,42,0)</f>
        <v>0</v>
      </c>
      <c r="AY84" s="7">
        <f>Таблица1[[#This Row],[Столбец47]]*30</f>
        <v>570</v>
      </c>
      <c r="AZ84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84" s="26"/>
      <c r="BB84" s="47">
        <f>calcTS(Таблица1[[#This Row],[Столбец5]:[Столбец36]])</f>
        <v>0</v>
      </c>
    </row>
    <row r="85" spans="1:54" x14ac:dyDescent="0.35">
      <c r="A85" s="25" t="s">
        <v>656</v>
      </c>
      <c r="B85" s="26" t="s">
        <v>657</v>
      </c>
      <c r="C85" s="27" t="s">
        <v>639</v>
      </c>
      <c r="D85" s="20" t="s">
        <v>2564</v>
      </c>
      <c r="E85" s="28" t="s">
        <v>141</v>
      </c>
      <c r="F85" s="27" t="s">
        <v>2486</v>
      </c>
      <c r="G85" s="27" t="s">
        <v>2486</v>
      </c>
      <c r="H85" s="27" t="s">
        <v>141</v>
      </c>
      <c r="I85" s="27" t="s">
        <v>141</v>
      </c>
      <c r="J85" s="27" t="s">
        <v>141</v>
      </c>
      <c r="K85" s="28" t="s">
        <v>141</v>
      </c>
      <c r="L85" s="27" t="s">
        <v>141</v>
      </c>
      <c r="M85" s="27" t="s">
        <v>2486</v>
      </c>
      <c r="N85" s="28" t="s">
        <v>2486</v>
      </c>
      <c r="O85" s="28" t="s">
        <v>141</v>
      </c>
      <c r="P85" s="28" t="s">
        <v>141</v>
      </c>
      <c r="Q85" s="28" t="s">
        <v>141</v>
      </c>
      <c r="R85" s="27" t="s">
        <v>141</v>
      </c>
      <c r="S85" s="27" t="s">
        <v>141</v>
      </c>
      <c r="T85" s="27" t="s">
        <v>2486</v>
      </c>
      <c r="U85" s="27" t="s">
        <v>2486</v>
      </c>
      <c r="V85" s="27" t="s">
        <v>2543</v>
      </c>
      <c r="W85" s="27" t="s">
        <v>2543</v>
      </c>
      <c r="X85" s="27" t="s">
        <v>2543</v>
      </c>
      <c r="Y85" s="27" t="s">
        <v>2543</v>
      </c>
      <c r="Z85" s="27" t="s">
        <v>2543</v>
      </c>
      <c r="AA85" s="27" t="s">
        <v>141</v>
      </c>
      <c r="AB85" s="27" t="s">
        <v>2486</v>
      </c>
      <c r="AC85" s="27" t="s">
        <v>141</v>
      </c>
      <c r="AD85" s="27" t="s">
        <v>2543</v>
      </c>
      <c r="AE85" s="27" t="s">
        <v>2570</v>
      </c>
      <c r="AF85" s="27" t="s">
        <v>2486</v>
      </c>
      <c r="AG85" s="48" t="s">
        <v>2486</v>
      </c>
      <c r="AH85" s="48" t="s">
        <v>2486</v>
      </c>
      <c r="AI85" s="48" t="s">
        <v>2567</v>
      </c>
      <c r="AJ85" s="50" t="s">
        <v>2567</v>
      </c>
      <c r="AK85" s="51" t="s">
        <v>54</v>
      </c>
      <c r="AL85" s="27" t="s">
        <v>55</v>
      </c>
      <c r="AM85" s="32"/>
      <c r="AN85" s="30"/>
      <c r="AO85" s="26"/>
      <c r="AP85" s="7">
        <f>VLOOKUP(B:B,Table3[#All],4,0)</f>
        <v>7500</v>
      </c>
      <c r="AQ85" s="7">
        <f>calcShift1(Таблица1[[#This Row],[Столбец5]:[Столбец36]])</f>
        <v>158.99999999999994</v>
      </c>
      <c r="AR85" s="7">
        <f>calcShift2(Таблица1[[#This Row],[Столбец5]:[Столбец36]])</f>
        <v>0</v>
      </c>
      <c r="AS85" s="7">
        <f>calcShift3(Таблица1[[#This Row],[Столбец5]:[Столбец36]])</f>
        <v>0</v>
      </c>
      <c r="AT85" s="26"/>
      <c r="AU85" s="7">
        <f>calcYavka(Таблица1[[#This Row],[Столбец5]:[Столбец36]])</f>
        <v>20</v>
      </c>
      <c r="AV85" s="31"/>
      <c r="AW85" s="18">
        <f>VLOOKUP(B:B,ДОП_ВСІ!B:AS,44,0)</f>
        <v>4218.75</v>
      </c>
      <c r="AX85" s="7">
        <f>VLOOKUP(B:B,ДОП_ВСІ!B:AQ,42,0)</f>
        <v>0</v>
      </c>
      <c r="AY85" s="7">
        <f>Таблица1[[#This Row],[Столбец47]]*30</f>
        <v>600</v>
      </c>
      <c r="AZ85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85" s="26"/>
      <c r="BB85" s="47">
        <f>calcTS(Таблица1[[#This Row],[Столбец5]:[Столбец36]])</f>
        <v>0</v>
      </c>
    </row>
    <row r="86" spans="1:54" x14ac:dyDescent="0.35">
      <c r="A86" s="25" t="s">
        <v>659</v>
      </c>
      <c r="B86" s="26" t="s">
        <v>660</v>
      </c>
      <c r="C86" s="27" t="s">
        <v>639</v>
      </c>
      <c r="D86" s="20" t="s">
        <v>2564</v>
      </c>
      <c r="E86" s="28" t="s">
        <v>141</v>
      </c>
      <c r="F86" s="27" t="s">
        <v>2486</v>
      </c>
      <c r="G86" s="27" t="s">
        <v>2486</v>
      </c>
      <c r="H86" s="27" t="s">
        <v>141</v>
      </c>
      <c r="I86" s="27" t="s">
        <v>141</v>
      </c>
      <c r="J86" s="27" t="s">
        <v>141</v>
      </c>
      <c r="K86" s="28" t="s">
        <v>141</v>
      </c>
      <c r="L86" s="27" t="s">
        <v>141</v>
      </c>
      <c r="M86" s="27" t="s">
        <v>2486</v>
      </c>
      <c r="N86" s="28" t="s">
        <v>2486</v>
      </c>
      <c r="O86" s="28" t="s">
        <v>141</v>
      </c>
      <c r="P86" s="28" t="s">
        <v>141</v>
      </c>
      <c r="Q86" s="28" t="s">
        <v>141</v>
      </c>
      <c r="R86" s="27" t="s">
        <v>141</v>
      </c>
      <c r="S86" s="27" t="s">
        <v>141</v>
      </c>
      <c r="T86" s="27" t="s">
        <v>2486</v>
      </c>
      <c r="U86" s="27" t="s">
        <v>2486</v>
      </c>
      <c r="V86" s="27" t="s">
        <v>2501</v>
      </c>
      <c r="W86" s="27" t="s">
        <v>2501</v>
      </c>
      <c r="X86" s="27" t="s">
        <v>2501</v>
      </c>
      <c r="Y86" s="27" t="s">
        <v>2501</v>
      </c>
      <c r="Z86" s="27" t="s">
        <v>2501</v>
      </c>
      <c r="AA86" s="27" t="s">
        <v>2501</v>
      </c>
      <c r="AB86" s="27" t="s">
        <v>2501</v>
      </c>
      <c r="AC86" s="27" t="s">
        <v>2501</v>
      </c>
      <c r="AD86" s="27" t="s">
        <v>2501</v>
      </c>
      <c r="AE86" s="27" t="s">
        <v>2501</v>
      </c>
      <c r="AF86" s="27" t="s">
        <v>2501</v>
      </c>
      <c r="AG86" s="48" t="s">
        <v>2501</v>
      </c>
      <c r="AH86" s="48" t="s">
        <v>2501</v>
      </c>
      <c r="AI86" s="48" t="s">
        <v>2587</v>
      </c>
      <c r="AJ86" s="50" t="s">
        <v>2580</v>
      </c>
      <c r="AK86" s="51" t="s">
        <v>71</v>
      </c>
      <c r="AL86" s="27" t="s">
        <v>72</v>
      </c>
      <c r="AM86" s="32"/>
      <c r="AN86" s="30"/>
      <c r="AO86" s="26"/>
      <c r="AP86" s="7">
        <f>VLOOKUP(B:B,Table3[#All],4,0)</f>
        <v>4800</v>
      </c>
      <c r="AQ86" s="7">
        <f>calcShift1(Таблица1[[#This Row],[Столбец5]:[Столбец36]])</f>
        <v>88</v>
      </c>
      <c r="AR86" s="7">
        <f>calcShift2(Таблица1[[#This Row],[Столбец5]:[Столбец36]])</f>
        <v>0</v>
      </c>
      <c r="AS86" s="7">
        <f>calcShift3(Таблица1[[#This Row],[Столбец5]:[Столбец36]])</f>
        <v>0</v>
      </c>
      <c r="AT86" s="26"/>
      <c r="AU86" s="7">
        <f>calcYavka(Таблица1[[#This Row],[Столбец5]:[Столбец36]])</f>
        <v>11</v>
      </c>
      <c r="AV86" s="31"/>
      <c r="AW86" s="18">
        <f>VLOOKUP(B:B,ДОП_ВСІ!B:AS,44,0)</f>
        <v>540</v>
      </c>
      <c r="AX86" s="7">
        <f>VLOOKUP(B:B,ДОП_ВСІ!B:AQ,42,0)</f>
        <v>0</v>
      </c>
      <c r="AY86" s="7">
        <f>Таблица1[[#This Row],[Столбец47]]*30</f>
        <v>330</v>
      </c>
      <c r="AZ86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86" s="26"/>
      <c r="BB86" s="47">
        <f>calcTS(Таблица1[[#This Row],[Столбец5]:[Столбец36]])</f>
        <v>0</v>
      </c>
    </row>
    <row r="87" spans="1:54" x14ac:dyDescent="0.35">
      <c r="A87" s="25" t="s">
        <v>661</v>
      </c>
      <c r="B87" s="26" t="s">
        <v>662</v>
      </c>
      <c r="C87" s="27" t="s">
        <v>639</v>
      </c>
      <c r="D87" s="20" t="s">
        <v>2564</v>
      </c>
      <c r="E87" s="28" t="s">
        <v>141</v>
      </c>
      <c r="F87" s="27" t="s">
        <v>2486</v>
      </c>
      <c r="G87" s="27" t="s">
        <v>2486</v>
      </c>
      <c r="H87" s="27" t="s">
        <v>141</v>
      </c>
      <c r="I87" s="27" t="s">
        <v>141</v>
      </c>
      <c r="J87" s="27" t="s">
        <v>141</v>
      </c>
      <c r="K87" s="28" t="s">
        <v>141</v>
      </c>
      <c r="L87" s="27" t="s">
        <v>2501</v>
      </c>
      <c r="M87" s="27" t="s">
        <v>2501</v>
      </c>
      <c r="N87" s="28" t="s">
        <v>2501</v>
      </c>
      <c r="O87" s="28" t="s">
        <v>2501</v>
      </c>
      <c r="P87" s="28" t="s">
        <v>2501</v>
      </c>
      <c r="Q87" s="28" t="s">
        <v>2501</v>
      </c>
      <c r="R87" s="27" t="s">
        <v>2501</v>
      </c>
      <c r="S87" s="27" t="s">
        <v>2501</v>
      </c>
      <c r="T87" s="27" t="s">
        <v>2501</v>
      </c>
      <c r="U87" s="27" t="s">
        <v>2501</v>
      </c>
      <c r="V87" s="27" t="s">
        <v>2501</v>
      </c>
      <c r="W87" s="27" t="s">
        <v>2501</v>
      </c>
      <c r="X87" s="27" t="s">
        <v>2501</v>
      </c>
      <c r="Y87" s="27" t="s">
        <v>2501</v>
      </c>
      <c r="Z87" s="27" t="s">
        <v>2501</v>
      </c>
      <c r="AA87" s="27" t="s">
        <v>2501</v>
      </c>
      <c r="AB87" s="27" t="s">
        <v>2501</v>
      </c>
      <c r="AC87" s="27" t="s">
        <v>2501</v>
      </c>
      <c r="AD87" s="27" t="s">
        <v>2501</v>
      </c>
      <c r="AE87" s="27" t="s">
        <v>2501</v>
      </c>
      <c r="AF87" s="27" t="s">
        <v>2501</v>
      </c>
      <c r="AG87" s="48" t="s">
        <v>2501</v>
      </c>
      <c r="AH87" s="48" t="s">
        <v>2501</v>
      </c>
      <c r="AI87" s="48" t="s">
        <v>2590</v>
      </c>
      <c r="AJ87" s="50" t="s">
        <v>2580</v>
      </c>
      <c r="AK87" s="51" t="s">
        <v>2591</v>
      </c>
      <c r="AL87" s="27" t="s">
        <v>90</v>
      </c>
      <c r="AM87" s="32"/>
      <c r="AN87" s="30"/>
      <c r="AO87" s="26"/>
      <c r="AP87" s="7">
        <f>VLOOKUP(B:B,Table3[#All],4,0)</f>
        <v>4800</v>
      </c>
      <c r="AQ87" s="7">
        <f>calcShift1(Таблица1[[#This Row],[Столбец5]:[Столбец36]])</f>
        <v>40</v>
      </c>
      <c r="AR87" s="7">
        <f>calcShift2(Таблица1[[#This Row],[Столбец5]:[Столбец36]])</f>
        <v>0</v>
      </c>
      <c r="AS87" s="7">
        <f>calcShift3(Таблица1[[#This Row],[Столбец5]:[Столбец36]])</f>
        <v>0</v>
      </c>
      <c r="AT87" s="26"/>
      <c r="AU87" s="7">
        <f>calcYavka(Таблица1[[#This Row],[Столбец5]:[Столбец36]])</f>
        <v>5</v>
      </c>
      <c r="AV87" s="31"/>
      <c r="AW87" s="18">
        <f>VLOOKUP(B:B,ДОП_ВСІ!B:AS,44,0)</f>
        <v>0</v>
      </c>
      <c r="AX87" s="7">
        <f>VLOOKUP(B:B,ДОП_ВСІ!B:AQ,42,0)</f>
        <v>0</v>
      </c>
      <c r="AY87" s="7">
        <f>Таблица1[[#This Row],[Столбец47]]*30</f>
        <v>150</v>
      </c>
      <c r="AZ87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87" s="26"/>
      <c r="BB87" s="47">
        <f>calcTS(Таблица1[[#This Row],[Столбец5]:[Столбец36]])</f>
        <v>0</v>
      </c>
    </row>
    <row r="88" spans="1:54" x14ac:dyDescent="0.35">
      <c r="A88" s="25" t="s">
        <v>663</v>
      </c>
      <c r="B88" s="26" t="s">
        <v>664</v>
      </c>
      <c r="C88" s="27" t="s">
        <v>639</v>
      </c>
      <c r="D88" s="20" t="s">
        <v>2564</v>
      </c>
      <c r="E88" s="28" t="s">
        <v>141</v>
      </c>
      <c r="F88" s="27" t="s">
        <v>2486</v>
      </c>
      <c r="G88" s="27" t="s">
        <v>2486</v>
      </c>
      <c r="H88" s="27" t="s">
        <v>141</v>
      </c>
      <c r="I88" s="27" t="s">
        <v>141</v>
      </c>
      <c r="J88" s="27" t="s">
        <v>141</v>
      </c>
      <c r="K88" s="28" t="s">
        <v>141</v>
      </c>
      <c r="L88" s="27" t="s">
        <v>141</v>
      </c>
      <c r="M88" s="27" t="s">
        <v>2486</v>
      </c>
      <c r="N88" s="28" t="s">
        <v>2486</v>
      </c>
      <c r="O88" s="28" t="s">
        <v>141</v>
      </c>
      <c r="P88" s="28" t="s">
        <v>141</v>
      </c>
      <c r="Q88" s="28" t="s">
        <v>141</v>
      </c>
      <c r="R88" s="27" t="s">
        <v>141</v>
      </c>
      <c r="S88" s="27" t="s">
        <v>141</v>
      </c>
      <c r="T88" s="27" t="s">
        <v>2486</v>
      </c>
      <c r="U88" s="27" t="s">
        <v>2486</v>
      </c>
      <c r="V88" s="27" t="s">
        <v>2543</v>
      </c>
      <c r="W88" s="27" t="s">
        <v>2485</v>
      </c>
      <c r="X88" s="27" t="s">
        <v>2495</v>
      </c>
      <c r="Y88" s="27" t="s">
        <v>2495</v>
      </c>
      <c r="Z88" s="27" t="s">
        <v>2495</v>
      </c>
      <c r="AA88" s="27" t="s">
        <v>2485</v>
      </c>
      <c r="AB88" s="27" t="s">
        <v>2486</v>
      </c>
      <c r="AC88" s="27" t="s">
        <v>2485</v>
      </c>
      <c r="AD88" s="27" t="s">
        <v>2485</v>
      </c>
      <c r="AE88" s="27" t="s">
        <v>2570</v>
      </c>
      <c r="AF88" s="27" t="s">
        <v>2486</v>
      </c>
      <c r="AG88" s="48" t="s">
        <v>2486</v>
      </c>
      <c r="AH88" s="48" t="s">
        <v>2486</v>
      </c>
      <c r="AI88" s="48" t="s">
        <v>2593</v>
      </c>
      <c r="AJ88" s="50" t="s">
        <v>2567</v>
      </c>
      <c r="AK88" s="51" t="s">
        <v>69</v>
      </c>
      <c r="AL88" s="27" t="s">
        <v>52</v>
      </c>
      <c r="AM88" s="32"/>
      <c r="AN88" s="30"/>
      <c r="AO88" s="26"/>
      <c r="AP88" s="7">
        <f>VLOOKUP(B:B,Table3[#All],4,0)</f>
        <v>4800</v>
      </c>
      <c r="AQ88" s="7">
        <f>calcShift1(Таблица1[[#This Row],[Столбец5]:[Столбец36]])</f>
        <v>103</v>
      </c>
      <c r="AR88" s="7">
        <f>calcShift2(Таблица1[[#This Row],[Столбец5]:[Столбец36]])</f>
        <v>0</v>
      </c>
      <c r="AS88" s="7">
        <f>calcShift3(Таблица1[[#This Row],[Столбец5]:[Столбец36]])</f>
        <v>0</v>
      </c>
      <c r="AT88" s="26"/>
      <c r="AU88" s="7">
        <f>calcYavka(Таблица1[[#This Row],[Столбец5]:[Столбец36]])</f>
        <v>13</v>
      </c>
      <c r="AV88" s="31"/>
      <c r="AW88" s="18">
        <f>VLOOKUP(B:B,ДОП_ВСІ!B:AS,44,0)</f>
        <v>0</v>
      </c>
      <c r="AX88" s="7">
        <f>VLOOKUP(B:B,ДОП_ВСІ!B:AQ,42,0)</f>
        <v>0</v>
      </c>
      <c r="AY88" s="7">
        <f>Таблица1[[#This Row],[Столбец47]]*30</f>
        <v>390</v>
      </c>
      <c r="AZ88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88" s="26"/>
      <c r="BB88" s="47">
        <f>calcTS(Таблица1[[#This Row],[Столбец5]:[Столбец36]])</f>
        <v>0</v>
      </c>
    </row>
    <row r="89" spans="1:54" ht="42" x14ac:dyDescent="0.35">
      <c r="A89" s="25" t="s">
        <v>665</v>
      </c>
      <c r="B89" s="26" t="s">
        <v>666</v>
      </c>
      <c r="C89" s="27" t="s">
        <v>639</v>
      </c>
      <c r="D89" s="20" t="s">
        <v>2564</v>
      </c>
      <c r="E89" s="28" t="s">
        <v>2501</v>
      </c>
      <c r="F89" s="27" t="s">
        <v>2486</v>
      </c>
      <c r="G89" s="27" t="s">
        <v>2486</v>
      </c>
      <c r="H89" s="27" t="s">
        <v>2543</v>
      </c>
      <c r="I89" s="27" t="s">
        <v>2543</v>
      </c>
      <c r="J89" s="27" t="s">
        <v>2531</v>
      </c>
      <c r="K89" s="28" t="s">
        <v>2531</v>
      </c>
      <c r="L89" s="27" t="s">
        <v>2531</v>
      </c>
      <c r="M89" s="27" t="s">
        <v>2486</v>
      </c>
      <c r="N89" s="28" t="s">
        <v>2486</v>
      </c>
      <c r="O89" s="28" t="s">
        <v>2543</v>
      </c>
      <c r="P89" s="28" t="s">
        <v>2543</v>
      </c>
      <c r="Q89" s="28" t="s">
        <v>2594</v>
      </c>
      <c r="R89" s="27" t="s">
        <v>2543</v>
      </c>
      <c r="S89" s="27" t="s">
        <v>2595</v>
      </c>
      <c r="T89" s="27" t="s">
        <v>2486</v>
      </c>
      <c r="U89" s="27" t="s">
        <v>2486</v>
      </c>
      <c r="V89" s="27" t="s">
        <v>2543</v>
      </c>
      <c r="W89" s="27" t="s">
        <v>2543</v>
      </c>
      <c r="X89" s="27" t="s">
        <v>2543</v>
      </c>
      <c r="Y89" s="27" t="s">
        <v>2543</v>
      </c>
      <c r="Z89" s="27" t="s">
        <v>2495</v>
      </c>
      <c r="AA89" s="27" t="s">
        <v>2495</v>
      </c>
      <c r="AB89" s="27" t="s">
        <v>2495</v>
      </c>
      <c r="AC89" s="27" t="s">
        <v>2495</v>
      </c>
      <c r="AD89" s="27" t="s">
        <v>2495</v>
      </c>
      <c r="AE89" s="27" t="s">
        <v>2570</v>
      </c>
      <c r="AF89" s="27" t="s">
        <v>2486</v>
      </c>
      <c r="AG89" s="48" t="s">
        <v>2486</v>
      </c>
      <c r="AH89" s="48" t="s">
        <v>2486</v>
      </c>
      <c r="AI89" s="48" t="s">
        <v>2596</v>
      </c>
      <c r="AJ89" s="50" t="s">
        <v>2567</v>
      </c>
      <c r="AK89" s="51" t="s">
        <v>73</v>
      </c>
      <c r="AL89" s="27" t="s">
        <v>70</v>
      </c>
      <c r="AM89" s="32"/>
      <c r="AN89" s="30"/>
      <c r="AO89" s="26"/>
      <c r="AP89" s="7">
        <f>VLOOKUP(B:B,Table3[#All],4,0)</f>
        <v>4800</v>
      </c>
      <c r="AQ89" s="7">
        <f>calcShift1(Таблица1[[#This Row],[Столбец5]:[Столбец36]])</f>
        <v>84.000000000000014</v>
      </c>
      <c r="AR89" s="7">
        <f>calcShift2(Таблица1[[#This Row],[Столбец5]:[Столбец36]])</f>
        <v>0</v>
      </c>
      <c r="AS89" s="7">
        <f>calcShift3(Таблица1[[#This Row],[Столбец5]:[Столбец36]])</f>
        <v>0</v>
      </c>
      <c r="AT89" s="26"/>
      <c r="AU89" s="7">
        <f>calcYavka(Таблица1[[#This Row],[Столбец5]:[Столбец36]])</f>
        <v>12</v>
      </c>
      <c r="AV89" s="31"/>
      <c r="AW89" s="18">
        <f>VLOOKUP(B:B,ДОП_ВСІ!B:AS,44,0)</f>
        <v>0</v>
      </c>
      <c r="AX89" s="7">
        <f>VLOOKUP(B:B,ДОП_ВСІ!B:AQ,42,0)</f>
        <v>0</v>
      </c>
      <c r="AY89" s="7">
        <f>Таблица1[[#This Row],[Столбец47]]*30</f>
        <v>360</v>
      </c>
      <c r="AZ89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89" s="26"/>
      <c r="BB89" s="47">
        <f>calcTS(Таблица1[[#This Row],[Столбец5]:[Столбец36]])</f>
        <v>0</v>
      </c>
    </row>
    <row r="90" spans="1:54" ht="42" x14ac:dyDescent="0.35">
      <c r="A90" s="25" t="s">
        <v>667</v>
      </c>
      <c r="B90" s="26" t="s">
        <v>668</v>
      </c>
      <c r="C90" s="27" t="s">
        <v>639</v>
      </c>
      <c r="D90" s="20" t="s">
        <v>2564</v>
      </c>
      <c r="E90" s="28" t="s">
        <v>141</v>
      </c>
      <c r="F90" s="27" t="s">
        <v>2486</v>
      </c>
      <c r="G90" s="27" t="s">
        <v>2486</v>
      </c>
      <c r="H90" s="27" t="s">
        <v>2543</v>
      </c>
      <c r="I90" s="27" t="s">
        <v>2543</v>
      </c>
      <c r="J90" s="27" t="s">
        <v>2543</v>
      </c>
      <c r="K90" s="28" t="s">
        <v>2543</v>
      </c>
      <c r="L90" s="27" t="s">
        <v>2543</v>
      </c>
      <c r="M90" s="27" t="s">
        <v>2486</v>
      </c>
      <c r="N90" s="28" t="s">
        <v>2486</v>
      </c>
      <c r="O90" s="28" t="s">
        <v>2543</v>
      </c>
      <c r="P90" s="28" t="s">
        <v>2543</v>
      </c>
      <c r="Q90" s="28" t="s">
        <v>2543</v>
      </c>
      <c r="R90" s="27" t="s">
        <v>2543</v>
      </c>
      <c r="S90" s="27" t="s">
        <v>2543</v>
      </c>
      <c r="T90" s="27" t="s">
        <v>2486</v>
      </c>
      <c r="U90" s="27" t="s">
        <v>2486</v>
      </c>
      <c r="V90" s="27" t="s">
        <v>2543</v>
      </c>
      <c r="W90" s="27" t="s">
        <v>2543</v>
      </c>
      <c r="X90" s="27" t="s">
        <v>2543</v>
      </c>
      <c r="Y90" s="27" t="s">
        <v>2543</v>
      </c>
      <c r="Z90" s="27" t="s">
        <v>2543</v>
      </c>
      <c r="AA90" s="27" t="s">
        <v>2543</v>
      </c>
      <c r="AB90" s="27" t="s">
        <v>2486</v>
      </c>
      <c r="AC90" s="27" t="s">
        <v>2543</v>
      </c>
      <c r="AD90" s="27" t="s">
        <v>2543</v>
      </c>
      <c r="AE90" s="27" t="s">
        <v>2570</v>
      </c>
      <c r="AF90" s="27" t="s">
        <v>2486</v>
      </c>
      <c r="AG90" s="48" t="s">
        <v>2486</v>
      </c>
      <c r="AH90" s="48" t="s">
        <v>2486</v>
      </c>
      <c r="AI90" s="48" t="s">
        <v>2567</v>
      </c>
      <c r="AJ90" s="50" t="s">
        <v>2567</v>
      </c>
      <c r="AK90" s="51" t="s">
        <v>54</v>
      </c>
      <c r="AL90" s="27" t="s">
        <v>55</v>
      </c>
      <c r="AM90" s="32"/>
      <c r="AN90" s="30"/>
      <c r="AO90" s="26"/>
      <c r="AP90" s="7">
        <f>VLOOKUP(B:B,Table3[#All],4,0)</f>
        <v>4800</v>
      </c>
      <c r="AQ90" s="7">
        <f>calcShift1(Таблица1[[#This Row],[Столбец5]:[Столбец36]])</f>
        <v>158.99999999999994</v>
      </c>
      <c r="AR90" s="7">
        <f>calcShift2(Таблица1[[#This Row],[Столбец5]:[Столбец36]])</f>
        <v>0</v>
      </c>
      <c r="AS90" s="7">
        <f>calcShift3(Таблица1[[#This Row],[Столбец5]:[Столбец36]])</f>
        <v>0</v>
      </c>
      <c r="AT90" s="26"/>
      <c r="AU90" s="7">
        <f>calcYavka(Таблица1[[#This Row],[Столбец5]:[Столбец36]])</f>
        <v>20</v>
      </c>
      <c r="AV90" s="31"/>
      <c r="AW90" s="18">
        <f>VLOOKUP(B:B,ДОП_ВСІ!B:AS,44,0)</f>
        <v>0</v>
      </c>
      <c r="AX90" s="7">
        <f>VLOOKUP(B:B,ДОП_ВСІ!B:AQ,42,0)</f>
        <v>0</v>
      </c>
      <c r="AY90" s="7">
        <f>Таблица1[[#This Row],[Столбец47]]*30</f>
        <v>600</v>
      </c>
      <c r="AZ90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90" s="26"/>
      <c r="BB90" s="47">
        <f>calcTS(Таблица1[[#This Row],[Столбец5]:[Столбец36]])</f>
        <v>0</v>
      </c>
    </row>
    <row r="91" spans="1:54" ht="42" x14ac:dyDescent="0.35">
      <c r="A91" s="25" t="s">
        <v>669</v>
      </c>
      <c r="B91" s="26" t="s">
        <v>670</v>
      </c>
      <c r="C91" s="27" t="s">
        <v>639</v>
      </c>
      <c r="D91" s="20" t="s">
        <v>2564</v>
      </c>
      <c r="E91" s="28" t="s">
        <v>2543</v>
      </c>
      <c r="F91" s="27" t="s">
        <v>2486</v>
      </c>
      <c r="G91" s="27" t="s">
        <v>2486</v>
      </c>
      <c r="H91" s="27" t="s">
        <v>2543</v>
      </c>
      <c r="I91" s="27" t="s">
        <v>2543</v>
      </c>
      <c r="J91" s="27" t="s">
        <v>141</v>
      </c>
      <c r="K91" s="28" t="s">
        <v>141</v>
      </c>
      <c r="L91" s="27" t="s">
        <v>141</v>
      </c>
      <c r="M91" s="27" t="s">
        <v>2486</v>
      </c>
      <c r="N91" s="28" t="s">
        <v>2486</v>
      </c>
      <c r="O91" s="28" t="s">
        <v>2543</v>
      </c>
      <c r="P91" s="28" t="s">
        <v>2543</v>
      </c>
      <c r="Q91" s="28" t="s">
        <v>141</v>
      </c>
      <c r="R91" s="27" t="s">
        <v>141</v>
      </c>
      <c r="S91" s="27" t="s">
        <v>141</v>
      </c>
      <c r="T91" s="27" t="s">
        <v>2486</v>
      </c>
      <c r="U91" s="27" t="s">
        <v>2486</v>
      </c>
      <c r="V91" s="27" t="s">
        <v>2543</v>
      </c>
      <c r="W91" s="27" t="s">
        <v>2543</v>
      </c>
      <c r="X91" s="27" t="s">
        <v>2543</v>
      </c>
      <c r="Y91" s="27" t="s">
        <v>2543</v>
      </c>
      <c r="Z91" s="27" t="s">
        <v>2543</v>
      </c>
      <c r="AA91" s="27" t="s">
        <v>2543</v>
      </c>
      <c r="AB91" s="27" t="s">
        <v>2486</v>
      </c>
      <c r="AC91" s="27" t="s">
        <v>2543</v>
      </c>
      <c r="AD91" s="27" t="s">
        <v>2543</v>
      </c>
      <c r="AE91" s="27" t="s">
        <v>2570</v>
      </c>
      <c r="AF91" s="27" t="s">
        <v>2486</v>
      </c>
      <c r="AG91" s="48" t="s">
        <v>2486</v>
      </c>
      <c r="AH91" s="48" t="s">
        <v>2486</v>
      </c>
      <c r="AI91" s="48" t="s">
        <v>2567</v>
      </c>
      <c r="AJ91" s="50" t="s">
        <v>2567</v>
      </c>
      <c r="AK91" s="51" t="s">
        <v>54</v>
      </c>
      <c r="AL91" s="27" t="s">
        <v>55</v>
      </c>
      <c r="AM91" s="32"/>
      <c r="AN91" s="30"/>
      <c r="AO91" s="26"/>
      <c r="AP91" s="7">
        <f>VLOOKUP(B:B,Table3[#All],4,0)</f>
        <v>4800</v>
      </c>
      <c r="AQ91" s="7">
        <f>calcShift1(Таблица1[[#This Row],[Столбец5]:[Столбец36]])</f>
        <v>158.99999999999994</v>
      </c>
      <c r="AR91" s="7">
        <f>calcShift2(Таблица1[[#This Row],[Столбец5]:[Столбец36]])</f>
        <v>0</v>
      </c>
      <c r="AS91" s="7">
        <f>calcShift3(Таблица1[[#This Row],[Столбец5]:[Столбец36]])</f>
        <v>0</v>
      </c>
      <c r="AT91" s="26"/>
      <c r="AU91" s="7">
        <f>calcYavka(Таблица1[[#This Row],[Столбец5]:[Столбец36]])</f>
        <v>20</v>
      </c>
      <c r="AV91" s="31"/>
      <c r="AW91" s="18">
        <f>VLOOKUP(B:B,ДОП_ВСІ!B:AS,44,0)</f>
        <v>540</v>
      </c>
      <c r="AX91" s="7">
        <f>VLOOKUP(B:B,ДОП_ВСІ!B:AQ,42,0)</f>
        <v>0</v>
      </c>
      <c r="AY91" s="7">
        <f>Таблица1[[#This Row],[Столбец47]]*30</f>
        <v>600</v>
      </c>
      <c r="AZ91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91" s="26"/>
      <c r="BB91" s="47">
        <f>calcTS(Таблица1[[#This Row],[Столбец5]:[Столбец36]])</f>
        <v>0</v>
      </c>
    </row>
    <row r="92" spans="1:54" x14ac:dyDescent="0.35">
      <c r="A92" s="25" t="s">
        <v>671</v>
      </c>
      <c r="B92" s="26" t="s">
        <v>672</v>
      </c>
      <c r="C92" s="27" t="s">
        <v>639</v>
      </c>
      <c r="D92" s="20" t="s">
        <v>2564</v>
      </c>
      <c r="E92" s="28" t="s">
        <v>2486</v>
      </c>
      <c r="F92" s="27" t="s">
        <v>141</v>
      </c>
      <c r="G92" s="27" t="s">
        <v>141</v>
      </c>
      <c r="H92" s="27" t="s">
        <v>141</v>
      </c>
      <c r="I92" s="27" t="s">
        <v>2543</v>
      </c>
      <c r="J92" s="27" t="s">
        <v>2486</v>
      </c>
      <c r="K92" s="28" t="s">
        <v>2486</v>
      </c>
      <c r="L92" s="27" t="s">
        <v>135</v>
      </c>
      <c r="M92" s="27" t="s">
        <v>135</v>
      </c>
      <c r="N92" s="28" t="s">
        <v>135</v>
      </c>
      <c r="O92" s="28" t="s">
        <v>135</v>
      </c>
      <c r="P92" s="28" t="s">
        <v>2486</v>
      </c>
      <c r="Q92" s="28" t="s">
        <v>2486</v>
      </c>
      <c r="R92" s="27" t="s">
        <v>141</v>
      </c>
      <c r="S92" s="27" t="s">
        <v>141</v>
      </c>
      <c r="T92" s="27" t="s">
        <v>141</v>
      </c>
      <c r="U92" s="27" t="s">
        <v>141</v>
      </c>
      <c r="V92" s="27" t="s">
        <v>2486</v>
      </c>
      <c r="W92" s="27" t="s">
        <v>2486</v>
      </c>
      <c r="X92" s="27" t="s">
        <v>135</v>
      </c>
      <c r="Y92" s="27" t="s">
        <v>2543</v>
      </c>
      <c r="Z92" s="27" t="s">
        <v>2543</v>
      </c>
      <c r="AA92" s="27" t="s">
        <v>135</v>
      </c>
      <c r="AB92" s="27" t="s">
        <v>2486</v>
      </c>
      <c r="AC92" s="27" t="s">
        <v>2486</v>
      </c>
      <c r="AD92" s="27" t="s">
        <v>141</v>
      </c>
      <c r="AE92" s="27" t="s">
        <v>141</v>
      </c>
      <c r="AF92" s="27" t="s">
        <v>141</v>
      </c>
      <c r="AG92" s="48" t="s">
        <v>141</v>
      </c>
      <c r="AH92" s="48" t="s">
        <v>2486</v>
      </c>
      <c r="AI92" s="48" t="s">
        <v>2580</v>
      </c>
      <c r="AJ92" s="50" t="s">
        <v>2580</v>
      </c>
      <c r="AK92" s="51" t="s">
        <v>54</v>
      </c>
      <c r="AL92" s="27" t="s">
        <v>55</v>
      </c>
      <c r="AM92" s="32"/>
      <c r="AN92" s="30"/>
      <c r="AO92" s="26"/>
      <c r="AP92" s="7">
        <f>VLOOKUP(B:B,Table3[#All],4,0)</f>
        <v>4800</v>
      </c>
      <c r="AQ92" s="7">
        <f>calcShift1(Таблица1[[#This Row],[Столбец5]:[Столбец36]])</f>
        <v>111.99999999999999</v>
      </c>
      <c r="AR92" s="7">
        <f>calcShift2(Таблица1[[#This Row],[Столбец5]:[Столбец36]])</f>
        <v>47.999999999999993</v>
      </c>
      <c r="AS92" s="7">
        <f>calcShift3(Таблица1[[#This Row],[Столбец5]:[Столбец36]])</f>
        <v>0</v>
      </c>
      <c r="AT92" s="26"/>
      <c r="AU92" s="7">
        <f>calcYavka(Таблица1[[#This Row],[Столбец5]:[Столбец36]])</f>
        <v>20</v>
      </c>
      <c r="AV92" s="31"/>
      <c r="AW92" s="18">
        <f>VLOOKUP(B:B,ДОП_ВСІ!B:AS,44,0)</f>
        <v>0</v>
      </c>
      <c r="AX92" s="7">
        <f>VLOOKUP(B:B,ДОП_ВСІ!B:AQ,42,0)</f>
        <v>0</v>
      </c>
      <c r="AY92" s="7">
        <f>Таблица1[[#This Row],[Столбец47]]*30</f>
        <v>600</v>
      </c>
      <c r="AZ92" s="6">
        <f>((((Таблица1[[#This Row],[Столбец42]]/160)*Таблица1[[#This Row],[Столбец44]])*0.25)*0.35)+((((Таблица1[[#This Row],[Столбец42]]/160)*Таблица1[[#This Row],[Столбец44]])*0.5)*0.2)</f>
        <v>269.99999999999994</v>
      </c>
      <c r="BA92" s="26"/>
      <c r="BB92" s="47">
        <f>calcTS(Таблица1[[#This Row],[Столбец5]:[Столбец36]])</f>
        <v>0</v>
      </c>
    </row>
    <row r="93" spans="1:54" x14ac:dyDescent="0.35">
      <c r="A93" s="25" t="s">
        <v>673</v>
      </c>
      <c r="B93" s="26" t="s">
        <v>674</v>
      </c>
      <c r="C93" s="27" t="s">
        <v>255</v>
      </c>
      <c r="D93" s="20" t="s">
        <v>2564</v>
      </c>
      <c r="E93" s="28" t="s">
        <v>2486</v>
      </c>
      <c r="F93" s="27" t="s">
        <v>2486</v>
      </c>
      <c r="G93" s="27" t="s">
        <v>141</v>
      </c>
      <c r="H93" s="27" t="s">
        <v>141</v>
      </c>
      <c r="I93" s="27" t="s">
        <v>141</v>
      </c>
      <c r="J93" s="27" t="s">
        <v>141</v>
      </c>
      <c r="K93" s="28" t="s">
        <v>2486</v>
      </c>
      <c r="L93" s="27" t="s">
        <v>2486</v>
      </c>
      <c r="M93" s="27" t="s">
        <v>135</v>
      </c>
      <c r="N93" s="28" t="s">
        <v>135</v>
      </c>
      <c r="O93" s="28" t="s">
        <v>135</v>
      </c>
      <c r="P93" s="28" t="s">
        <v>135</v>
      </c>
      <c r="Q93" s="28" t="s">
        <v>2486</v>
      </c>
      <c r="R93" s="27" t="s">
        <v>2486</v>
      </c>
      <c r="S93" s="27" t="s">
        <v>141</v>
      </c>
      <c r="T93" s="27" t="s">
        <v>141</v>
      </c>
      <c r="U93" s="27" t="s">
        <v>141</v>
      </c>
      <c r="V93" s="27" t="s">
        <v>141</v>
      </c>
      <c r="W93" s="27" t="s">
        <v>2486</v>
      </c>
      <c r="X93" s="27" t="s">
        <v>2486</v>
      </c>
      <c r="Y93" s="27" t="s">
        <v>141</v>
      </c>
      <c r="Z93" s="27" t="s">
        <v>2486</v>
      </c>
      <c r="AA93" s="27" t="s">
        <v>135</v>
      </c>
      <c r="AB93" s="27" t="s">
        <v>2542</v>
      </c>
      <c r="AC93" s="27" t="s">
        <v>2486</v>
      </c>
      <c r="AD93" s="27" t="s">
        <v>2486</v>
      </c>
      <c r="AE93" s="27" t="s">
        <v>141</v>
      </c>
      <c r="AF93" s="27" t="s">
        <v>141</v>
      </c>
      <c r="AG93" s="48" t="s">
        <v>141</v>
      </c>
      <c r="AH93" s="48" t="s">
        <v>141</v>
      </c>
      <c r="AI93" s="48" t="s">
        <v>2597</v>
      </c>
      <c r="AJ93" s="50" t="s">
        <v>2597</v>
      </c>
      <c r="AK93" s="51" t="s">
        <v>72</v>
      </c>
      <c r="AL93" s="27" t="s">
        <v>71</v>
      </c>
      <c r="AM93" s="32"/>
      <c r="AN93" s="30"/>
      <c r="AO93" s="26"/>
      <c r="AP93" s="7">
        <f>VLOOKUP(B:B,Table3[#All],4,0)</f>
        <v>4800</v>
      </c>
      <c r="AQ93" s="7">
        <f>calcShift1(Таблица1[[#This Row],[Столбец5]:[Столбец36]])</f>
        <v>104</v>
      </c>
      <c r="AR93" s="7">
        <f>calcShift2(Таблица1[[#This Row],[Столбец5]:[Столбец36]])</f>
        <v>47.999999999999993</v>
      </c>
      <c r="AS93" s="7">
        <f>calcShift3(Таблица1[[#This Row],[Столбец5]:[Столбец36]])</f>
        <v>0</v>
      </c>
      <c r="AT93" s="26"/>
      <c r="AU93" s="7">
        <f>calcYavka(Таблица1[[#This Row],[Столбец5]:[Столбец36]])</f>
        <v>19</v>
      </c>
      <c r="AV93" s="31"/>
      <c r="AW93" s="18">
        <f>VLOOKUP(B:B,ДОП_ВСІ!B:AS,44,0)</f>
        <v>60</v>
      </c>
      <c r="AX93" s="7">
        <f>VLOOKUP(B:B,ДОП_ВСІ!B:AQ,42,0)</f>
        <v>0</v>
      </c>
      <c r="AY93" s="7">
        <f>Таблица1[[#This Row],[Столбец47]]*30</f>
        <v>570</v>
      </c>
      <c r="AZ93" s="6">
        <f>((((Таблица1[[#This Row],[Столбец42]]/160)*Таблица1[[#This Row],[Столбец44]])*0.25)*0.35)+((((Таблица1[[#This Row],[Столбец42]]/160)*Таблица1[[#This Row],[Столбец44]])*0.5)*0.2)</f>
        <v>269.99999999999994</v>
      </c>
      <c r="BA93" s="26"/>
      <c r="BB93" s="47">
        <f>calcTS(Таблица1[[#This Row],[Столбец5]:[Столбец36]])</f>
        <v>0</v>
      </c>
    </row>
    <row r="94" spans="1:54" x14ac:dyDescent="0.35">
      <c r="A94" s="25" t="s">
        <v>675</v>
      </c>
      <c r="B94" s="26" t="s">
        <v>676</v>
      </c>
      <c r="C94" s="27" t="s">
        <v>255</v>
      </c>
      <c r="D94" s="20" t="s">
        <v>2564</v>
      </c>
      <c r="E94" s="28" t="s">
        <v>2486</v>
      </c>
      <c r="F94" s="27" t="s">
        <v>2486</v>
      </c>
      <c r="G94" s="27" t="s">
        <v>2531</v>
      </c>
      <c r="H94" s="27" t="s">
        <v>2531</v>
      </c>
      <c r="I94" s="27" t="s">
        <v>2531</v>
      </c>
      <c r="J94" s="27" t="s">
        <v>2531</v>
      </c>
      <c r="K94" s="28" t="s">
        <v>2486</v>
      </c>
      <c r="L94" s="27" t="s">
        <v>2486</v>
      </c>
      <c r="M94" s="27" t="s">
        <v>2531</v>
      </c>
      <c r="N94" s="28" t="s">
        <v>2531</v>
      </c>
      <c r="O94" s="28" t="s">
        <v>2531</v>
      </c>
      <c r="P94" s="28" t="s">
        <v>2531</v>
      </c>
      <c r="Q94" s="28" t="s">
        <v>2486</v>
      </c>
      <c r="R94" s="27" t="s">
        <v>2486</v>
      </c>
      <c r="S94" s="27" t="s">
        <v>2594</v>
      </c>
      <c r="T94" s="27" t="s">
        <v>2570</v>
      </c>
      <c r="U94" s="27" t="s">
        <v>141</v>
      </c>
      <c r="V94" s="27" t="s">
        <v>2485</v>
      </c>
      <c r="W94" s="27" t="s">
        <v>2486</v>
      </c>
      <c r="X94" s="27" t="s">
        <v>2486</v>
      </c>
      <c r="Y94" s="27" t="s">
        <v>2543</v>
      </c>
      <c r="Z94" s="27" t="s">
        <v>2486</v>
      </c>
      <c r="AA94" s="27" t="s">
        <v>2542</v>
      </c>
      <c r="AB94" s="27" t="s">
        <v>2542</v>
      </c>
      <c r="AC94" s="27" t="s">
        <v>2486</v>
      </c>
      <c r="AD94" s="27" t="s">
        <v>2486</v>
      </c>
      <c r="AE94" s="27" t="s">
        <v>141</v>
      </c>
      <c r="AF94" s="27" t="s">
        <v>141</v>
      </c>
      <c r="AG94" s="48" t="s">
        <v>141</v>
      </c>
      <c r="AH94" s="48" t="s">
        <v>141</v>
      </c>
      <c r="AI94" s="48" t="s">
        <v>2598</v>
      </c>
      <c r="AJ94" s="50" t="s">
        <v>2597</v>
      </c>
      <c r="AK94" s="51" t="s">
        <v>55</v>
      </c>
      <c r="AL94" s="27" t="s">
        <v>54</v>
      </c>
      <c r="AM94" s="32"/>
      <c r="AN94" s="30"/>
      <c r="AO94" s="26"/>
      <c r="AP94" s="7">
        <f>VLOOKUP(B:B,Table3[#All],4,0)</f>
        <v>4800</v>
      </c>
      <c r="AQ94" s="7">
        <f>calcShift1(Таблица1[[#This Row],[Столбец5]:[Столбец36]])</f>
        <v>59</v>
      </c>
      <c r="AR94" s="7">
        <f>calcShift2(Таблица1[[#This Row],[Столбец5]:[Столбец36]])</f>
        <v>16</v>
      </c>
      <c r="AS94" s="7">
        <f>calcShift3(Таблица1[[#This Row],[Столбец5]:[Столбец36]])</f>
        <v>0</v>
      </c>
      <c r="AT94" s="26"/>
      <c r="AU94" s="7">
        <f>calcYavka(Таблица1[[#This Row],[Столбец5]:[Столбец36]])</f>
        <v>10</v>
      </c>
      <c r="AV94" s="31"/>
      <c r="AW94" s="18">
        <f>VLOOKUP(B:B,ДОП_ВСІ!B:AS,44,0)</f>
        <v>0</v>
      </c>
      <c r="AX94" s="7">
        <f>VLOOKUP(B:B,ДОП_ВСІ!B:AQ,42,0)</f>
        <v>0</v>
      </c>
      <c r="AY94" s="7">
        <f>Таблица1[[#This Row],[Столбец47]]*30</f>
        <v>300</v>
      </c>
      <c r="AZ94" s="6">
        <f>((((Таблица1[[#This Row],[Столбец42]]/160)*Таблица1[[#This Row],[Столбец44]])*0.25)*0.35)+((((Таблица1[[#This Row],[Столбец42]]/160)*Таблица1[[#This Row],[Столбец44]])*0.5)*0.2)</f>
        <v>90</v>
      </c>
      <c r="BA94" s="26"/>
      <c r="BB94" s="47">
        <f>calcTS(Таблица1[[#This Row],[Столбец5]:[Столбец36]])</f>
        <v>0</v>
      </c>
    </row>
    <row r="95" spans="1:54" x14ac:dyDescent="0.35">
      <c r="A95" s="25" t="s">
        <v>677</v>
      </c>
      <c r="B95" s="26" t="s">
        <v>678</v>
      </c>
      <c r="C95" s="27" t="s">
        <v>255</v>
      </c>
      <c r="D95" s="20" t="s">
        <v>2564</v>
      </c>
      <c r="E95" s="28" t="s">
        <v>2486</v>
      </c>
      <c r="F95" s="27" t="s">
        <v>2486</v>
      </c>
      <c r="G95" s="27" t="s">
        <v>141</v>
      </c>
      <c r="H95" s="27" t="s">
        <v>141</v>
      </c>
      <c r="I95" s="27" t="s">
        <v>141</v>
      </c>
      <c r="J95" s="27" t="s">
        <v>141</v>
      </c>
      <c r="K95" s="28" t="s">
        <v>2486</v>
      </c>
      <c r="L95" s="27" t="s">
        <v>2486</v>
      </c>
      <c r="M95" s="27" t="s">
        <v>135</v>
      </c>
      <c r="N95" s="28" t="s">
        <v>135</v>
      </c>
      <c r="O95" s="28" t="s">
        <v>135</v>
      </c>
      <c r="P95" s="28" t="s">
        <v>135</v>
      </c>
      <c r="Q95" s="28" t="s">
        <v>2486</v>
      </c>
      <c r="R95" s="27" t="s">
        <v>2486</v>
      </c>
      <c r="S95" s="27" t="s">
        <v>2543</v>
      </c>
      <c r="T95" s="27" t="s">
        <v>2543</v>
      </c>
      <c r="U95" s="27" t="s">
        <v>141</v>
      </c>
      <c r="V95" s="27" t="s">
        <v>141</v>
      </c>
      <c r="W95" s="27" t="s">
        <v>2486</v>
      </c>
      <c r="X95" s="27" t="s">
        <v>2486</v>
      </c>
      <c r="Y95" s="27" t="s">
        <v>2543</v>
      </c>
      <c r="Z95" s="27" t="s">
        <v>2486</v>
      </c>
      <c r="AA95" s="27" t="s">
        <v>135</v>
      </c>
      <c r="AB95" s="27" t="s">
        <v>135</v>
      </c>
      <c r="AC95" s="27" t="s">
        <v>2486</v>
      </c>
      <c r="AD95" s="27" t="s">
        <v>2486</v>
      </c>
      <c r="AE95" s="27" t="s">
        <v>141</v>
      </c>
      <c r="AF95" s="27" t="s">
        <v>141</v>
      </c>
      <c r="AG95" s="48" t="s">
        <v>141</v>
      </c>
      <c r="AH95" s="48" t="s">
        <v>141</v>
      </c>
      <c r="AI95" s="48" t="s">
        <v>2597</v>
      </c>
      <c r="AJ95" s="50" t="s">
        <v>2597</v>
      </c>
      <c r="AK95" s="51" t="s">
        <v>72</v>
      </c>
      <c r="AL95" s="27" t="s">
        <v>71</v>
      </c>
      <c r="AM95" s="32"/>
      <c r="AN95" s="30"/>
      <c r="AO95" s="26"/>
      <c r="AP95" s="7">
        <f>VLOOKUP(B:B,Table3[#All],4,0)</f>
        <v>4800</v>
      </c>
      <c r="AQ95" s="7">
        <f>calcShift1(Таблица1[[#This Row],[Столбец5]:[Столбец36]])</f>
        <v>104</v>
      </c>
      <c r="AR95" s="7">
        <f>calcShift2(Таблица1[[#This Row],[Столбец5]:[Столбец36]])</f>
        <v>47.999999999999993</v>
      </c>
      <c r="AS95" s="7">
        <f>calcShift3(Таблица1[[#This Row],[Столбец5]:[Столбец36]])</f>
        <v>0</v>
      </c>
      <c r="AT95" s="26"/>
      <c r="AU95" s="7">
        <f>calcYavka(Таблица1[[#This Row],[Столбец5]:[Столбец36]])</f>
        <v>19</v>
      </c>
      <c r="AV95" s="31"/>
      <c r="AW95" s="18">
        <f>VLOOKUP(B:B,ДОП_ВСІ!B:AS,44,0)</f>
        <v>0</v>
      </c>
      <c r="AX95" s="7">
        <f>VLOOKUP(B:B,ДОП_ВСІ!B:AQ,42,0)</f>
        <v>0</v>
      </c>
      <c r="AY95" s="7">
        <f>Таблица1[[#This Row],[Столбец47]]*30</f>
        <v>570</v>
      </c>
      <c r="AZ95" s="6">
        <f>((((Таблица1[[#This Row],[Столбец42]]/160)*Таблица1[[#This Row],[Столбец44]])*0.25)*0.35)+((((Таблица1[[#This Row],[Столбец42]]/160)*Таблица1[[#This Row],[Столбец44]])*0.5)*0.2)</f>
        <v>269.99999999999994</v>
      </c>
      <c r="BA95" s="26"/>
      <c r="BB95" s="47">
        <f>calcTS(Таблица1[[#This Row],[Столбец5]:[Столбец36]])</f>
        <v>0</v>
      </c>
    </row>
    <row r="96" spans="1:54" x14ac:dyDescent="0.35">
      <c r="A96" s="25" t="s">
        <v>679</v>
      </c>
      <c r="B96" s="26" t="s">
        <v>680</v>
      </c>
      <c r="C96" s="27" t="s">
        <v>255</v>
      </c>
      <c r="D96" s="20" t="s">
        <v>2564</v>
      </c>
      <c r="E96" s="28" t="s">
        <v>2486</v>
      </c>
      <c r="F96" s="27" t="s">
        <v>2486</v>
      </c>
      <c r="G96" s="27" t="s">
        <v>141</v>
      </c>
      <c r="H96" s="27" t="s">
        <v>141</v>
      </c>
      <c r="I96" s="27" t="s">
        <v>141</v>
      </c>
      <c r="J96" s="27" t="s">
        <v>141</v>
      </c>
      <c r="K96" s="28" t="s">
        <v>2486</v>
      </c>
      <c r="L96" s="27" t="s">
        <v>2486</v>
      </c>
      <c r="M96" s="27" t="s">
        <v>135</v>
      </c>
      <c r="N96" s="28" t="s">
        <v>135</v>
      </c>
      <c r="O96" s="28" t="s">
        <v>135</v>
      </c>
      <c r="P96" s="28" t="s">
        <v>135</v>
      </c>
      <c r="Q96" s="28" t="s">
        <v>2486</v>
      </c>
      <c r="R96" s="27" t="s">
        <v>2486</v>
      </c>
      <c r="S96" s="27" t="s">
        <v>141</v>
      </c>
      <c r="T96" s="27" t="s">
        <v>2543</v>
      </c>
      <c r="U96" s="27" t="s">
        <v>141</v>
      </c>
      <c r="V96" s="27" t="s">
        <v>141</v>
      </c>
      <c r="W96" s="27" t="s">
        <v>2486</v>
      </c>
      <c r="X96" s="27" t="s">
        <v>2486</v>
      </c>
      <c r="Y96" s="27" t="s">
        <v>2543</v>
      </c>
      <c r="Z96" s="27" t="s">
        <v>2486</v>
      </c>
      <c r="AA96" s="27" t="s">
        <v>135</v>
      </c>
      <c r="AB96" s="27" t="s">
        <v>135</v>
      </c>
      <c r="AC96" s="27" t="s">
        <v>2486</v>
      </c>
      <c r="AD96" s="27" t="s">
        <v>2486</v>
      </c>
      <c r="AE96" s="27" t="s">
        <v>141</v>
      </c>
      <c r="AF96" s="27" t="s">
        <v>141</v>
      </c>
      <c r="AG96" s="48" t="s">
        <v>141</v>
      </c>
      <c r="AH96" s="48" t="s">
        <v>141</v>
      </c>
      <c r="AI96" s="48" t="s">
        <v>2597</v>
      </c>
      <c r="AJ96" s="50" t="s">
        <v>2597</v>
      </c>
      <c r="AK96" s="51" t="s">
        <v>72</v>
      </c>
      <c r="AL96" s="27" t="s">
        <v>71</v>
      </c>
      <c r="AM96" s="32"/>
      <c r="AN96" s="30"/>
      <c r="AO96" s="26"/>
      <c r="AP96" s="7">
        <f>VLOOKUP(B:B,Table3[#All],4,0)</f>
        <v>4800</v>
      </c>
      <c r="AQ96" s="7">
        <f>calcShift1(Таблица1[[#This Row],[Столбец5]:[Столбец36]])</f>
        <v>104</v>
      </c>
      <c r="AR96" s="7">
        <f>calcShift2(Таблица1[[#This Row],[Столбец5]:[Столбец36]])</f>
        <v>47.999999999999993</v>
      </c>
      <c r="AS96" s="7">
        <f>calcShift3(Таблица1[[#This Row],[Столбец5]:[Столбец36]])</f>
        <v>0</v>
      </c>
      <c r="AT96" s="26"/>
      <c r="AU96" s="7">
        <f>calcYavka(Таблица1[[#This Row],[Столбец5]:[Столбец36]])</f>
        <v>19</v>
      </c>
      <c r="AV96" s="31"/>
      <c r="AW96" s="18">
        <f>VLOOKUP(B:B,ДОП_ВСІ!B:AS,44,0)</f>
        <v>120</v>
      </c>
      <c r="AX96" s="7">
        <f>VLOOKUP(B:B,ДОП_ВСІ!B:AQ,42,0)</f>
        <v>0</v>
      </c>
      <c r="AY96" s="7">
        <f>Таблица1[[#This Row],[Столбец47]]*30</f>
        <v>570</v>
      </c>
      <c r="AZ96" s="6">
        <f>((((Таблица1[[#This Row],[Столбец42]]/160)*Таблица1[[#This Row],[Столбец44]])*0.25)*0.35)+((((Таблица1[[#This Row],[Столбец42]]/160)*Таблица1[[#This Row],[Столбец44]])*0.5)*0.2)</f>
        <v>269.99999999999994</v>
      </c>
      <c r="BA96" s="26"/>
      <c r="BB96" s="47">
        <f>calcTS(Таблица1[[#This Row],[Столбец5]:[Столбец36]])</f>
        <v>0</v>
      </c>
    </row>
    <row r="97" spans="1:54" ht="42" x14ac:dyDescent="0.35">
      <c r="A97" s="25" t="s">
        <v>681</v>
      </c>
      <c r="B97" s="26" t="s">
        <v>682</v>
      </c>
      <c r="C97" s="27" t="s">
        <v>255</v>
      </c>
      <c r="D97" s="20" t="s">
        <v>2564</v>
      </c>
      <c r="E97" s="28" t="s">
        <v>2542</v>
      </c>
      <c r="F97" s="27" t="s">
        <v>2542</v>
      </c>
      <c r="G97" s="27" t="s">
        <v>2542</v>
      </c>
      <c r="H97" s="27" t="s">
        <v>2542</v>
      </c>
      <c r="I97" s="27" t="s">
        <v>2486</v>
      </c>
      <c r="J97" s="27" t="s">
        <v>2486</v>
      </c>
      <c r="K97" s="28" t="s">
        <v>141</v>
      </c>
      <c r="L97" s="27" t="s">
        <v>141</v>
      </c>
      <c r="M97" s="27" t="s">
        <v>141</v>
      </c>
      <c r="N97" s="28" t="s">
        <v>141</v>
      </c>
      <c r="O97" s="28" t="s">
        <v>2486</v>
      </c>
      <c r="P97" s="28" t="s">
        <v>2486</v>
      </c>
      <c r="Q97" s="28" t="s">
        <v>2542</v>
      </c>
      <c r="R97" s="27" t="s">
        <v>2542</v>
      </c>
      <c r="S97" s="27" t="s">
        <v>2542</v>
      </c>
      <c r="T97" s="27" t="s">
        <v>2542</v>
      </c>
      <c r="U97" s="27" t="s">
        <v>2486</v>
      </c>
      <c r="V97" s="27" t="s">
        <v>2486</v>
      </c>
      <c r="W97" s="27" t="s">
        <v>141</v>
      </c>
      <c r="X97" s="27" t="s">
        <v>141</v>
      </c>
      <c r="Y97" s="27" t="s">
        <v>141</v>
      </c>
      <c r="Z97" s="27" t="s">
        <v>141</v>
      </c>
      <c r="AA97" s="27" t="s">
        <v>2486</v>
      </c>
      <c r="AB97" s="27" t="s">
        <v>2486</v>
      </c>
      <c r="AC97" s="27" t="s">
        <v>135</v>
      </c>
      <c r="AD97" s="27" t="s">
        <v>135</v>
      </c>
      <c r="AE97" s="27" t="s">
        <v>135</v>
      </c>
      <c r="AF97" s="27" t="s">
        <v>135</v>
      </c>
      <c r="AG97" s="48" t="s">
        <v>2486</v>
      </c>
      <c r="AH97" s="48" t="s">
        <v>2486</v>
      </c>
      <c r="AI97" s="48" t="s">
        <v>2580</v>
      </c>
      <c r="AJ97" s="50" t="s">
        <v>2580</v>
      </c>
      <c r="AK97" s="51" t="s">
        <v>54</v>
      </c>
      <c r="AL97" s="27" t="s">
        <v>55</v>
      </c>
      <c r="AM97" s="32"/>
      <c r="AN97" s="30"/>
      <c r="AO97" s="26"/>
      <c r="AP97" s="7">
        <f>VLOOKUP(B:B,Table3[#All],4,0)</f>
        <v>4800</v>
      </c>
      <c r="AQ97" s="7">
        <f>calcShift1(Таблица1[[#This Row],[Столбец5]:[Столбец36]])</f>
        <v>64</v>
      </c>
      <c r="AR97" s="7">
        <f>calcShift2(Таблица1[[#This Row],[Столбец5]:[Столбец36]])</f>
        <v>96</v>
      </c>
      <c r="AS97" s="7">
        <f>calcShift3(Таблица1[[#This Row],[Столбец5]:[Столбец36]])</f>
        <v>0</v>
      </c>
      <c r="AT97" s="26"/>
      <c r="AU97" s="7">
        <f>calcYavka(Таблица1[[#This Row],[Столбец5]:[Столбец36]])</f>
        <v>20</v>
      </c>
      <c r="AV97" s="31"/>
      <c r="AW97" s="18">
        <f>VLOOKUP(B:B,ДОП_ВСІ!B:AS,44,0)</f>
        <v>0</v>
      </c>
      <c r="AX97" s="7">
        <f>VLOOKUP(B:B,ДОП_ВСІ!B:AQ,42,0)</f>
        <v>0</v>
      </c>
      <c r="AY97" s="7">
        <f>Таблица1[[#This Row],[Столбец47]]*30</f>
        <v>600</v>
      </c>
      <c r="AZ97" s="6">
        <f>((((Таблица1[[#This Row],[Столбец42]]/160)*Таблица1[[#This Row],[Столбец44]])*0.25)*0.35)+((((Таблица1[[#This Row],[Столбец42]]/160)*Таблица1[[#This Row],[Столбец44]])*0.5)*0.2)</f>
        <v>540</v>
      </c>
      <c r="BA97" s="26"/>
      <c r="BB97" s="47">
        <f>calcTS(Таблица1[[#This Row],[Столбец5]:[Столбец36]])</f>
        <v>0</v>
      </c>
    </row>
    <row r="98" spans="1:54" ht="42" x14ac:dyDescent="0.35">
      <c r="A98" s="25" t="s">
        <v>683</v>
      </c>
      <c r="B98" s="26" t="s">
        <v>684</v>
      </c>
      <c r="C98" s="27" t="s">
        <v>255</v>
      </c>
      <c r="D98" s="20" t="s">
        <v>2564</v>
      </c>
      <c r="E98" s="28" t="s">
        <v>135</v>
      </c>
      <c r="F98" s="27" t="s">
        <v>135</v>
      </c>
      <c r="G98" s="27" t="s">
        <v>135</v>
      </c>
      <c r="H98" s="27" t="s">
        <v>135</v>
      </c>
      <c r="I98" s="27" t="s">
        <v>2486</v>
      </c>
      <c r="J98" s="27" t="s">
        <v>2486</v>
      </c>
      <c r="K98" s="28" t="s">
        <v>141</v>
      </c>
      <c r="L98" s="27" t="s">
        <v>141</v>
      </c>
      <c r="M98" s="27" t="s">
        <v>141</v>
      </c>
      <c r="N98" s="28" t="s">
        <v>141</v>
      </c>
      <c r="O98" s="28" t="s">
        <v>2486</v>
      </c>
      <c r="P98" s="28" t="s">
        <v>2486</v>
      </c>
      <c r="Q98" s="28" t="s">
        <v>2542</v>
      </c>
      <c r="R98" s="27" t="s">
        <v>2542</v>
      </c>
      <c r="S98" s="27" t="s">
        <v>2542</v>
      </c>
      <c r="T98" s="27" t="s">
        <v>2542</v>
      </c>
      <c r="U98" s="27" t="s">
        <v>2486</v>
      </c>
      <c r="V98" s="27" t="s">
        <v>2486</v>
      </c>
      <c r="W98" s="27" t="s">
        <v>141</v>
      </c>
      <c r="X98" s="27" t="s">
        <v>141</v>
      </c>
      <c r="Y98" s="27" t="s">
        <v>141</v>
      </c>
      <c r="Z98" s="27" t="s">
        <v>141</v>
      </c>
      <c r="AA98" s="27" t="s">
        <v>2486</v>
      </c>
      <c r="AB98" s="27" t="s">
        <v>2486</v>
      </c>
      <c r="AC98" s="27" t="s">
        <v>135</v>
      </c>
      <c r="AD98" s="27" t="s">
        <v>135</v>
      </c>
      <c r="AE98" s="27" t="s">
        <v>135</v>
      </c>
      <c r="AF98" s="27" t="s">
        <v>135</v>
      </c>
      <c r="AG98" s="48" t="s">
        <v>2486</v>
      </c>
      <c r="AH98" s="48" t="s">
        <v>2486</v>
      </c>
      <c r="AI98" s="48" t="s">
        <v>2580</v>
      </c>
      <c r="AJ98" s="50" t="s">
        <v>2580</v>
      </c>
      <c r="AK98" s="51" t="s">
        <v>54</v>
      </c>
      <c r="AL98" s="27" t="s">
        <v>55</v>
      </c>
      <c r="AM98" s="32"/>
      <c r="AN98" s="30"/>
      <c r="AO98" s="26"/>
      <c r="AP98" s="7">
        <f>VLOOKUP(B:B,Table3[#All],4,0)</f>
        <v>4800</v>
      </c>
      <c r="AQ98" s="7">
        <f>calcShift1(Таблица1[[#This Row],[Столбец5]:[Столбец36]])</f>
        <v>64</v>
      </c>
      <c r="AR98" s="7">
        <f>calcShift2(Таблица1[[#This Row],[Столбец5]:[Столбец36]])</f>
        <v>96</v>
      </c>
      <c r="AS98" s="7">
        <f>calcShift3(Таблица1[[#This Row],[Столбец5]:[Столбец36]])</f>
        <v>0</v>
      </c>
      <c r="AT98" s="26"/>
      <c r="AU98" s="7">
        <f>calcYavka(Таблица1[[#This Row],[Столбец5]:[Столбец36]])</f>
        <v>20</v>
      </c>
      <c r="AV98" s="31"/>
      <c r="AW98" s="18">
        <f>VLOOKUP(B:B,ДОП_ВСІ!B:AS,44,0)</f>
        <v>0</v>
      </c>
      <c r="AX98" s="7">
        <f>VLOOKUP(B:B,ДОП_ВСІ!B:AQ,42,0)</f>
        <v>0</v>
      </c>
      <c r="AY98" s="7">
        <f>Таблица1[[#This Row],[Столбец47]]*30</f>
        <v>600</v>
      </c>
      <c r="AZ98" s="6">
        <f>((((Таблица1[[#This Row],[Столбец42]]/160)*Таблица1[[#This Row],[Столбец44]])*0.25)*0.35)+((((Таблица1[[#This Row],[Столбец42]]/160)*Таблица1[[#This Row],[Столбец44]])*0.5)*0.2)</f>
        <v>540</v>
      </c>
      <c r="BA98" s="26"/>
      <c r="BB98" s="47">
        <f>calcTS(Таблица1[[#This Row],[Столбец5]:[Столбец36]])</f>
        <v>0</v>
      </c>
    </row>
    <row r="99" spans="1:54" ht="42" x14ac:dyDescent="0.35">
      <c r="A99" s="25" t="s">
        <v>685</v>
      </c>
      <c r="B99" s="26" t="s">
        <v>686</v>
      </c>
      <c r="C99" s="27" t="s">
        <v>255</v>
      </c>
      <c r="D99" s="20" t="s">
        <v>2564</v>
      </c>
      <c r="E99" s="28" t="s">
        <v>2501</v>
      </c>
      <c r="F99" s="27" t="s">
        <v>135</v>
      </c>
      <c r="G99" s="27" t="s">
        <v>135</v>
      </c>
      <c r="H99" s="27" t="s">
        <v>135</v>
      </c>
      <c r="I99" s="27" t="s">
        <v>2486</v>
      </c>
      <c r="J99" s="27" t="s">
        <v>2486</v>
      </c>
      <c r="K99" s="28" t="s">
        <v>141</v>
      </c>
      <c r="L99" s="27" t="s">
        <v>141</v>
      </c>
      <c r="M99" s="27" t="s">
        <v>141</v>
      </c>
      <c r="N99" s="28" t="s">
        <v>141</v>
      </c>
      <c r="O99" s="28" t="s">
        <v>2486</v>
      </c>
      <c r="P99" s="28" t="s">
        <v>2486</v>
      </c>
      <c r="Q99" s="28" t="s">
        <v>2542</v>
      </c>
      <c r="R99" s="27" t="s">
        <v>2542</v>
      </c>
      <c r="S99" s="27" t="s">
        <v>2542</v>
      </c>
      <c r="T99" s="27" t="s">
        <v>2542</v>
      </c>
      <c r="U99" s="27" t="s">
        <v>2486</v>
      </c>
      <c r="V99" s="27" t="s">
        <v>2486</v>
      </c>
      <c r="W99" s="27" t="s">
        <v>141</v>
      </c>
      <c r="X99" s="27" t="s">
        <v>141</v>
      </c>
      <c r="Y99" s="27" t="s">
        <v>141</v>
      </c>
      <c r="Z99" s="27" t="s">
        <v>141</v>
      </c>
      <c r="AA99" s="27" t="s">
        <v>2486</v>
      </c>
      <c r="AB99" s="27" t="s">
        <v>2486</v>
      </c>
      <c r="AC99" s="27" t="s">
        <v>135</v>
      </c>
      <c r="AD99" s="27" t="s">
        <v>135</v>
      </c>
      <c r="AE99" s="27" t="s">
        <v>135</v>
      </c>
      <c r="AF99" s="27" t="s">
        <v>135</v>
      </c>
      <c r="AG99" s="48" t="s">
        <v>2486</v>
      </c>
      <c r="AH99" s="48" t="s">
        <v>2486</v>
      </c>
      <c r="AI99" s="48" t="s">
        <v>2597</v>
      </c>
      <c r="AJ99" s="50" t="s">
        <v>2580</v>
      </c>
      <c r="AK99" s="51" t="s">
        <v>72</v>
      </c>
      <c r="AL99" s="27" t="s">
        <v>71</v>
      </c>
      <c r="AM99" s="32"/>
      <c r="AN99" s="30"/>
      <c r="AO99" s="26"/>
      <c r="AP99" s="7">
        <f>VLOOKUP(B:B,Table3[#All],4,0)</f>
        <v>4800</v>
      </c>
      <c r="AQ99" s="7">
        <f>calcShift1(Таблица1[[#This Row],[Столбец5]:[Столбец36]])</f>
        <v>64</v>
      </c>
      <c r="AR99" s="7">
        <f>calcShift2(Таблица1[[#This Row],[Столбец5]:[Столбец36]])</f>
        <v>88</v>
      </c>
      <c r="AS99" s="7">
        <f>calcShift3(Таблица1[[#This Row],[Столбец5]:[Столбец36]])</f>
        <v>0</v>
      </c>
      <c r="AT99" s="26"/>
      <c r="AU99" s="7">
        <f>calcYavka(Таблица1[[#This Row],[Столбец5]:[Столбец36]])</f>
        <v>19</v>
      </c>
      <c r="AV99" s="31"/>
      <c r="AW99" s="18">
        <f>VLOOKUP(B:B,ДОП_ВСІ!B:AS,44,0)</f>
        <v>240</v>
      </c>
      <c r="AX99" s="7">
        <f>VLOOKUP(B:B,ДОП_ВСІ!B:AQ,42,0)</f>
        <v>0</v>
      </c>
      <c r="AY99" s="7">
        <f>Таблица1[[#This Row],[Столбец47]]*30</f>
        <v>570</v>
      </c>
      <c r="AZ99" s="6">
        <f>((((Таблица1[[#This Row],[Столбец42]]/160)*Таблица1[[#This Row],[Столбец44]])*0.25)*0.35)+((((Таблица1[[#This Row],[Столбец42]]/160)*Таблица1[[#This Row],[Столбец44]])*0.5)*0.2)</f>
        <v>495</v>
      </c>
      <c r="BA99" s="26"/>
      <c r="BB99" s="47">
        <f>calcTS(Таблица1[[#This Row],[Столбец5]:[Столбец36]])</f>
        <v>0</v>
      </c>
    </row>
    <row r="100" spans="1:54" ht="42" x14ac:dyDescent="0.35">
      <c r="A100" s="25" t="s">
        <v>687</v>
      </c>
      <c r="B100" s="26" t="s">
        <v>688</v>
      </c>
      <c r="C100" s="27" t="s">
        <v>255</v>
      </c>
      <c r="D100" s="20" t="s">
        <v>2564</v>
      </c>
      <c r="E100" s="28" t="s">
        <v>2543</v>
      </c>
      <c r="F100" s="27" t="s">
        <v>2543</v>
      </c>
      <c r="G100" s="27" t="s">
        <v>2486</v>
      </c>
      <c r="H100" s="27" t="s">
        <v>2486</v>
      </c>
      <c r="I100" s="27" t="s">
        <v>135</v>
      </c>
      <c r="J100" s="27" t="s">
        <v>135</v>
      </c>
      <c r="K100" s="28" t="s">
        <v>135</v>
      </c>
      <c r="L100" s="27" t="s">
        <v>135</v>
      </c>
      <c r="M100" s="27" t="s">
        <v>2486</v>
      </c>
      <c r="N100" s="28" t="s">
        <v>2486</v>
      </c>
      <c r="O100" s="28" t="s">
        <v>2543</v>
      </c>
      <c r="P100" s="28" t="s">
        <v>2543</v>
      </c>
      <c r="Q100" s="28" t="s">
        <v>2543</v>
      </c>
      <c r="R100" s="27" t="s">
        <v>2543</v>
      </c>
      <c r="S100" s="27" t="s">
        <v>2486</v>
      </c>
      <c r="T100" s="27" t="s">
        <v>2486</v>
      </c>
      <c r="U100" s="27" t="s">
        <v>135</v>
      </c>
      <c r="V100" s="27" t="s">
        <v>135</v>
      </c>
      <c r="W100" s="27" t="s">
        <v>135</v>
      </c>
      <c r="X100" s="27" t="s">
        <v>135</v>
      </c>
      <c r="Y100" s="27" t="s">
        <v>2486</v>
      </c>
      <c r="Z100" s="27" t="s">
        <v>2486</v>
      </c>
      <c r="AA100" s="27" t="s">
        <v>2543</v>
      </c>
      <c r="AB100" s="27" t="s">
        <v>2543</v>
      </c>
      <c r="AC100" s="27" t="s">
        <v>2543</v>
      </c>
      <c r="AD100" s="27" t="s">
        <v>2543</v>
      </c>
      <c r="AE100" s="27" t="s">
        <v>2486</v>
      </c>
      <c r="AF100" s="27" t="s">
        <v>2486</v>
      </c>
      <c r="AG100" s="48" t="s">
        <v>135</v>
      </c>
      <c r="AH100" s="48" t="s">
        <v>135</v>
      </c>
      <c r="AI100" s="48" t="s">
        <v>2580</v>
      </c>
      <c r="AJ100" s="50" t="s">
        <v>2580</v>
      </c>
      <c r="AK100" s="51" t="s">
        <v>54</v>
      </c>
      <c r="AL100" s="27" t="s">
        <v>55</v>
      </c>
      <c r="AM100" s="32"/>
      <c r="AN100" s="30"/>
      <c r="AO100" s="26"/>
      <c r="AP100" s="7">
        <f>VLOOKUP(B:B,Table3[#All],4,0)</f>
        <v>4800</v>
      </c>
      <c r="AQ100" s="7">
        <f>calcShift1(Таблица1[[#This Row],[Столбец5]:[Столбец36]])</f>
        <v>80</v>
      </c>
      <c r="AR100" s="7">
        <f>calcShift2(Таблица1[[#This Row],[Столбец5]:[Столбец36]])</f>
        <v>80</v>
      </c>
      <c r="AS100" s="7">
        <f>calcShift3(Таблица1[[#This Row],[Столбец5]:[Столбец36]])</f>
        <v>0</v>
      </c>
      <c r="AT100" s="26"/>
      <c r="AU100" s="7">
        <f>calcYavka(Таблица1[[#This Row],[Столбец5]:[Столбец36]])</f>
        <v>20</v>
      </c>
      <c r="AV100" s="31"/>
      <c r="AW100" s="18">
        <f>VLOOKUP(B:B,ДОП_ВСІ!B:AS,44,0)</f>
        <v>480</v>
      </c>
      <c r="AX100" s="7">
        <f>VLOOKUP(B:B,ДОП_ВСІ!B:AQ,42,0)</f>
        <v>0</v>
      </c>
      <c r="AY100" s="7">
        <f>Таблица1[[#This Row],[Столбец47]]*30</f>
        <v>600</v>
      </c>
      <c r="AZ100" s="6">
        <f>((((Таблица1[[#This Row],[Столбец42]]/160)*Таблица1[[#This Row],[Столбец44]])*0.25)*0.35)+((((Таблица1[[#This Row],[Столбец42]]/160)*Таблица1[[#This Row],[Столбец44]])*0.5)*0.2)</f>
        <v>450</v>
      </c>
      <c r="BA100" s="26"/>
      <c r="BB100" s="47">
        <f>calcTS(Таблица1[[#This Row],[Столбец5]:[Столбец36]])</f>
        <v>0</v>
      </c>
    </row>
    <row r="101" spans="1:54" ht="42" x14ac:dyDescent="0.35">
      <c r="A101" s="25" t="s">
        <v>690</v>
      </c>
      <c r="B101" s="26" t="s">
        <v>691</v>
      </c>
      <c r="C101" s="27" t="s">
        <v>639</v>
      </c>
      <c r="D101" s="20" t="s">
        <v>2564</v>
      </c>
      <c r="E101" s="28" t="s">
        <v>2543</v>
      </c>
      <c r="F101" s="27" t="s">
        <v>2543</v>
      </c>
      <c r="G101" s="27" t="s">
        <v>2486</v>
      </c>
      <c r="H101" s="27" t="s">
        <v>2486</v>
      </c>
      <c r="I101" s="27" t="s">
        <v>135</v>
      </c>
      <c r="J101" s="27" t="s">
        <v>135</v>
      </c>
      <c r="K101" s="28" t="s">
        <v>135</v>
      </c>
      <c r="L101" s="27" t="s">
        <v>135</v>
      </c>
      <c r="M101" s="27" t="s">
        <v>2486</v>
      </c>
      <c r="N101" s="28" t="s">
        <v>2486</v>
      </c>
      <c r="O101" s="28" t="s">
        <v>2543</v>
      </c>
      <c r="P101" s="28" t="s">
        <v>2543</v>
      </c>
      <c r="Q101" s="28" t="s">
        <v>2543</v>
      </c>
      <c r="R101" s="27" t="s">
        <v>2543</v>
      </c>
      <c r="S101" s="27" t="s">
        <v>2486</v>
      </c>
      <c r="T101" s="27" t="s">
        <v>2486</v>
      </c>
      <c r="U101" s="27" t="s">
        <v>135</v>
      </c>
      <c r="V101" s="27" t="s">
        <v>135</v>
      </c>
      <c r="W101" s="27" t="s">
        <v>135</v>
      </c>
      <c r="X101" s="27" t="s">
        <v>135</v>
      </c>
      <c r="Y101" s="27" t="s">
        <v>2486</v>
      </c>
      <c r="Z101" s="27" t="s">
        <v>2486</v>
      </c>
      <c r="AA101" s="27" t="s">
        <v>2543</v>
      </c>
      <c r="AB101" s="27" t="s">
        <v>2543</v>
      </c>
      <c r="AC101" s="27" t="s">
        <v>2543</v>
      </c>
      <c r="AD101" s="27" t="s">
        <v>2543</v>
      </c>
      <c r="AE101" s="27" t="s">
        <v>2486</v>
      </c>
      <c r="AF101" s="27" t="s">
        <v>2486</v>
      </c>
      <c r="AG101" s="48" t="s">
        <v>135</v>
      </c>
      <c r="AH101" s="48" t="s">
        <v>135</v>
      </c>
      <c r="AI101" s="48" t="s">
        <v>2580</v>
      </c>
      <c r="AJ101" s="50" t="s">
        <v>2580</v>
      </c>
      <c r="AK101" s="51" t="s">
        <v>54</v>
      </c>
      <c r="AL101" s="27" t="s">
        <v>55</v>
      </c>
      <c r="AM101" s="32"/>
      <c r="AN101" s="30"/>
      <c r="AO101" s="26"/>
      <c r="AP101" s="7">
        <f>VLOOKUP(B:B,Table3[#All],4,0)</f>
        <v>4800</v>
      </c>
      <c r="AQ101" s="7">
        <f>calcShift1(Таблица1[[#This Row],[Столбец5]:[Столбец36]])</f>
        <v>80</v>
      </c>
      <c r="AR101" s="7">
        <f>calcShift2(Таблица1[[#This Row],[Столбец5]:[Столбец36]])</f>
        <v>80</v>
      </c>
      <c r="AS101" s="7">
        <f>calcShift3(Таблица1[[#This Row],[Столбец5]:[Столбец36]])</f>
        <v>0</v>
      </c>
      <c r="AT101" s="26"/>
      <c r="AU101" s="7">
        <f>calcYavka(Таблица1[[#This Row],[Столбец5]:[Столбец36]])</f>
        <v>20</v>
      </c>
      <c r="AV101" s="31"/>
      <c r="AW101" s="18">
        <f>VLOOKUP(B:B,ДОП_ВСІ!B:AS,44,0)</f>
        <v>480</v>
      </c>
      <c r="AX101" s="7">
        <f>VLOOKUP(B:B,ДОП_ВСІ!B:AQ,42,0)</f>
        <v>0</v>
      </c>
      <c r="AY101" s="7">
        <f>Таблица1[[#This Row],[Столбец47]]*30</f>
        <v>600</v>
      </c>
      <c r="AZ101" s="6">
        <f>((((Таблица1[[#This Row],[Столбец42]]/160)*Таблица1[[#This Row],[Столбец44]])*0.25)*0.35)+((((Таблица1[[#This Row],[Столбец42]]/160)*Таблица1[[#This Row],[Столбец44]])*0.5)*0.2)</f>
        <v>450</v>
      </c>
      <c r="BA101" s="26"/>
      <c r="BB101" s="47">
        <f>calcTS(Таблица1[[#This Row],[Столбец5]:[Столбец36]])</f>
        <v>0</v>
      </c>
    </row>
    <row r="102" spans="1:54" ht="42" x14ac:dyDescent="0.35">
      <c r="A102" s="25" t="s">
        <v>692</v>
      </c>
      <c r="B102" s="26" t="s">
        <v>693</v>
      </c>
      <c r="C102" s="27" t="s">
        <v>255</v>
      </c>
      <c r="D102" s="20" t="s">
        <v>2564</v>
      </c>
      <c r="E102" s="28" t="s">
        <v>2543</v>
      </c>
      <c r="F102" s="27" t="s">
        <v>2543</v>
      </c>
      <c r="G102" s="27" t="s">
        <v>2486</v>
      </c>
      <c r="H102" s="27" t="s">
        <v>2486</v>
      </c>
      <c r="I102" s="27" t="s">
        <v>135</v>
      </c>
      <c r="J102" s="27" t="s">
        <v>135</v>
      </c>
      <c r="K102" s="28" t="s">
        <v>135</v>
      </c>
      <c r="L102" s="27" t="s">
        <v>135</v>
      </c>
      <c r="M102" s="27" t="s">
        <v>2486</v>
      </c>
      <c r="N102" s="28" t="s">
        <v>2486</v>
      </c>
      <c r="O102" s="28" t="s">
        <v>2543</v>
      </c>
      <c r="P102" s="28" t="s">
        <v>2543</v>
      </c>
      <c r="Q102" s="28" t="s">
        <v>2543</v>
      </c>
      <c r="R102" s="27" t="s">
        <v>2543</v>
      </c>
      <c r="S102" s="27" t="s">
        <v>2486</v>
      </c>
      <c r="T102" s="27" t="s">
        <v>2486</v>
      </c>
      <c r="U102" s="27" t="s">
        <v>135</v>
      </c>
      <c r="V102" s="27" t="s">
        <v>135</v>
      </c>
      <c r="W102" s="27" t="s">
        <v>135</v>
      </c>
      <c r="X102" s="27" t="s">
        <v>135</v>
      </c>
      <c r="Y102" s="27" t="s">
        <v>2486</v>
      </c>
      <c r="Z102" s="27" t="s">
        <v>2486</v>
      </c>
      <c r="AA102" s="27" t="s">
        <v>2543</v>
      </c>
      <c r="AB102" s="27" t="s">
        <v>2543</v>
      </c>
      <c r="AC102" s="27" t="s">
        <v>2543</v>
      </c>
      <c r="AD102" s="27" t="s">
        <v>2543</v>
      </c>
      <c r="AE102" s="27" t="s">
        <v>2486</v>
      </c>
      <c r="AF102" s="27" t="s">
        <v>2486</v>
      </c>
      <c r="AG102" s="48" t="s">
        <v>135</v>
      </c>
      <c r="AH102" s="48" t="s">
        <v>135</v>
      </c>
      <c r="AI102" s="48" t="s">
        <v>2580</v>
      </c>
      <c r="AJ102" s="50" t="s">
        <v>2580</v>
      </c>
      <c r="AK102" s="51" t="s">
        <v>54</v>
      </c>
      <c r="AL102" s="27" t="s">
        <v>55</v>
      </c>
      <c r="AM102" s="32"/>
      <c r="AN102" s="30"/>
      <c r="AO102" s="26"/>
      <c r="AP102" s="7">
        <f>VLOOKUP(B:B,Table3[#All],4,0)</f>
        <v>4800</v>
      </c>
      <c r="AQ102" s="7">
        <f>calcShift1(Таблица1[[#This Row],[Столбец5]:[Столбец36]])</f>
        <v>80</v>
      </c>
      <c r="AR102" s="7">
        <f>calcShift2(Таблица1[[#This Row],[Столбец5]:[Столбец36]])</f>
        <v>80</v>
      </c>
      <c r="AS102" s="7">
        <f>calcShift3(Таблица1[[#This Row],[Столбец5]:[Столбец36]])</f>
        <v>0</v>
      </c>
      <c r="AT102" s="26"/>
      <c r="AU102" s="7">
        <f>calcYavka(Таблица1[[#This Row],[Столбец5]:[Столбец36]])</f>
        <v>20</v>
      </c>
      <c r="AV102" s="31"/>
      <c r="AW102" s="18">
        <f>VLOOKUP(B:B,ДОП_ВСІ!B:AS,44,0)</f>
        <v>480</v>
      </c>
      <c r="AX102" s="7">
        <f>VLOOKUP(B:B,ДОП_ВСІ!B:AQ,42,0)</f>
        <v>0</v>
      </c>
      <c r="AY102" s="7">
        <f>Таблица1[[#This Row],[Столбец47]]*30</f>
        <v>600</v>
      </c>
      <c r="AZ102" s="6">
        <f>((((Таблица1[[#This Row],[Столбец42]]/160)*Таблица1[[#This Row],[Столбец44]])*0.25)*0.35)+((((Таблица1[[#This Row],[Столбец42]]/160)*Таблица1[[#This Row],[Столбец44]])*0.5)*0.2)</f>
        <v>450</v>
      </c>
      <c r="BA102" s="26"/>
      <c r="BB102" s="47">
        <f>calcTS(Таблица1[[#This Row],[Столбец5]:[Столбец36]])</f>
        <v>0</v>
      </c>
    </row>
    <row r="103" spans="1:54" ht="42" x14ac:dyDescent="0.35">
      <c r="A103" s="25" t="s">
        <v>694</v>
      </c>
      <c r="B103" s="26" t="s">
        <v>695</v>
      </c>
      <c r="C103" s="27" t="s">
        <v>255</v>
      </c>
      <c r="D103" s="20" t="s">
        <v>2564</v>
      </c>
      <c r="E103" s="28" t="s">
        <v>2543</v>
      </c>
      <c r="F103" s="27" t="s">
        <v>2543</v>
      </c>
      <c r="G103" s="27" t="s">
        <v>2486</v>
      </c>
      <c r="H103" s="27" t="s">
        <v>2486</v>
      </c>
      <c r="I103" s="27" t="s">
        <v>135</v>
      </c>
      <c r="J103" s="27" t="s">
        <v>135</v>
      </c>
      <c r="K103" s="28" t="s">
        <v>135</v>
      </c>
      <c r="L103" s="27" t="s">
        <v>135</v>
      </c>
      <c r="M103" s="27" t="s">
        <v>2486</v>
      </c>
      <c r="N103" s="28" t="s">
        <v>2486</v>
      </c>
      <c r="O103" s="28" t="s">
        <v>2543</v>
      </c>
      <c r="P103" s="28" t="s">
        <v>2543</v>
      </c>
      <c r="Q103" s="28" t="s">
        <v>2543</v>
      </c>
      <c r="R103" s="27" t="s">
        <v>2543</v>
      </c>
      <c r="S103" s="27" t="s">
        <v>2486</v>
      </c>
      <c r="T103" s="27" t="s">
        <v>2486</v>
      </c>
      <c r="U103" s="27" t="s">
        <v>135</v>
      </c>
      <c r="V103" s="27" t="s">
        <v>135</v>
      </c>
      <c r="W103" s="27" t="s">
        <v>135</v>
      </c>
      <c r="X103" s="27" t="s">
        <v>135</v>
      </c>
      <c r="Y103" s="27" t="s">
        <v>2486</v>
      </c>
      <c r="Z103" s="27" t="s">
        <v>2486</v>
      </c>
      <c r="AA103" s="27" t="s">
        <v>2543</v>
      </c>
      <c r="AB103" s="27" t="s">
        <v>2543</v>
      </c>
      <c r="AC103" s="27" t="s">
        <v>2543</v>
      </c>
      <c r="AD103" s="27" t="s">
        <v>2543</v>
      </c>
      <c r="AE103" s="27" t="s">
        <v>2486</v>
      </c>
      <c r="AF103" s="27" t="s">
        <v>2486</v>
      </c>
      <c r="AG103" s="48" t="s">
        <v>135</v>
      </c>
      <c r="AH103" s="48" t="s">
        <v>135</v>
      </c>
      <c r="AI103" s="48" t="s">
        <v>2580</v>
      </c>
      <c r="AJ103" s="50" t="s">
        <v>2580</v>
      </c>
      <c r="AK103" s="51" t="s">
        <v>54</v>
      </c>
      <c r="AL103" s="27" t="s">
        <v>55</v>
      </c>
      <c r="AM103" s="32"/>
      <c r="AN103" s="30"/>
      <c r="AO103" s="26"/>
      <c r="AP103" s="7">
        <f>VLOOKUP(B:B,Table3[#All],4,0)</f>
        <v>4800</v>
      </c>
      <c r="AQ103" s="7">
        <f>calcShift1(Таблица1[[#This Row],[Столбец5]:[Столбец36]])</f>
        <v>80</v>
      </c>
      <c r="AR103" s="7">
        <f>calcShift2(Таблица1[[#This Row],[Столбец5]:[Столбец36]])</f>
        <v>80</v>
      </c>
      <c r="AS103" s="7">
        <f>calcShift3(Таблица1[[#This Row],[Столбец5]:[Столбец36]])</f>
        <v>0</v>
      </c>
      <c r="AT103" s="26"/>
      <c r="AU103" s="7">
        <f>calcYavka(Таблица1[[#This Row],[Столбец5]:[Столбец36]])</f>
        <v>20</v>
      </c>
      <c r="AV103" s="31"/>
      <c r="AW103" s="18">
        <f>VLOOKUP(B:B,ДОП_ВСІ!B:AS,44,0)</f>
        <v>480</v>
      </c>
      <c r="AX103" s="7">
        <f>VLOOKUP(B:B,ДОП_ВСІ!B:AQ,42,0)</f>
        <v>0</v>
      </c>
      <c r="AY103" s="7">
        <f>Таблица1[[#This Row],[Столбец47]]*30</f>
        <v>600</v>
      </c>
      <c r="AZ103" s="6">
        <f>((((Таблица1[[#This Row],[Столбец42]]/160)*Таблица1[[#This Row],[Столбец44]])*0.25)*0.35)+((((Таблица1[[#This Row],[Столбец42]]/160)*Таблица1[[#This Row],[Столбец44]])*0.5)*0.2)</f>
        <v>450</v>
      </c>
      <c r="BA103" s="26"/>
      <c r="BB103" s="47">
        <f>calcTS(Таблица1[[#This Row],[Столбец5]:[Столбец36]])</f>
        <v>0</v>
      </c>
    </row>
    <row r="104" spans="1:54" x14ac:dyDescent="0.35">
      <c r="A104" s="25" t="s">
        <v>345</v>
      </c>
      <c r="B104" s="26" t="s">
        <v>346</v>
      </c>
      <c r="C104" s="27" t="s">
        <v>279</v>
      </c>
      <c r="D104" s="20" t="s">
        <v>2564</v>
      </c>
      <c r="E104" s="28" t="s">
        <v>2486</v>
      </c>
      <c r="F104" s="27" t="s">
        <v>141</v>
      </c>
      <c r="G104" s="27" t="s">
        <v>2531</v>
      </c>
      <c r="H104" s="27" t="s">
        <v>2543</v>
      </c>
      <c r="I104" s="27" t="s">
        <v>141</v>
      </c>
      <c r="J104" s="27" t="s">
        <v>2486</v>
      </c>
      <c r="K104" s="28" t="s">
        <v>2486</v>
      </c>
      <c r="L104" s="27" t="s">
        <v>135</v>
      </c>
      <c r="M104" s="27" t="s">
        <v>135</v>
      </c>
      <c r="N104" s="28" t="s">
        <v>135</v>
      </c>
      <c r="O104" s="28" t="s">
        <v>135</v>
      </c>
      <c r="P104" s="28" t="s">
        <v>2486</v>
      </c>
      <c r="Q104" s="28" t="s">
        <v>2486</v>
      </c>
      <c r="R104" s="27" t="s">
        <v>2501</v>
      </c>
      <c r="S104" s="27" t="s">
        <v>2501</v>
      </c>
      <c r="T104" s="27" t="s">
        <v>2501</v>
      </c>
      <c r="U104" s="27" t="s">
        <v>2501</v>
      </c>
      <c r="V104" s="27" t="s">
        <v>2501</v>
      </c>
      <c r="W104" s="27" t="s">
        <v>2501</v>
      </c>
      <c r="X104" s="27" t="s">
        <v>2501</v>
      </c>
      <c r="Y104" s="27" t="s">
        <v>2501</v>
      </c>
      <c r="Z104" s="27" t="s">
        <v>2501</v>
      </c>
      <c r="AA104" s="27" t="s">
        <v>2501</v>
      </c>
      <c r="AB104" s="27" t="s">
        <v>2501</v>
      </c>
      <c r="AC104" s="27" t="s">
        <v>2501</v>
      </c>
      <c r="AD104" s="27" t="s">
        <v>2501</v>
      </c>
      <c r="AE104" s="27" t="s">
        <v>2501</v>
      </c>
      <c r="AF104" s="27" t="s">
        <v>2501</v>
      </c>
      <c r="AG104" s="48" t="s">
        <v>2501</v>
      </c>
      <c r="AH104" s="48" t="s">
        <v>2486</v>
      </c>
      <c r="AI104" s="48" t="s">
        <v>2599</v>
      </c>
      <c r="AJ104" s="50" t="s">
        <v>2580</v>
      </c>
      <c r="AK104" s="51" t="s">
        <v>2600</v>
      </c>
      <c r="AL104" s="27" t="s">
        <v>88</v>
      </c>
      <c r="AM104" s="32"/>
      <c r="AN104" s="30"/>
      <c r="AO104" s="26"/>
      <c r="AP104" s="7">
        <f>VLOOKUP(B:B,Table3[#All],4,0)</f>
        <v>6500</v>
      </c>
      <c r="AQ104" s="7">
        <f>calcShift1(Таблица1[[#This Row],[Столбец5]:[Столбец36]])</f>
        <v>24</v>
      </c>
      <c r="AR104" s="7">
        <f>calcShift2(Таблица1[[#This Row],[Столбец5]:[Столбец36]])</f>
        <v>32</v>
      </c>
      <c r="AS104" s="7">
        <f>calcShift3(Таблица1[[#This Row],[Столбец5]:[Столбец36]])</f>
        <v>0</v>
      </c>
      <c r="AT104" s="26"/>
      <c r="AU104" s="7">
        <f>calcYavka(Таблица1[[#This Row],[Столбец5]:[Столбец36]])</f>
        <v>7</v>
      </c>
      <c r="AV104" s="31"/>
      <c r="AW104" s="18">
        <f>VLOOKUP(B:B,ДОП_ВСІ!B:AS,44,0)</f>
        <v>0</v>
      </c>
      <c r="AX104" s="7">
        <f>VLOOKUP(B:B,ДОП_ВСІ!B:AQ,42,0)</f>
        <v>767.81250000000011</v>
      </c>
      <c r="AY104" s="7">
        <f>Таблица1[[#This Row],[Столбец47]]*30</f>
        <v>210</v>
      </c>
      <c r="AZ104" s="6">
        <f>((((Таблица1[[#This Row],[Столбец42]]/160)*Таблица1[[#This Row],[Столбец44]])*0.25)*0.35)+((((Таблица1[[#This Row],[Столбец42]]/160)*Таблица1[[#This Row],[Столбец44]])*0.5)*0.2)</f>
        <v>243.75</v>
      </c>
      <c r="BA104" s="26"/>
      <c r="BB104" s="47">
        <f>calcTS(Таблица1[[#This Row],[Столбец5]:[Столбец36]])</f>
        <v>0</v>
      </c>
    </row>
    <row r="105" spans="1:54" x14ac:dyDescent="0.35">
      <c r="A105" s="25" t="s">
        <v>348</v>
      </c>
      <c r="B105" s="26" t="s">
        <v>349</v>
      </c>
      <c r="C105" s="27" t="s">
        <v>279</v>
      </c>
      <c r="D105" s="20" t="s">
        <v>2564</v>
      </c>
      <c r="E105" s="28" t="s">
        <v>2486</v>
      </c>
      <c r="F105" s="27" t="s">
        <v>141</v>
      </c>
      <c r="G105" s="27" t="s">
        <v>141</v>
      </c>
      <c r="H105" s="27" t="s">
        <v>2543</v>
      </c>
      <c r="I105" s="27" t="s">
        <v>141</v>
      </c>
      <c r="J105" s="27" t="s">
        <v>2486</v>
      </c>
      <c r="K105" s="28" t="s">
        <v>2486</v>
      </c>
      <c r="L105" s="27" t="s">
        <v>135</v>
      </c>
      <c r="M105" s="27" t="s">
        <v>135</v>
      </c>
      <c r="N105" s="28" t="s">
        <v>135</v>
      </c>
      <c r="O105" s="28" t="s">
        <v>135</v>
      </c>
      <c r="P105" s="28" t="s">
        <v>2486</v>
      </c>
      <c r="Q105" s="28" t="s">
        <v>2486</v>
      </c>
      <c r="R105" s="27" t="s">
        <v>2543</v>
      </c>
      <c r="S105" s="27" t="s">
        <v>2543</v>
      </c>
      <c r="T105" s="27" t="s">
        <v>2543</v>
      </c>
      <c r="U105" s="27" t="s">
        <v>2543</v>
      </c>
      <c r="V105" s="27" t="s">
        <v>2486</v>
      </c>
      <c r="W105" s="27" t="s">
        <v>2486</v>
      </c>
      <c r="X105" s="27" t="s">
        <v>135</v>
      </c>
      <c r="Y105" s="27" t="s">
        <v>2485</v>
      </c>
      <c r="Z105" s="27" t="s">
        <v>2485</v>
      </c>
      <c r="AA105" s="27" t="s">
        <v>135</v>
      </c>
      <c r="AB105" s="27" t="s">
        <v>2486</v>
      </c>
      <c r="AC105" s="27" t="s">
        <v>2486</v>
      </c>
      <c r="AD105" s="27" t="s">
        <v>2543</v>
      </c>
      <c r="AE105" s="27" t="s">
        <v>2543</v>
      </c>
      <c r="AF105" s="27" t="s">
        <v>2543</v>
      </c>
      <c r="AG105" s="48" t="s">
        <v>2543</v>
      </c>
      <c r="AH105" s="48" t="s">
        <v>2486</v>
      </c>
      <c r="AI105" s="48" t="s">
        <v>2601</v>
      </c>
      <c r="AJ105" s="50" t="s">
        <v>2580</v>
      </c>
      <c r="AK105" s="51" t="s">
        <v>70</v>
      </c>
      <c r="AL105" s="27" t="s">
        <v>73</v>
      </c>
      <c r="AM105" s="32"/>
      <c r="AN105" s="30"/>
      <c r="AO105" s="26"/>
      <c r="AP105" s="7">
        <f>VLOOKUP(B:B,Table3[#All],4,0)</f>
        <v>6500</v>
      </c>
      <c r="AQ105" s="7">
        <f>calcShift1(Таблица1[[#This Row],[Столбец5]:[Столбец36]])</f>
        <v>96</v>
      </c>
      <c r="AR105" s="7">
        <f>calcShift2(Таблица1[[#This Row],[Столбец5]:[Столбец36]])</f>
        <v>47.999999999999993</v>
      </c>
      <c r="AS105" s="7">
        <f>calcShift3(Таблица1[[#This Row],[Столбец5]:[Столбец36]])</f>
        <v>0</v>
      </c>
      <c r="AT105" s="26"/>
      <c r="AU105" s="7">
        <f>calcYavka(Таблица1[[#This Row],[Столбец5]:[Столбец36]])</f>
        <v>18</v>
      </c>
      <c r="AV105" s="31"/>
      <c r="AW105" s="18">
        <f>VLOOKUP(B:B,ДОП_ВСІ!B:AS,44,0)</f>
        <v>0</v>
      </c>
      <c r="AX105" s="7">
        <f>VLOOKUP(B:B,ДОП_ВСІ!B:AQ,42,0)</f>
        <v>0</v>
      </c>
      <c r="AY105" s="7">
        <f>Таблица1[[#This Row],[Столбец47]]*30</f>
        <v>540</v>
      </c>
      <c r="AZ105" s="6">
        <f>((((Таблица1[[#This Row],[Столбец42]]/160)*Таблица1[[#This Row],[Столбец44]])*0.25)*0.35)+((((Таблица1[[#This Row],[Столбец42]]/160)*Таблица1[[#This Row],[Столбец44]])*0.5)*0.2)</f>
        <v>365.625</v>
      </c>
      <c r="BA105" s="26"/>
      <c r="BB105" s="47">
        <f>calcTS(Таблица1[[#This Row],[Столбец5]:[Столбец36]])</f>
        <v>0</v>
      </c>
    </row>
    <row r="106" spans="1:54" x14ac:dyDescent="0.35">
      <c r="A106" s="25" t="s">
        <v>350</v>
      </c>
      <c r="B106" s="26" t="s">
        <v>351</v>
      </c>
      <c r="C106" s="27" t="s">
        <v>279</v>
      </c>
      <c r="D106" s="20" t="s">
        <v>2564</v>
      </c>
      <c r="E106" s="28" t="s">
        <v>2486</v>
      </c>
      <c r="F106" s="27" t="s">
        <v>141</v>
      </c>
      <c r="G106" s="27" t="s">
        <v>141</v>
      </c>
      <c r="H106" s="27" t="s">
        <v>2543</v>
      </c>
      <c r="I106" s="27" t="s">
        <v>141</v>
      </c>
      <c r="J106" s="27" t="s">
        <v>2486</v>
      </c>
      <c r="K106" s="28" t="s">
        <v>2486</v>
      </c>
      <c r="L106" s="27" t="s">
        <v>135</v>
      </c>
      <c r="M106" s="27" t="s">
        <v>135</v>
      </c>
      <c r="N106" s="28" t="s">
        <v>135</v>
      </c>
      <c r="O106" s="28" t="s">
        <v>135</v>
      </c>
      <c r="P106" s="28" t="s">
        <v>2486</v>
      </c>
      <c r="Q106" s="28" t="s">
        <v>2486</v>
      </c>
      <c r="R106" s="27" t="s">
        <v>2543</v>
      </c>
      <c r="S106" s="27" t="s">
        <v>2543</v>
      </c>
      <c r="T106" s="27" t="s">
        <v>2543</v>
      </c>
      <c r="U106" s="27" t="s">
        <v>2543</v>
      </c>
      <c r="V106" s="27" t="s">
        <v>2486</v>
      </c>
      <c r="W106" s="27" t="s">
        <v>2486</v>
      </c>
      <c r="X106" s="27" t="s">
        <v>135</v>
      </c>
      <c r="Y106" s="27" t="s">
        <v>2485</v>
      </c>
      <c r="Z106" s="27" t="s">
        <v>141</v>
      </c>
      <c r="AA106" s="27" t="s">
        <v>135</v>
      </c>
      <c r="AB106" s="27" t="s">
        <v>2486</v>
      </c>
      <c r="AC106" s="27" t="s">
        <v>2486</v>
      </c>
      <c r="AD106" s="27" t="s">
        <v>141</v>
      </c>
      <c r="AE106" s="27" t="s">
        <v>141</v>
      </c>
      <c r="AF106" s="27" t="s">
        <v>141</v>
      </c>
      <c r="AG106" s="48" t="s">
        <v>141</v>
      </c>
      <c r="AH106" s="48" t="s">
        <v>2486</v>
      </c>
      <c r="AI106" s="48" t="s">
        <v>2597</v>
      </c>
      <c r="AJ106" s="50" t="s">
        <v>2580</v>
      </c>
      <c r="AK106" s="51" t="s">
        <v>72</v>
      </c>
      <c r="AL106" s="27" t="s">
        <v>71</v>
      </c>
      <c r="AM106" s="32"/>
      <c r="AN106" s="30"/>
      <c r="AO106" s="26"/>
      <c r="AP106" s="7">
        <f>VLOOKUP(B:B,Table3[#All],4,0)</f>
        <v>6500</v>
      </c>
      <c r="AQ106" s="7">
        <f>calcShift1(Таблица1[[#This Row],[Столбец5]:[Столбец36]])</f>
        <v>104</v>
      </c>
      <c r="AR106" s="7">
        <f>calcShift2(Таблица1[[#This Row],[Столбец5]:[Столбец36]])</f>
        <v>47.999999999999993</v>
      </c>
      <c r="AS106" s="7">
        <f>calcShift3(Таблица1[[#This Row],[Столбец5]:[Столбец36]])</f>
        <v>0</v>
      </c>
      <c r="AT106" s="26"/>
      <c r="AU106" s="7">
        <f>calcYavka(Таблица1[[#This Row],[Столбец5]:[Столбец36]])</f>
        <v>19</v>
      </c>
      <c r="AV106" s="31"/>
      <c r="AW106" s="18">
        <f>VLOOKUP(B:B,ДОП_ВСІ!B:AS,44,0)</f>
        <v>0</v>
      </c>
      <c r="AX106" s="7">
        <f>VLOOKUP(B:B,ДОП_ВСІ!B:AQ,42,0)</f>
        <v>0</v>
      </c>
      <c r="AY106" s="7">
        <f>Таблица1[[#This Row],[Столбец47]]*30</f>
        <v>570</v>
      </c>
      <c r="AZ106" s="6">
        <f>((((Таблица1[[#This Row],[Столбец42]]/160)*Таблица1[[#This Row],[Столбец44]])*0.25)*0.35)+((((Таблица1[[#This Row],[Столбец42]]/160)*Таблица1[[#This Row],[Столбец44]])*0.5)*0.2)</f>
        <v>365.625</v>
      </c>
      <c r="BA106" s="26"/>
      <c r="BB106" s="47">
        <f>calcTS(Таблица1[[#This Row],[Столбец5]:[Столбец36]])</f>
        <v>0</v>
      </c>
    </row>
    <row r="107" spans="1:54" x14ac:dyDescent="0.35">
      <c r="A107" s="25" t="s">
        <v>352</v>
      </c>
      <c r="B107" s="26" t="s">
        <v>353</v>
      </c>
      <c r="C107" s="27" t="s">
        <v>354</v>
      </c>
      <c r="D107" s="20" t="s">
        <v>2564</v>
      </c>
      <c r="E107" s="28" t="s">
        <v>2486</v>
      </c>
      <c r="F107" s="27" t="s">
        <v>141</v>
      </c>
      <c r="G107" s="27" t="s">
        <v>141</v>
      </c>
      <c r="H107" s="27" t="s">
        <v>2543</v>
      </c>
      <c r="I107" s="27" t="s">
        <v>141</v>
      </c>
      <c r="J107" s="27" t="s">
        <v>2486</v>
      </c>
      <c r="K107" s="28" t="s">
        <v>2486</v>
      </c>
      <c r="L107" s="27" t="s">
        <v>135</v>
      </c>
      <c r="M107" s="27" t="s">
        <v>135</v>
      </c>
      <c r="N107" s="28" t="s">
        <v>135</v>
      </c>
      <c r="O107" s="28" t="s">
        <v>135</v>
      </c>
      <c r="P107" s="28" t="s">
        <v>2486</v>
      </c>
      <c r="Q107" s="28" t="s">
        <v>2486</v>
      </c>
      <c r="R107" s="27" t="s">
        <v>2543</v>
      </c>
      <c r="S107" s="27" t="s">
        <v>2543</v>
      </c>
      <c r="T107" s="27" t="s">
        <v>2543</v>
      </c>
      <c r="U107" s="27" t="s">
        <v>2543</v>
      </c>
      <c r="V107" s="27" t="s">
        <v>2486</v>
      </c>
      <c r="W107" s="27" t="s">
        <v>2486</v>
      </c>
      <c r="X107" s="27" t="s">
        <v>135</v>
      </c>
      <c r="Y107" s="27" t="s">
        <v>141</v>
      </c>
      <c r="Z107" s="27" t="s">
        <v>141</v>
      </c>
      <c r="AA107" s="27" t="s">
        <v>135</v>
      </c>
      <c r="AB107" s="27" t="s">
        <v>2486</v>
      </c>
      <c r="AC107" s="27" t="s">
        <v>2486</v>
      </c>
      <c r="AD107" s="27" t="s">
        <v>141</v>
      </c>
      <c r="AE107" s="27" t="s">
        <v>141</v>
      </c>
      <c r="AF107" s="27" t="s">
        <v>141</v>
      </c>
      <c r="AG107" s="48" t="s">
        <v>141</v>
      </c>
      <c r="AH107" s="48" t="s">
        <v>2486</v>
      </c>
      <c r="AI107" s="48" t="s">
        <v>2580</v>
      </c>
      <c r="AJ107" s="50" t="s">
        <v>2580</v>
      </c>
      <c r="AK107" s="51" t="s">
        <v>54</v>
      </c>
      <c r="AL107" s="27" t="s">
        <v>55</v>
      </c>
      <c r="AM107" s="32"/>
      <c r="AN107" s="30"/>
      <c r="AO107" s="26"/>
      <c r="AP107" s="7">
        <f>VLOOKUP(B:B,Table3[#All],4,0)</f>
        <v>6500</v>
      </c>
      <c r="AQ107" s="7">
        <f>calcShift1(Таблица1[[#This Row],[Столбец5]:[Столбец36]])</f>
        <v>111.99999999999999</v>
      </c>
      <c r="AR107" s="7">
        <f>calcShift2(Таблица1[[#This Row],[Столбец5]:[Столбец36]])</f>
        <v>47.999999999999993</v>
      </c>
      <c r="AS107" s="7">
        <f>calcShift3(Таблица1[[#This Row],[Столбец5]:[Столбец36]])</f>
        <v>0</v>
      </c>
      <c r="AT107" s="26"/>
      <c r="AU107" s="7">
        <f>calcYavka(Таблица1[[#This Row],[Столбец5]:[Столбец36]])</f>
        <v>20</v>
      </c>
      <c r="AV107" s="31"/>
      <c r="AW107" s="18">
        <f>VLOOKUP(B:B,ДОП_ВСІ!B:AS,44,0)</f>
        <v>0</v>
      </c>
      <c r="AX107" s="7">
        <f>VLOOKUP(B:B,ДОП_ВСІ!B:AQ,42,0)</f>
        <v>0</v>
      </c>
      <c r="AY107" s="7">
        <f>Таблица1[[#This Row],[Столбец47]]*30</f>
        <v>600</v>
      </c>
      <c r="AZ107" s="6">
        <f>((((Таблица1[[#This Row],[Столбец42]]/160)*Таблица1[[#This Row],[Столбец44]])*0.25)*0.35)+((((Таблица1[[#This Row],[Столбец42]]/160)*Таблица1[[#This Row],[Столбец44]])*0.5)*0.2)</f>
        <v>365.625</v>
      </c>
      <c r="BA107" s="26"/>
      <c r="BB107" s="47">
        <f>calcTS(Таблица1[[#This Row],[Столбец5]:[Столбец36]])</f>
        <v>0</v>
      </c>
    </row>
    <row r="108" spans="1:54" x14ac:dyDescent="0.35">
      <c r="A108" s="25" t="s">
        <v>355</v>
      </c>
      <c r="B108" s="26" t="s">
        <v>356</v>
      </c>
      <c r="C108" s="27" t="s">
        <v>2602</v>
      </c>
      <c r="D108" s="20" t="s">
        <v>2564</v>
      </c>
      <c r="E108" s="28" t="s">
        <v>2486</v>
      </c>
      <c r="F108" s="27" t="s">
        <v>141</v>
      </c>
      <c r="G108" s="27" t="s">
        <v>141</v>
      </c>
      <c r="H108" s="27" t="s">
        <v>2543</v>
      </c>
      <c r="I108" s="27" t="s">
        <v>141</v>
      </c>
      <c r="J108" s="27" t="s">
        <v>2486</v>
      </c>
      <c r="K108" s="28" t="s">
        <v>2486</v>
      </c>
      <c r="L108" s="27" t="s">
        <v>135</v>
      </c>
      <c r="M108" s="27" t="s">
        <v>135</v>
      </c>
      <c r="N108" s="28" t="s">
        <v>135</v>
      </c>
      <c r="O108" s="28" t="s">
        <v>135</v>
      </c>
      <c r="P108" s="28" t="s">
        <v>2486</v>
      </c>
      <c r="Q108" s="28" t="s">
        <v>2486</v>
      </c>
      <c r="R108" s="27" t="s">
        <v>2543</v>
      </c>
      <c r="S108" s="27" t="s">
        <v>2543</v>
      </c>
      <c r="T108" s="27" t="s">
        <v>2543</v>
      </c>
      <c r="U108" s="27" t="s">
        <v>2543</v>
      </c>
      <c r="V108" s="27" t="s">
        <v>2486</v>
      </c>
      <c r="W108" s="27" t="s">
        <v>2486</v>
      </c>
      <c r="X108" s="27" t="s">
        <v>141</v>
      </c>
      <c r="Y108" s="27" t="s">
        <v>141</v>
      </c>
      <c r="Z108" s="27" t="s">
        <v>141</v>
      </c>
      <c r="AA108" s="27" t="s">
        <v>135</v>
      </c>
      <c r="AB108" s="27" t="s">
        <v>2486</v>
      </c>
      <c r="AC108" s="27" t="s">
        <v>2486</v>
      </c>
      <c r="AD108" s="27" t="s">
        <v>141</v>
      </c>
      <c r="AE108" s="27" t="s">
        <v>2501</v>
      </c>
      <c r="AF108" s="27" t="s">
        <v>2501</v>
      </c>
      <c r="AG108" s="48" t="s">
        <v>2501</v>
      </c>
      <c r="AH108" s="48" t="s">
        <v>2501</v>
      </c>
      <c r="AI108" s="48" t="s">
        <v>2586</v>
      </c>
      <c r="AJ108" s="50" t="s">
        <v>2580</v>
      </c>
      <c r="AK108" s="51" t="s">
        <v>52</v>
      </c>
      <c r="AL108" s="27" t="s">
        <v>69</v>
      </c>
      <c r="AM108" s="32"/>
      <c r="AN108" s="30"/>
      <c r="AO108" s="26"/>
      <c r="AP108" s="7">
        <f>VLOOKUP(B:B,Table3[#All],4,0)</f>
        <v>8000</v>
      </c>
      <c r="AQ108" s="7">
        <f>calcShift1(Таблица1[[#This Row],[Столбец5]:[Столбец36]])</f>
        <v>96</v>
      </c>
      <c r="AR108" s="7">
        <f>calcShift2(Таблица1[[#This Row],[Столбец5]:[Столбец36]])</f>
        <v>40</v>
      </c>
      <c r="AS108" s="7">
        <f>calcShift3(Таблица1[[#This Row],[Столбец5]:[Столбец36]])</f>
        <v>0</v>
      </c>
      <c r="AT108" s="26"/>
      <c r="AU108" s="7">
        <f>calcYavka(Таблица1[[#This Row],[Столбец5]:[Столбец36]])</f>
        <v>17</v>
      </c>
      <c r="AV108" s="31"/>
      <c r="AW108" s="18">
        <f>VLOOKUP(B:B,ДОП_ВСІ!B:AS,44,0)</f>
        <v>400</v>
      </c>
      <c r="AX108" s="7">
        <f>VLOOKUP(B:B,ДОП_ВСІ!B:AQ,42,0)</f>
        <v>0</v>
      </c>
      <c r="AY108" s="7">
        <f>Таблица1[[#This Row],[Столбец47]]*30</f>
        <v>510</v>
      </c>
      <c r="AZ108" s="6">
        <f>((((Таблица1[[#This Row],[Столбец42]]/160)*Таблица1[[#This Row],[Столбец44]])*0.25)*0.35)+((((Таблица1[[#This Row],[Столбец42]]/160)*Таблица1[[#This Row],[Столбец44]])*0.5)*0.2)</f>
        <v>375</v>
      </c>
      <c r="BA108" s="26"/>
      <c r="BB108" s="47">
        <f>calcTS(Таблица1[[#This Row],[Столбец5]:[Столбец36]])</f>
        <v>0</v>
      </c>
    </row>
    <row r="109" spans="1:54" ht="42" x14ac:dyDescent="0.35">
      <c r="A109" s="25" t="s">
        <v>358</v>
      </c>
      <c r="B109" s="26" t="s">
        <v>359</v>
      </c>
      <c r="C109" s="27" t="s">
        <v>279</v>
      </c>
      <c r="D109" s="20" t="s">
        <v>2564</v>
      </c>
      <c r="E109" s="28" t="s">
        <v>135</v>
      </c>
      <c r="F109" s="27" t="s">
        <v>135</v>
      </c>
      <c r="G109" s="27" t="s">
        <v>135</v>
      </c>
      <c r="H109" s="27" t="s">
        <v>2486</v>
      </c>
      <c r="I109" s="27" t="s">
        <v>2486</v>
      </c>
      <c r="J109" s="27" t="s">
        <v>2543</v>
      </c>
      <c r="K109" s="28" t="s">
        <v>2543</v>
      </c>
      <c r="L109" s="27" t="s">
        <v>2543</v>
      </c>
      <c r="M109" s="27" t="s">
        <v>2543</v>
      </c>
      <c r="N109" s="28" t="s">
        <v>2486</v>
      </c>
      <c r="O109" s="28" t="s">
        <v>2486</v>
      </c>
      <c r="P109" s="28" t="s">
        <v>135</v>
      </c>
      <c r="Q109" s="28" t="s">
        <v>135</v>
      </c>
      <c r="R109" s="27" t="s">
        <v>135</v>
      </c>
      <c r="S109" s="27" t="s">
        <v>135</v>
      </c>
      <c r="T109" s="27" t="s">
        <v>2486</v>
      </c>
      <c r="U109" s="27" t="s">
        <v>2486</v>
      </c>
      <c r="V109" s="27" t="s">
        <v>2501</v>
      </c>
      <c r="W109" s="27" t="s">
        <v>2501</v>
      </c>
      <c r="X109" s="27" t="s">
        <v>2501</v>
      </c>
      <c r="Y109" s="27" t="s">
        <v>2501</v>
      </c>
      <c r="Z109" s="27" t="s">
        <v>2501</v>
      </c>
      <c r="AA109" s="27" t="s">
        <v>2501</v>
      </c>
      <c r="AB109" s="27" t="s">
        <v>2501</v>
      </c>
      <c r="AC109" s="27" t="s">
        <v>2501</v>
      </c>
      <c r="AD109" s="27" t="s">
        <v>2501</v>
      </c>
      <c r="AE109" s="27" t="s">
        <v>2501</v>
      </c>
      <c r="AF109" s="27" t="s">
        <v>2501</v>
      </c>
      <c r="AG109" s="48" t="s">
        <v>2501</v>
      </c>
      <c r="AH109" s="48" t="s">
        <v>2501</v>
      </c>
      <c r="AI109" s="48" t="s">
        <v>2587</v>
      </c>
      <c r="AJ109" s="50" t="s">
        <v>2580</v>
      </c>
      <c r="AK109" s="51" t="s">
        <v>71</v>
      </c>
      <c r="AL109" s="27" t="s">
        <v>72</v>
      </c>
      <c r="AM109" s="32"/>
      <c r="AN109" s="30"/>
      <c r="AO109" s="26"/>
      <c r="AP109" s="7">
        <f>VLOOKUP(B:B,Table3[#All],4,0)</f>
        <v>6500</v>
      </c>
      <c r="AQ109" s="7">
        <f>calcShift1(Таблица1[[#This Row],[Столбец5]:[Столбец36]])</f>
        <v>32</v>
      </c>
      <c r="AR109" s="7">
        <f>calcShift2(Таблица1[[#This Row],[Столбец5]:[Столбец36]])</f>
        <v>55.999999999999993</v>
      </c>
      <c r="AS109" s="7">
        <f>calcShift3(Таблица1[[#This Row],[Столбец5]:[Столбец36]])</f>
        <v>0</v>
      </c>
      <c r="AT109" s="26"/>
      <c r="AU109" s="7">
        <f>calcYavka(Таблица1[[#This Row],[Столбец5]:[Столбец36]])</f>
        <v>11</v>
      </c>
      <c r="AV109" s="31"/>
      <c r="AW109" s="18">
        <f>VLOOKUP(B:B,ДОП_ВСІ!B:AS,44,0)</f>
        <v>0</v>
      </c>
      <c r="AX109" s="7">
        <f>VLOOKUP(B:B,ДОП_ВСІ!B:AQ,42,0)</f>
        <v>0</v>
      </c>
      <c r="AY109" s="7">
        <f>Таблица1[[#This Row],[Столбец47]]*30</f>
        <v>330</v>
      </c>
      <c r="AZ109" s="6">
        <f>((((Таблица1[[#This Row],[Столбец42]]/160)*Таблица1[[#This Row],[Столбец44]])*0.25)*0.35)+((((Таблица1[[#This Row],[Столбец42]]/160)*Таблица1[[#This Row],[Столбец44]])*0.5)*0.2)</f>
        <v>426.56249999999989</v>
      </c>
      <c r="BA109" s="26"/>
      <c r="BB109" s="47">
        <f>calcTS(Таблица1[[#This Row],[Столбец5]:[Столбец36]])</f>
        <v>0</v>
      </c>
    </row>
    <row r="110" spans="1:54" x14ac:dyDescent="0.35">
      <c r="A110" s="25" t="s">
        <v>360</v>
      </c>
      <c r="B110" s="26" t="s">
        <v>361</v>
      </c>
      <c r="C110" s="27" t="s">
        <v>279</v>
      </c>
      <c r="D110" s="20" t="s">
        <v>2564</v>
      </c>
      <c r="E110" s="28" t="s">
        <v>135</v>
      </c>
      <c r="F110" s="27" t="s">
        <v>135</v>
      </c>
      <c r="G110" s="27" t="s">
        <v>135</v>
      </c>
      <c r="H110" s="27" t="s">
        <v>2486</v>
      </c>
      <c r="I110" s="27" t="s">
        <v>2486</v>
      </c>
      <c r="J110" s="27" t="s">
        <v>141</v>
      </c>
      <c r="K110" s="28" t="s">
        <v>2501</v>
      </c>
      <c r="L110" s="27" t="s">
        <v>2501</v>
      </c>
      <c r="M110" s="27" t="s">
        <v>2501</v>
      </c>
      <c r="N110" s="28" t="s">
        <v>2501</v>
      </c>
      <c r="O110" s="28" t="s">
        <v>2501</v>
      </c>
      <c r="P110" s="28" t="s">
        <v>2501</v>
      </c>
      <c r="Q110" s="28" t="s">
        <v>2501</v>
      </c>
      <c r="R110" s="27" t="s">
        <v>2501</v>
      </c>
      <c r="S110" s="27" t="s">
        <v>2501</v>
      </c>
      <c r="T110" s="27" t="s">
        <v>2486</v>
      </c>
      <c r="U110" s="27" t="s">
        <v>2486</v>
      </c>
      <c r="V110" s="27" t="s">
        <v>2543</v>
      </c>
      <c r="W110" s="27" t="s">
        <v>2543</v>
      </c>
      <c r="X110" s="27" t="s">
        <v>2543</v>
      </c>
      <c r="Y110" s="27" t="s">
        <v>2543</v>
      </c>
      <c r="Z110" s="27" t="s">
        <v>2486</v>
      </c>
      <c r="AA110" s="27" t="s">
        <v>2486</v>
      </c>
      <c r="AB110" s="27" t="s">
        <v>2542</v>
      </c>
      <c r="AC110" s="27" t="s">
        <v>2542</v>
      </c>
      <c r="AD110" s="27" t="s">
        <v>2542</v>
      </c>
      <c r="AE110" s="27" t="s">
        <v>2542</v>
      </c>
      <c r="AF110" s="27" t="s">
        <v>2486</v>
      </c>
      <c r="AG110" s="48" t="s">
        <v>2486</v>
      </c>
      <c r="AH110" s="48" t="s">
        <v>2543</v>
      </c>
      <c r="AI110" s="48" t="s">
        <v>2582</v>
      </c>
      <c r="AJ110" s="50" t="s">
        <v>2580</v>
      </c>
      <c r="AK110" s="51" t="s">
        <v>69</v>
      </c>
      <c r="AL110" s="27" t="s">
        <v>52</v>
      </c>
      <c r="AM110" s="32"/>
      <c r="AN110" s="30"/>
      <c r="AO110" s="26"/>
      <c r="AP110" s="7">
        <f>VLOOKUP(B:B,Table3[#All],4,0)</f>
        <v>6500</v>
      </c>
      <c r="AQ110" s="7">
        <f>calcShift1(Таблица1[[#This Row],[Столбец5]:[Столбец36]])</f>
        <v>47.999999999999993</v>
      </c>
      <c r="AR110" s="7">
        <f>calcShift2(Таблица1[[#This Row],[Столбец5]:[Столбец36]])</f>
        <v>55.999999999999993</v>
      </c>
      <c r="AS110" s="7">
        <f>calcShift3(Таблица1[[#This Row],[Столбец5]:[Столбец36]])</f>
        <v>0</v>
      </c>
      <c r="AT110" s="26"/>
      <c r="AU110" s="7">
        <f>calcYavka(Таблица1[[#This Row],[Столбец5]:[Столбец36]])</f>
        <v>13</v>
      </c>
      <c r="AV110" s="31"/>
      <c r="AW110" s="18">
        <f>VLOOKUP(B:B,ДОП_ВСІ!B:AS,44,0)</f>
        <v>0</v>
      </c>
      <c r="AX110" s="7">
        <f>VLOOKUP(B:B,ДОП_ВСІ!B:AQ,42,0)</f>
        <v>767.81250000000011</v>
      </c>
      <c r="AY110" s="7">
        <f>Таблица1[[#This Row],[Столбец47]]*30</f>
        <v>390</v>
      </c>
      <c r="AZ110" s="6">
        <f>((((Таблица1[[#This Row],[Столбец42]]/160)*Таблица1[[#This Row],[Столбец44]])*0.25)*0.35)+((((Таблица1[[#This Row],[Столбец42]]/160)*Таблица1[[#This Row],[Столбец44]])*0.5)*0.2)</f>
        <v>426.56249999999989</v>
      </c>
      <c r="BA110" s="26"/>
      <c r="BB110" s="47">
        <f>calcTS(Таблица1[[#This Row],[Столбец5]:[Столбец36]])</f>
        <v>0</v>
      </c>
    </row>
    <row r="111" spans="1:54" x14ac:dyDescent="0.35">
      <c r="A111" s="25" t="s">
        <v>362</v>
      </c>
      <c r="B111" s="26" t="s">
        <v>363</v>
      </c>
      <c r="C111" s="27" t="s">
        <v>279</v>
      </c>
      <c r="D111" s="20" t="s">
        <v>2564</v>
      </c>
      <c r="E111" s="28" t="s">
        <v>135</v>
      </c>
      <c r="F111" s="27" t="s">
        <v>135</v>
      </c>
      <c r="G111" s="27" t="s">
        <v>135</v>
      </c>
      <c r="H111" s="27" t="s">
        <v>2486</v>
      </c>
      <c r="I111" s="27" t="s">
        <v>2486</v>
      </c>
      <c r="J111" s="27" t="s">
        <v>141</v>
      </c>
      <c r="K111" s="28" t="s">
        <v>141</v>
      </c>
      <c r="L111" s="27" t="s">
        <v>141</v>
      </c>
      <c r="M111" s="27" t="s">
        <v>141</v>
      </c>
      <c r="N111" s="28" t="s">
        <v>2486</v>
      </c>
      <c r="O111" s="28" t="s">
        <v>2486</v>
      </c>
      <c r="P111" s="28" t="s">
        <v>135</v>
      </c>
      <c r="Q111" s="28" t="s">
        <v>135</v>
      </c>
      <c r="R111" s="27" t="s">
        <v>135</v>
      </c>
      <c r="S111" s="27" t="s">
        <v>135</v>
      </c>
      <c r="T111" s="27" t="s">
        <v>2486</v>
      </c>
      <c r="U111" s="27" t="s">
        <v>2486</v>
      </c>
      <c r="V111" s="27" t="s">
        <v>2543</v>
      </c>
      <c r="W111" s="27" t="s">
        <v>2543</v>
      </c>
      <c r="X111" s="27" t="s">
        <v>2543</v>
      </c>
      <c r="Y111" s="27" t="s">
        <v>2543</v>
      </c>
      <c r="Z111" s="27" t="s">
        <v>2486</v>
      </c>
      <c r="AA111" s="27" t="s">
        <v>2486</v>
      </c>
      <c r="AB111" s="27" t="s">
        <v>2542</v>
      </c>
      <c r="AC111" s="27" t="s">
        <v>2542</v>
      </c>
      <c r="AD111" s="27" t="s">
        <v>2542</v>
      </c>
      <c r="AE111" s="27" t="s">
        <v>2542</v>
      </c>
      <c r="AF111" s="27" t="s">
        <v>2486</v>
      </c>
      <c r="AG111" s="48" t="s">
        <v>2486</v>
      </c>
      <c r="AH111" s="48" t="s">
        <v>2543</v>
      </c>
      <c r="AI111" s="48" t="s">
        <v>2580</v>
      </c>
      <c r="AJ111" s="50" t="s">
        <v>2580</v>
      </c>
      <c r="AK111" s="51" t="s">
        <v>54</v>
      </c>
      <c r="AL111" s="27" t="s">
        <v>55</v>
      </c>
      <c r="AM111" s="32"/>
      <c r="AN111" s="30"/>
      <c r="AO111" s="26"/>
      <c r="AP111" s="7">
        <f>VLOOKUP(B:B,Table3[#All],4,0)</f>
        <v>6500</v>
      </c>
      <c r="AQ111" s="7">
        <f>calcShift1(Таблица1[[#This Row],[Столбец5]:[Столбец36]])</f>
        <v>72</v>
      </c>
      <c r="AR111" s="7">
        <f>calcShift2(Таблица1[[#This Row],[Столбец5]:[Столбец36]])</f>
        <v>88</v>
      </c>
      <c r="AS111" s="7">
        <f>calcShift3(Таблица1[[#This Row],[Столбец5]:[Столбец36]])</f>
        <v>0</v>
      </c>
      <c r="AT111" s="26"/>
      <c r="AU111" s="7">
        <f>calcYavka(Таблица1[[#This Row],[Столбец5]:[Столбец36]])</f>
        <v>20</v>
      </c>
      <c r="AV111" s="31"/>
      <c r="AW111" s="18">
        <f>VLOOKUP(B:B,ДОП_ВСІ!B:AS,44,0)</f>
        <v>0</v>
      </c>
      <c r="AX111" s="7">
        <f>VLOOKUP(B:B,ДОП_ВСІ!B:AQ,42,0)</f>
        <v>0</v>
      </c>
      <c r="AY111" s="7">
        <f>Таблица1[[#This Row],[Столбец47]]*30</f>
        <v>600</v>
      </c>
      <c r="AZ111" s="6">
        <f>((((Таблица1[[#This Row],[Столбец42]]/160)*Таблица1[[#This Row],[Столбец44]])*0.25)*0.35)+((((Таблица1[[#This Row],[Столбец42]]/160)*Таблица1[[#This Row],[Столбец44]])*0.5)*0.2)</f>
        <v>670.3125</v>
      </c>
      <c r="BA111" s="26"/>
      <c r="BB111" s="47">
        <f>calcTS(Таблица1[[#This Row],[Столбец5]:[Столбец36]])</f>
        <v>0</v>
      </c>
    </row>
    <row r="112" spans="1:54" ht="42" x14ac:dyDescent="0.35">
      <c r="A112" s="25" t="s">
        <v>364</v>
      </c>
      <c r="B112" s="26" t="s">
        <v>365</v>
      </c>
      <c r="C112" s="27" t="s">
        <v>279</v>
      </c>
      <c r="D112" s="20" t="s">
        <v>2564</v>
      </c>
      <c r="E112" s="28" t="s">
        <v>2542</v>
      </c>
      <c r="F112" s="27" t="s">
        <v>2543</v>
      </c>
      <c r="G112" s="27" t="s">
        <v>2543</v>
      </c>
      <c r="H112" s="27" t="s">
        <v>2486</v>
      </c>
      <c r="I112" s="27" t="s">
        <v>2486</v>
      </c>
      <c r="J112" s="27" t="s">
        <v>141</v>
      </c>
      <c r="K112" s="28" t="s">
        <v>141</v>
      </c>
      <c r="L112" s="27" t="s">
        <v>141</v>
      </c>
      <c r="M112" s="27" t="s">
        <v>141</v>
      </c>
      <c r="N112" s="28" t="s">
        <v>2486</v>
      </c>
      <c r="O112" s="28" t="s">
        <v>2486</v>
      </c>
      <c r="P112" s="28" t="s">
        <v>135</v>
      </c>
      <c r="Q112" s="28" t="s">
        <v>135</v>
      </c>
      <c r="R112" s="27" t="s">
        <v>135</v>
      </c>
      <c r="S112" s="27" t="s">
        <v>135</v>
      </c>
      <c r="T112" s="27" t="s">
        <v>2486</v>
      </c>
      <c r="U112" s="27" t="s">
        <v>2486</v>
      </c>
      <c r="V112" s="27" t="s">
        <v>2543</v>
      </c>
      <c r="W112" s="27" t="s">
        <v>2543</v>
      </c>
      <c r="X112" s="27" t="s">
        <v>2543</v>
      </c>
      <c r="Y112" s="27" t="s">
        <v>2543</v>
      </c>
      <c r="Z112" s="27" t="s">
        <v>2486</v>
      </c>
      <c r="AA112" s="27" t="s">
        <v>2486</v>
      </c>
      <c r="AB112" s="27" t="s">
        <v>2542</v>
      </c>
      <c r="AC112" s="27" t="s">
        <v>2542</v>
      </c>
      <c r="AD112" s="27" t="s">
        <v>2542</v>
      </c>
      <c r="AE112" s="27" t="s">
        <v>2542</v>
      </c>
      <c r="AF112" s="27" t="s">
        <v>2486</v>
      </c>
      <c r="AG112" s="48" t="s">
        <v>2486</v>
      </c>
      <c r="AH112" s="48" t="s">
        <v>2543</v>
      </c>
      <c r="AI112" s="48" t="s">
        <v>2580</v>
      </c>
      <c r="AJ112" s="50" t="s">
        <v>2580</v>
      </c>
      <c r="AK112" s="51" t="s">
        <v>54</v>
      </c>
      <c r="AL112" s="27" t="s">
        <v>55</v>
      </c>
      <c r="AM112" s="32"/>
      <c r="AN112" s="30"/>
      <c r="AO112" s="26"/>
      <c r="AP112" s="7">
        <f>VLOOKUP(B:B,Table3[#All],4,0)</f>
        <v>6500</v>
      </c>
      <c r="AQ112" s="7">
        <f>calcShift1(Таблица1[[#This Row],[Столбец5]:[Столбец36]])</f>
        <v>88</v>
      </c>
      <c r="AR112" s="7">
        <f>calcShift2(Таблица1[[#This Row],[Столбец5]:[Столбец36]])</f>
        <v>72</v>
      </c>
      <c r="AS112" s="7">
        <f>calcShift3(Таблица1[[#This Row],[Столбец5]:[Столбец36]])</f>
        <v>0</v>
      </c>
      <c r="AT112" s="26"/>
      <c r="AU112" s="7">
        <f>calcYavka(Таблица1[[#This Row],[Столбец5]:[Столбец36]])</f>
        <v>20</v>
      </c>
      <c r="AV112" s="31"/>
      <c r="AW112" s="18">
        <f>VLOOKUP(B:B,ДОП_ВСІ!B:AS,44,0)</f>
        <v>1300</v>
      </c>
      <c r="AX112" s="7">
        <f>VLOOKUP(B:B,ДОП_ВСІ!B:AQ,42,0)</f>
        <v>1535.6250000000002</v>
      </c>
      <c r="AY112" s="7">
        <f>Таблица1[[#This Row],[Столбец47]]*30</f>
        <v>600</v>
      </c>
      <c r="AZ112" s="6">
        <f>((((Таблица1[[#This Row],[Столбец42]]/160)*Таблица1[[#This Row],[Столбец44]])*0.25)*0.35)+((((Таблица1[[#This Row],[Столбец42]]/160)*Таблица1[[#This Row],[Столбец44]])*0.5)*0.2)</f>
        <v>548.4375</v>
      </c>
      <c r="BA112" s="26"/>
      <c r="BB112" s="47">
        <f>calcTS(Таблица1[[#This Row],[Столбец5]:[Столбец36]])</f>
        <v>0</v>
      </c>
    </row>
    <row r="113" spans="1:54" ht="42" x14ac:dyDescent="0.35">
      <c r="A113" s="25" t="s">
        <v>366</v>
      </c>
      <c r="B113" s="26" t="s">
        <v>367</v>
      </c>
      <c r="C113" s="27" t="s">
        <v>2602</v>
      </c>
      <c r="D113" s="20" t="s">
        <v>2564</v>
      </c>
      <c r="E113" s="28" t="s">
        <v>2542</v>
      </c>
      <c r="F113" s="27" t="s">
        <v>2542</v>
      </c>
      <c r="G113" s="27" t="s">
        <v>2542</v>
      </c>
      <c r="H113" s="27" t="s">
        <v>2486</v>
      </c>
      <c r="I113" s="27" t="s">
        <v>2486</v>
      </c>
      <c r="J113" s="27" t="s">
        <v>141</v>
      </c>
      <c r="K113" s="28" t="s">
        <v>141</v>
      </c>
      <c r="L113" s="27" t="s">
        <v>141</v>
      </c>
      <c r="M113" s="27" t="s">
        <v>141</v>
      </c>
      <c r="N113" s="28" t="s">
        <v>2486</v>
      </c>
      <c r="O113" s="28" t="s">
        <v>2486</v>
      </c>
      <c r="P113" s="28" t="s">
        <v>135</v>
      </c>
      <c r="Q113" s="28" t="s">
        <v>135</v>
      </c>
      <c r="R113" s="27" t="s">
        <v>135</v>
      </c>
      <c r="S113" s="27" t="s">
        <v>135</v>
      </c>
      <c r="T113" s="27" t="s">
        <v>2486</v>
      </c>
      <c r="U113" s="27" t="s">
        <v>2486</v>
      </c>
      <c r="V113" s="27" t="s">
        <v>2543</v>
      </c>
      <c r="W113" s="27" t="s">
        <v>2543</v>
      </c>
      <c r="X113" s="27" t="s">
        <v>2543</v>
      </c>
      <c r="Y113" s="27" t="s">
        <v>2543</v>
      </c>
      <c r="Z113" s="27" t="s">
        <v>2486</v>
      </c>
      <c r="AA113" s="27" t="s">
        <v>2486</v>
      </c>
      <c r="AB113" s="27" t="s">
        <v>2542</v>
      </c>
      <c r="AC113" s="27" t="s">
        <v>2542</v>
      </c>
      <c r="AD113" s="27" t="s">
        <v>2542</v>
      </c>
      <c r="AE113" s="27" t="s">
        <v>2542</v>
      </c>
      <c r="AF113" s="27" t="s">
        <v>2486</v>
      </c>
      <c r="AG113" s="48" t="s">
        <v>2486</v>
      </c>
      <c r="AH113" s="48" t="s">
        <v>2543</v>
      </c>
      <c r="AI113" s="48" t="s">
        <v>2580</v>
      </c>
      <c r="AJ113" s="50" t="s">
        <v>2580</v>
      </c>
      <c r="AK113" s="51" t="s">
        <v>54</v>
      </c>
      <c r="AL113" s="27" t="s">
        <v>55</v>
      </c>
      <c r="AM113" s="32"/>
      <c r="AN113" s="30"/>
      <c r="AO113" s="26"/>
      <c r="AP113" s="7">
        <f>VLOOKUP(B:B,Table3[#All],4,0)</f>
        <v>8000</v>
      </c>
      <c r="AQ113" s="7">
        <f>calcShift1(Таблица1[[#This Row],[Столбец5]:[Столбец36]])</f>
        <v>72</v>
      </c>
      <c r="AR113" s="7">
        <f>calcShift2(Таблица1[[#This Row],[Столбец5]:[Столбец36]])</f>
        <v>88</v>
      </c>
      <c r="AS113" s="7">
        <f>calcShift3(Таблица1[[#This Row],[Столбец5]:[Столбец36]])</f>
        <v>0</v>
      </c>
      <c r="AT113" s="26"/>
      <c r="AU113" s="7">
        <f>calcYavka(Таблица1[[#This Row],[Столбец5]:[Столбец36]])</f>
        <v>20</v>
      </c>
      <c r="AV113" s="31"/>
      <c r="AW113" s="18">
        <f>VLOOKUP(B:B,ДОП_ВСІ!B:AS,44,0)</f>
        <v>0</v>
      </c>
      <c r="AX113" s="7">
        <f>VLOOKUP(B:B,ДОП_ВСІ!B:AQ,42,0)</f>
        <v>2835</v>
      </c>
      <c r="AY113" s="7">
        <f>Таблица1[[#This Row],[Столбец47]]*30</f>
        <v>600</v>
      </c>
      <c r="AZ113" s="6">
        <f>((((Таблица1[[#This Row],[Столбец42]]/160)*Таблица1[[#This Row],[Столбец44]])*0.25)*0.35)+((((Таблица1[[#This Row],[Столбец42]]/160)*Таблица1[[#This Row],[Столбец44]])*0.5)*0.2)</f>
        <v>825</v>
      </c>
      <c r="BA113" s="26"/>
      <c r="BB113" s="47">
        <f>calcTS(Таблица1[[#This Row],[Столбец5]:[Столбец36]])</f>
        <v>0</v>
      </c>
    </row>
    <row r="114" spans="1:54" ht="42" x14ac:dyDescent="0.35">
      <c r="A114" s="25" t="s">
        <v>369</v>
      </c>
      <c r="B114" s="26" t="s">
        <v>370</v>
      </c>
      <c r="C114" s="27" t="s">
        <v>279</v>
      </c>
      <c r="D114" s="20" t="s">
        <v>2564</v>
      </c>
      <c r="E114" s="28" t="s">
        <v>141</v>
      </c>
      <c r="F114" s="27" t="s">
        <v>2486</v>
      </c>
      <c r="G114" s="27" t="s">
        <v>2486</v>
      </c>
      <c r="H114" s="27" t="s">
        <v>2542</v>
      </c>
      <c r="I114" s="27" t="s">
        <v>2542</v>
      </c>
      <c r="J114" s="27" t="s">
        <v>2542</v>
      </c>
      <c r="K114" s="28" t="s">
        <v>2542</v>
      </c>
      <c r="L114" s="27" t="s">
        <v>2486</v>
      </c>
      <c r="M114" s="27" t="s">
        <v>2486</v>
      </c>
      <c r="N114" s="28" t="s">
        <v>141</v>
      </c>
      <c r="O114" s="28" t="s">
        <v>2594</v>
      </c>
      <c r="P114" s="28" t="s">
        <v>141</v>
      </c>
      <c r="Q114" s="28" t="s">
        <v>2531</v>
      </c>
      <c r="R114" s="27" t="s">
        <v>2486</v>
      </c>
      <c r="S114" s="27" t="s">
        <v>2495</v>
      </c>
      <c r="T114" s="27" t="s">
        <v>2495</v>
      </c>
      <c r="U114" s="27" t="s">
        <v>2495</v>
      </c>
      <c r="V114" s="27" t="s">
        <v>2495</v>
      </c>
      <c r="W114" s="27" t="s">
        <v>2495</v>
      </c>
      <c r="X114" s="27" t="s">
        <v>2486</v>
      </c>
      <c r="Y114" s="27" t="s">
        <v>2486</v>
      </c>
      <c r="Z114" s="27" t="s">
        <v>2486</v>
      </c>
      <c r="AA114" s="27" t="s">
        <v>141</v>
      </c>
      <c r="AB114" s="27" t="s">
        <v>141</v>
      </c>
      <c r="AC114" s="27" t="s">
        <v>141</v>
      </c>
      <c r="AD114" s="27" t="s">
        <v>2486</v>
      </c>
      <c r="AE114" s="27" t="s">
        <v>2486</v>
      </c>
      <c r="AF114" s="27" t="s">
        <v>135</v>
      </c>
      <c r="AG114" s="48" t="s">
        <v>135</v>
      </c>
      <c r="AH114" s="48" t="s">
        <v>2603</v>
      </c>
      <c r="AI114" s="48" t="s">
        <v>2582</v>
      </c>
      <c r="AJ114" s="50" t="s">
        <v>2597</v>
      </c>
      <c r="AK114" s="51" t="s">
        <v>74</v>
      </c>
      <c r="AL114" s="27" t="s">
        <v>76</v>
      </c>
      <c r="AM114" s="32"/>
      <c r="AN114" s="30"/>
      <c r="AO114" s="26"/>
      <c r="AP114" s="7">
        <f>VLOOKUP(B:B,Table3[#All],4,0)</f>
        <v>7500</v>
      </c>
      <c r="AQ114" s="7">
        <f>calcShift1(Таблица1[[#This Row],[Столбец5]:[Столбец36]])</f>
        <v>52</v>
      </c>
      <c r="AR114" s="7">
        <f>calcShift2(Таблица1[[#This Row],[Столбец5]:[Столбец36]])</f>
        <v>52</v>
      </c>
      <c r="AS114" s="7">
        <f>calcShift3(Таблица1[[#This Row],[Столбец5]:[Столбец36]])</f>
        <v>0</v>
      </c>
      <c r="AT114" s="26"/>
      <c r="AU114" s="7">
        <f>calcYavka(Таблица1[[#This Row],[Столбец5]:[Столбец36]])</f>
        <v>14</v>
      </c>
      <c r="AV114" s="31"/>
      <c r="AW114" s="18">
        <f>VLOOKUP(B:B,ДОП_ВСІ!B:AS,44,0)</f>
        <v>750</v>
      </c>
      <c r="AX114" s="7">
        <f>VLOOKUP(B:B,ДОП_ВСІ!B:AQ,42,0)</f>
        <v>0</v>
      </c>
      <c r="AY114" s="7">
        <f>Таблица1[[#This Row],[Столбец47]]*30</f>
        <v>420</v>
      </c>
      <c r="AZ114" s="6">
        <f>((((Таблица1[[#This Row],[Столбец42]]/160)*Таблица1[[#This Row],[Столбец44]])*0.25)*0.35)+((((Таблица1[[#This Row],[Столбец42]]/160)*Таблица1[[#This Row],[Столбец44]])*0.5)*0.2)</f>
        <v>457.03125</v>
      </c>
      <c r="BA114" s="26"/>
      <c r="BB114" s="47">
        <f>calcTS(Таблица1[[#This Row],[Столбец5]:[Столбец36]])</f>
        <v>0</v>
      </c>
    </row>
    <row r="115" spans="1:54" ht="42" x14ac:dyDescent="0.35">
      <c r="A115" s="25" t="s">
        <v>371</v>
      </c>
      <c r="B115" s="26" t="s">
        <v>372</v>
      </c>
      <c r="C115" s="27" t="s">
        <v>2602</v>
      </c>
      <c r="D115" s="20" t="s">
        <v>2564</v>
      </c>
      <c r="E115" s="28" t="s">
        <v>141</v>
      </c>
      <c r="F115" s="27" t="s">
        <v>2486</v>
      </c>
      <c r="G115" s="27" t="s">
        <v>2486</v>
      </c>
      <c r="H115" s="27" t="s">
        <v>2542</v>
      </c>
      <c r="I115" s="27" t="s">
        <v>2542</v>
      </c>
      <c r="J115" s="27" t="s">
        <v>2542</v>
      </c>
      <c r="K115" s="28" t="s">
        <v>2542</v>
      </c>
      <c r="L115" s="27" t="s">
        <v>2486</v>
      </c>
      <c r="M115" s="27" t="s">
        <v>2486</v>
      </c>
      <c r="N115" s="28" t="s">
        <v>141</v>
      </c>
      <c r="O115" s="28" t="s">
        <v>141</v>
      </c>
      <c r="P115" s="28" t="s">
        <v>141</v>
      </c>
      <c r="Q115" s="28" t="s">
        <v>141</v>
      </c>
      <c r="R115" s="27" t="s">
        <v>2486</v>
      </c>
      <c r="S115" s="27" t="s">
        <v>2486</v>
      </c>
      <c r="T115" s="27" t="s">
        <v>135</v>
      </c>
      <c r="U115" s="27" t="s">
        <v>135</v>
      </c>
      <c r="V115" s="27" t="s">
        <v>135</v>
      </c>
      <c r="W115" s="27" t="s">
        <v>135</v>
      </c>
      <c r="X115" s="27" t="s">
        <v>2486</v>
      </c>
      <c r="Y115" s="27" t="s">
        <v>2486</v>
      </c>
      <c r="Z115" s="27" t="s">
        <v>141</v>
      </c>
      <c r="AA115" s="27" t="s">
        <v>141</v>
      </c>
      <c r="AB115" s="27" t="s">
        <v>141</v>
      </c>
      <c r="AC115" s="27" t="s">
        <v>141</v>
      </c>
      <c r="AD115" s="27" t="s">
        <v>2486</v>
      </c>
      <c r="AE115" s="27" t="s">
        <v>2486</v>
      </c>
      <c r="AF115" s="27" t="s">
        <v>135</v>
      </c>
      <c r="AG115" s="48" t="s">
        <v>135</v>
      </c>
      <c r="AH115" s="48" t="s">
        <v>135</v>
      </c>
      <c r="AI115" s="48" t="s">
        <v>2580</v>
      </c>
      <c r="AJ115" s="50" t="s">
        <v>2580</v>
      </c>
      <c r="AK115" s="51" t="s">
        <v>54</v>
      </c>
      <c r="AL115" s="27" t="s">
        <v>55</v>
      </c>
      <c r="AM115" s="32"/>
      <c r="AN115" s="30"/>
      <c r="AO115" s="26"/>
      <c r="AP115" s="7">
        <f>VLOOKUP(B:B,Table3[#All],4,0)</f>
        <v>8000</v>
      </c>
      <c r="AQ115" s="7">
        <f>calcShift1(Таблица1[[#This Row],[Столбец5]:[Столбец36]])</f>
        <v>72</v>
      </c>
      <c r="AR115" s="7">
        <f>calcShift2(Таблица1[[#This Row],[Столбец5]:[Столбец36]])</f>
        <v>88</v>
      </c>
      <c r="AS115" s="7">
        <f>calcShift3(Таблица1[[#This Row],[Столбец5]:[Столбец36]])</f>
        <v>0</v>
      </c>
      <c r="AT115" s="26"/>
      <c r="AU115" s="7">
        <f>calcYavka(Таблица1[[#This Row],[Столбец5]:[Столбец36]])</f>
        <v>20</v>
      </c>
      <c r="AV115" s="31"/>
      <c r="AW115" s="18">
        <f>VLOOKUP(B:B,ДОП_ВСІ!B:AS,44,0)</f>
        <v>0</v>
      </c>
      <c r="AX115" s="7">
        <f>VLOOKUP(B:B,ДОП_ВСІ!B:AQ,42,0)</f>
        <v>0</v>
      </c>
      <c r="AY115" s="7">
        <f>Таблица1[[#This Row],[Столбец47]]*30</f>
        <v>600</v>
      </c>
      <c r="AZ115" s="6">
        <f>((((Таблица1[[#This Row],[Столбец42]]/160)*Таблица1[[#This Row],[Столбец44]])*0.25)*0.35)+((((Таблица1[[#This Row],[Столбец42]]/160)*Таблица1[[#This Row],[Столбец44]])*0.5)*0.2)</f>
        <v>825</v>
      </c>
      <c r="BA115" s="26"/>
      <c r="BB115" s="47">
        <f>calcTS(Таблица1[[#This Row],[Столбец5]:[Столбец36]])</f>
        <v>0</v>
      </c>
    </row>
    <row r="116" spans="1:54" ht="42" x14ac:dyDescent="0.35">
      <c r="A116" s="25" t="s">
        <v>373</v>
      </c>
      <c r="B116" s="26" t="s">
        <v>374</v>
      </c>
      <c r="C116" s="27" t="s">
        <v>279</v>
      </c>
      <c r="D116" s="20" t="s">
        <v>2564</v>
      </c>
      <c r="E116" s="28" t="s">
        <v>141</v>
      </c>
      <c r="F116" s="27" t="s">
        <v>2486</v>
      </c>
      <c r="G116" s="27" t="s">
        <v>2486</v>
      </c>
      <c r="H116" s="27" t="s">
        <v>2542</v>
      </c>
      <c r="I116" s="27" t="s">
        <v>2542</v>
      </c>
      <c r="J116" s="27" t="s">
        <v>2542</v>
      </c>
      <c r="K116" s="28" t="s">
        <v>2542</v>
      </c>
      <c r="L116" s="27" t="s">
        <v>2486</v>
      </c>
      <c r="M116" s="27" t="s">
        <v>2486</v>
      </c>
      <c r="N116" s="28" t="s">
        <v>141</v>
      </c>
      <c r="O116" s="28" t="s">
        <v>141</v>
      </c>
      <c r="P116" s="28" t="s">
        <v>141</v>
      </c>
      <c r="Q116" s="28" t="s">
        <v>141</v>
      </c>
      <c r="R116" s="27" t="s">
        <v>2486</v>
      </c>
      <c r="S116" s="27" t="s">
        <v>2486</v>
      </c>
      <c r="T116" s="27" t="s">
        <v>135</v>
      </c>
      <c r="U116" s="27" t="s">
        <v>135</v>
      </c>
      <c r="V116" s="27" t="s">
        <v>135</v>
      </c>
      <c r="W116" s="27" t="s">
        <v>135</v>
      </c>
      <c r="X116" s="27" t="s">
        <v>2486</v>
      </c>
      <c r="Y116" s="27" t="s">
        <v>2486</v>
      </c>
      <c r="Z116" s="27" t="s">
        <v>141</v>
      </c>
      <c r="AA116" s="27" t="s">
        <v>141</v>
      </c>
      <c r="AB116" s="27" t="s">
        <v>2485</v>
      </c>
      <c r="AC116" s="27" t="s">
        <v>2485</v>
      </c>
      <c r="AD116" s="27" t="s">
        <v>2486</v>
      </c>
      <c r="AE116" s="27" t="s">
        <v>2486</v>
      </c>
      <c r="AF116" s="27" t="s">
        <v>135</v>
      </c>
      <c r="AG116" s="48" t="s">
        <v>135</v>
      </c>
      <c r="AH116" s="48" t="s">
        <v>135</v>
      </c>
      <c r="AI116" s="48" t="s">
        <v>2601</v>
      </c>
      <c r="AJ116" s="50" t="s">
        <v>2580</v>
      </c>
      <c r="AK116" s="51" t="s">
        <v>70</v>
      </c>
      <c r="AL116" s="27" t="s">
        <v>73</v>
      </c>
      <c r="AM116" s="32"/>
      <c r="AN116" s="30"/>
      <c r="AO116" s="26"/>
      <c r="AP116" s="7">
        <f>VLOOKUP(B:B,Table3[#All],4,0)</f>
        <v>6500</v>
      </c>
      <c r="AQ116" s="7">
        <f>calcShift1(Таблица1[[#This Row],[Столбец5]:[Столбец36]])</f>
        <v>55.999999999999993</v>
      </c>
      <c r="AR116" s="7">
        <f>calcShift2(Таблица1[[#This Row],[Столбец5]:[Столбец36]])</f>
        <v>88</v>
      </c>
      <c r="AS116" s="7">
        <f>calcShift3(Таблица1[[#This Row],[Столбец5]:[Столбец36]])</f>
        <v>0</v>
      </c>
      <c r="AT116" s="26"/>
      <c r="AU116" s="7">
        <f>calcYavka(Таблица1[[#This Row],[Столбец5]:[Столбец36]])</f>
        <v>18</v>
      </c>
      <c r="AV116" s="31"/>
      <c r="AW116" s="18">
        <f>VLOOKUP(B:B,ДОП_ВСІ!B:AS,44,0)</f>
        <v>0</v>
      </c>
      <c r="AX116" s="7">
        <f>VLOOKUP(B:B,ДОП_ВСІ!B:AQ,42,0)</f>
        <v>0</v>
      </c>
      <c r="AY116" s="7">
        <f>Таблица1[[#This Row],[Столбец47]]*30</f>
        <v>540</v>
      </c>
      <c r="AZ116" s="6">
        <f>((((Таблица1[[#This Row],[Столбец42]]/160)*Таблица1[[#This Row],[Столбец44]])*0.25)*0.35)+((((Таблица1[[#This Row],[Столбец42]]/160)*Таблица1[[#This Row],[Столбец44]])*0.5)*0.2)</f>
        <v>670.3125</v>
      </c>
      <c r="BA116" s="26"/>
      <c r="BB116" s="47">
        <f>calcTS(Таблица1[[#This Row],[Столбец5]:[Столбец36]])</f>
        <v>0</v>
      </c>
    </row>
    <row r="117" spans="1:54" ht="42" x14ac:dyDescent="0.35">
      <c r="A117" s="25" t="s">
        <v>375</v>
      </c>
      <c r="B117" s="26" t="s">
        <v>376</v>
      </c>
      <c r="C117" s="27" t="s">
        <v>279</v>
      </c>
      <c r="D117" s="20" t="s">
        <v>2564</v>
      </c>
      <c r="E117" s="28" t="s">
        <v>141</v>
      </c>
      <c r="F117" s="27" t="s">
        <v>2486</v>
      </c>
      <c r="G117" s="27" t="s">
        <v>2486</v>
      </c>
      <c r="H117" s="27" t="s">
        <v>2542</v>
      </c>
      <c r="I117" s="27" t="s">
        <v>2542</v>
      </c>
      <c r="J117" s="27" t="s">
        <v>2542</v>
      </c>
      <c r="K117" s="28" t="s">
        <v>2542</v>
      </c>
      <c r="L117" s="27" t="s">
        <v>2486</v>
      </c>
      <c r="M117" s="27" t="s">
        <v>2486</v>
      </c>
      <c r="N117" s="28" t="s">
        <v>141</v>
      </c>
      <c r="O117" s="28" t="s">
        <v>141</v>
      </c>
      <c r="P117" s="28" t="s">
        <v>141</v>
      </c>
      <c r="Q117" s="28" t="s">
        <v>141</v>
      </c>
      <c r="R117" s="27" t="s">
        <v>2486</v>
      </c>
      <c r="S117" s="27" t="s">
        <v>2486</v>
      </c>
      <c r="T117" s="27" t="s">
        <v>135</v>
      </c>
      <c r="U117" s="27" t="s">
        <v>135</v>
      </c>
      <c r="V117" s="27" t="s">
        <v>135</v>
      </c>
      <c r="W117" s="27" t="s">
        <v>135</v>
      </c>
      <c r="X117" s="27" t="s">
        <v>2486</v>
      </c>
      <c r="Y117" s="27" t="s">
        <v>2486</v>
      </c>
      <c r="Z117" s="27" t="s">
        <v>141</v>
      </c>
      <c r="AA117" s="27" t="s">
        <v>141</v>
      </c>
      <c r="AB117" s="27" t="s">
        <v>141</v>
      </c>
      <c r="AC117" s="27" t="s">
        <v>141</v>
      </c>
      <c r="AD117" s="27" t="s">
        <v>2486</v>
      </c>
      <c r="AE117" s="27" t="s">
        <v>2486</v>
      </c>
      <c r="AF117" s="27" t="s">
        <v>135</v>
      </c>
      <c r="AG117" s="48" t="s">
        <v>135</v>
      </c>
      <c r="AH117" s="48" t="s">
        <v>135</v>
      </c>
      <c r="AI117" s="48" t="s">
        <v>2580</v>
      </c>
      <c r="AJ117" s="50" t="s">
        <v>2580</v>
      </c>
      <c r="AK117" s="51" t="s">
        <v>54</v>
      </c>
      <c r="AL117" s="27" t="s">
        <v>55</v>
      </c>
      <c r="AM117" s="32"/>
      <c r="AN117" s="30"/>
      <c r="AO117" s="26"/>
      <c r="AP117" s="7">
        <f>VLOOKUP(B:B,Table3[#All],4,0)</f>
        <v>6500</v>
      </c>
      <c r="AQ117" s="7">
        <f>calcShift1(Таблица1[[#This Row],[Столбец5]:[Столбец36]])</f>
        <v>72</v>
      </c>
      <c r="AR117" s="7">
        <f>calcShift2(Таблица1[[#This Row],[Столбец5]:[Столбец36]])</f>
        <v>88</v>
      </c>
      <c r="AS117" s="7">
        <f>calcShift3(Таблица1[[#This Row],[Столбец5]:[Столбец36]])</f>
        <v>0</v>
      </c>
      <c r="AT117" s="26"/>
      <c r="AU117" s="7">
        <f>calcYavka(Таблица1[[#This Row],[Столбец5]:[Столбец36]])</f>
        <v>20</v>
      </c>
      <c r="AV117" s="31"/>
      <c r="AW117" s="18">
        <f>VLOOKUP(B:B,ДОП_ВСІ!B:AS,44,0)</f>
        <v>0</v>
      </c>
      <c r="AX117" s="7">
        <f>VLOOKUP(B:B,ДОП_ВСІ!B:AQ,42,0)</f>
        <v>0</v>
      </c>
      <c r="AY117" s="7">
        <f>Таблица1[[#This Row],[Столбец47]]*30</f>
        <v>600</v>
      </c>
      <c r="AZ117" s="6">
        <f>((((Таблица1[[#This Row],[Столбец42]]/160)*Таблица1[[#This Row],[Столбец44]])*0.25)*0.35)+((((Таблица1[[#This Row],[Столбец42]]/160)*Таблица1[[#This Row],[Столбец44]])*0.5)*0.2)</f>
        <v>670.3125</v>
      </c>
      <c r="BA117" s="26"/>
      <c r="BB117" s="47">
        <f>calcTS(Таблица1[[#This Row],[Столбец5]:[Столбец36]])</f>
        <v>0</v>
      </c>
    </row>
    <row r="118" spans="1:54" ht="42" x14ac:dyDescent="0.35">
      <c r="A118" s="25" t="s">
        <v>377</v>
      </c>
      <c r="B118" s="26" t="s">
        <v>378</v>
      </c>
      <c r="C118" s="27" t="s">
        <v>379</v>
      </c>
      <c r="D118" s="20" t="s">
        <v>2564</v>
      </c>
      <c r="E118" s="28" t="s">
        <v>141</v>
      </c>
      <c r="F118" s="27" t="s">
        <v>2486</v>
      </c>
      <c r="G118" s="27" t="s">
        <v>2486</v>
      </c>
      <c r="H118" s="27" t="s">
        <v>2542</v>
      </c>
      <c r="I118" s="27" t="s">
        <v>2542</v>
      </c>
      <c r="J118" s="27" t="s">
        <v>2542</v>
      </c>
      <c r="K118" s="28" t="s">
        <v>2542</v>
      </c>
      <c r="L118" s="27" t="s">
        <v>2486</v>
      </c>
      <c r="M118" s="27" t="s">
        <v>2486</v>
      </c>
      <c r="N118" s="28" t="s">
        <v>141</v>
      </c>
      <c r="O118" s="28" t="s">
        <v>2495</v>
      </c>
      <c r="P118" s="28" t="s">
        <v>2495</v>
      </c>
      <c r="Q118" s="28" t="s">
        <v>2495</v>
      </c>
      <c r="R118" s="27" t="s">
        <v>2495</v>
      </c>
      <c r="S118" s="27" t="s">
        <v>2495</v>
      </c>
      <c r="T118" s="27" t="s">
        <v>2495</v>
      </c>
      <c r="U118" s="27" t="s">
        <v>2495</v>
      </c>
      <c r="V118" s="27" t="s">
        <v>2495</v>
      </c>
      <c r="W118" s="27" t="s">
        <v>2495</v>
      </c>
      <c r="X118" s="27" t="s">
        <v>2495</v>
      </c>
      <c r="Y118" s="27" t="s">
        <v>2486</v>
      </c>
      <c r="Z118" s="27" t="s">
        <v>141</v>
      </c>
      <c r="AA118" s="27" t="s">
        <v>141</v>
      </c>
      <c r="AB118" s="27" t="s">
        <v>141</v>
      </c>
      <c r="AC118" s="27" t="s">
        <v>141</v>
      </c>
      <c r="AD118" s="27" t="s">
        <v>2486</v>
      </c>
      <c r="AE118" s="27" t="s">
        <v>2486</v>
      </c>
      <c r="AF118" s="27" t="s">
        <v>135</v>
      </c>
      <c r="AG118" s="48" t="s">
        <v>135</v>
      </c>
      <c r="AH118" s="48" t="s">
        <v>135</v>
      </c>
      <c r="AI118" s="48" t="s">
        <v>2582</v>
      </c>
      <c r="AJ118" s="50" t="s">
        <v>2580</v>
      </c>
      <c r="AK118" s="51" t="s">
        <v>69</v>
      </c>
      <c r="AL118" s="27" t="s">
        <v>52</v>
      </c>
      <c r="AM118" s="32"/>
      <c r="AN118" s="30"/>
      <c r="AO118" s="26"/>
      <c r="AP118" s="7">
        <f>VLOOKUP(B:B,Table3[#All],4,0)</f>
        <v>6500</v>
      </c>
      <c r="AQ118" s="7">
        <f>calcShift1(Таблица1[[#This Row],[Столбец5]:[Столбец36]])</f>
        <v>47.999999999999993</v>
      </c>
      <c r="AR118" s="7">
        <f>calcShift2(Таблица1[[#This Row],[Столбец5]:[Столбец36]])</f>
        <v>55.999999999999993</v>
      </c>
      <c r="AS118" s="7">
        <f>calcShift3(Таблица1[[#This Row],[Столбец5]:[Столбец36]])</f>
        <v>0</v>
      </c>
      <c r="AT118" s="26"/>
      <c r="AU118" s="7">
        <f>calcYavka(Таблица1[[#This Row],[Столбец5]:[Столбец36]])</f>
        <v>13</v>
      </c>
      <c r="AV118" s="31"/>
      <c r="AW118" s="18">
        <f>VLOOKUP(B:B,ДОП_ВСІ!B:AS,44,0)</f>
        <v>0</v>
      </c>
      <c r="AX118" s="7">
        <f>VLOOKUP(B:B,ДОП_ВСІ!B:AQ,42,0)</f>
        <v>0</v>
      </c>
      <c r="AY118" s="7">
        <f>Таблица1[[#This Row],[Столбец47]]*30</f>
        <v>390</v>
      </c>
      <c r="AZ118" s="6">
        <f>((((Таблица1[[#This Row],[Столбец42]]/160)*Таблица1[[#This Row],[Столбец44]])*0.25)*0.35)+((((Таблица1[[#This Row],[Столбец42]]/160)*Таблица1[[#This Row],[Столбец44]])*0.5)*0.2)</f>
        <v>426.56249999999989</v>
      </c>
      <c r="BA118" s="26"/>
      <c r="BB118" s="47">
        <f>calcTS(Таблица1[[#This Row],[Столбец5]:[Столбец36]])</f>
        <v>0</v>
      </c>
    </row>
    <row r="119" spans="1:54" ht="42" x14ac:dyDescent="0.35">
      <c r="A119" s="25" t="s">
        <v>380</v>
      </c>
      <c r="B119" s="6" t="s">
        <v>381</v>
      </c>
      <c r="C119" s="27" t="s">
        <v>354</v>
      </c>
      <c r="D119" s="20" t="s">
        <v>2564</v>
      </c>
      <c r="E119" s="28" t="s">
        <v>2542</v>
      </c>
      <c r="F119" s="27" t="s">
        <v>2542</v>
      </c>
      <c r="G119" s="27" t="s">
        <v>2542</v>
      </c>
      <c r="H119" s="27" t="s">
        <v>2486</v>
      </c>
      <c r="I119" s="27" t="s">
        <v>2486</v>
      </c>
      <c r="J119" s="27" t="s">
        <v>141</v>
      </c>
      <c r="K119" s="28" t="s">
        <v>141</v>
      </c>
      <c r="L119" s="27" t="s">
        <v>141</v>
      </c>
      <c r="M119" s="27" t="s">
        <v>141</v>
      </c>
      <c r="N119" s="28" t="s">
        <v>2486</v>
      </c>
      <c r="O119" s="28" t="s">
        <v>2486</v>
      </c>
      <c r="P119" s="28" t="s">
        <v>135</v>
      </c>
      <c r="Q119" s="28" t="s">
        <v>135</v>
      </c>
      <c r="R119" s="27" t="s">
        <v>135</v>
      </c>
      <c r="S119" s="27" t="s">
        <v>135</v>
      </c>
      <c r="T119" s="27" t="s">
        <v>2486</v>
      </c>
      <c r="U119" s="27" t="s">
        <v>2486</v>
      </c>
      <c r="V119" s="27" t="s">
        <v>141</v>
      </c>
      <c r="W119" s="27" t="s">
        <v>141</v>
      </c>
      <c r="X119" s="27" t="s">
        <v>141</v>
      </c>
      <c r="Y119" s="27" t="s">
        <v>141</v>
      </c>
      <c r="Z119" s="27" t="s">
        <v>2486</v>
      </c>
      <c r="AA119" s="27" t="s">
        <v>2486</v>
      </c>
      <c r="AB119" s="27" t="s">
        <v>135</v>
      </c>
      <c r="AC119" s="27" t="s">
        <v>135</v>
      </c>
      <c r="AD119" s="27" t="s">
        <v>135</v>
      </c>
      <c r="AE119" s="27" t="s">
        <v>135</v>
      </c>
      <c r="AF119" s="27" t="s">
        <v>2486</v>
      </c>
      <c r="AG119" s="48" t="s">
        <v>2486</v>
      </c>
      <c r="AH119" s="48" t="s">
        <v>141</v>
      </c>
      <c r="AI119" s="48" t="s">
        <v>2580</v>
      </c>
      <c r="AJ119" s="50" t="s">
        <v>2580</v>
      </c>
      <c r="AK119" s="51" t="s">
        <v>54</v>
      </c>
      <c r="AL119" s="27" t="s">
        <v>55</v>
      </c>
      <c r="AM119" s="32"/>
      <c r="AN119" s="30"/>
      <c r="AO119" s="26"/>
      <c r="AP119" s="7">
        <f>VLOOKUP(B:B,Table3[#All],4,0)</f>
        <v>6500</v>
      </c>
      <c r="AQ119" s="7">
        <f>calcShift1(Таблица1[[#This Row],[Столбец5]:[Столбец36]])</f>
        <v>72</v>
      </c>
      <c r="AR119" s="7">
        <f>calcShift2(Таблица1[[#This Row],[Столбец5]:[Столбец36]])</f>
        <v>88</v>
      </c>
      <c r="AS119" s="7">
        <f>calcShift3(Таблица1[[#This Row],[Столбец5]:[Столбец36]])</f>
        <v>0</v>
      </c>
      <c r="AT119" s="26"/>
      <c r="AU119" s="7">
        <f>calcYavka(Таблица1[[#This Row],[Столбец5]:[Столбец36]])</f>
        <v>20</v>
      </c>
      <c r="AV119" s="31"/>
      <c r="AW119" s="18">
        <f>VLOOKUP(B:B,ДОП_ВСІ!B:AS,44,0)</f>
        <v>0</v>
      </c>
      <c r="AX119" s="7">
        <f>VLOOKUP(B:B,ДОП_ВСІ!B:AQ,42,0)</f>
        <v>0</v>
      </c>
      <c r="AY119" s="7">
        <f>Таблица1[[#This Row],[Столбец47]]*30</f>
        <v>600</v>
      </c>
      <c r="AZ119" s="6">
        <f>((((Таблица1[[#This Row],[Столбец42]]/160)*Таблица1[[#This Row],[Столбец44]])*0.25)*0.35)+((((Таблица1[[#This Row],[Столбец42]]/160)*Таблица1[[#This Row],[Столбец44]])*0.5)*0.2)</f>
        <v>670.3125</v>
      </c>
      <c r="BA119" s="26"/>
      <c r="BB119" s="47">
        <f>calcTS(Таблица1[[#This Row],[Столбец5]:[Столбец36]])</f>
        <v>0</v>
      </c>
    </row>
    <row r="120" spans="1:54" ht="42" x14ac:dyDescent="0.35">
      <c r="A120" s="25" t="s">
        <v>382</v>
      </c>
      <c r="B120" s="26" t="s">
        <v>383</v>
      </c>
      <c r="C120" s="27" t="s">
        <v>279</v>
      </c>
      <c r="D120" s="20" t="s">
        <v>2564</v>
      </c>
      <c r="E120" s="28" t="s">
        <v>2542</v>
      </c>
      <c r="F120" s="27" t="s">
        <v>2542</v>
      </c>
      <c r="G120" s="27" t="s">
        <v>2542</v>
      </c>
      <c r="H120" s="27" t="s">
        <v>2486</v>
      </c>
      <c r="I120" s="27" t="s">
        <v>2486</v>
      </c>
      <c r="J120" s="27" t="s">
        <v>141</v>
      </c>
      <c r="K120" s="28" t="s">
        <v>141</v>
      </c>
      <c r="L120" s="27" t="s">
        <v>2575</v>
      </c>
      <c r="M120" s="27" t="s">
        <v>141</v>
      </c>
      <c r="N120" s="28" t="s">
        <v>2486</v>
      </c>
      <c r="O120" s="28" t="s">
        <v>2486</v>
      </c>
      <c r="P120" s="28" t="s">
        <v>135</v>
      </c>
      <c r="Q120" s="28" t="s">
        <v>135</v>
      </c>
      <c r="R120" s="27" t="s">
        <v>135</v>
      </c>
      <c r="S120" s="27" t="s">
        <v>135</v>
      </c>
      <c r="T120" s="27" t="s">
        <v>2486</v>
      </c>
      <c r="U120" s="27" t="s">
        <v>2486</v>
      </c>
      <c r="V120" s="27" t="s">
        <v>141</v>
      </c>
      <c r="W120" s="27" t="s">
        <v>2531</v>
      </c>
      <c r="X120" s="27" t="s">
        <v>141</v>
      </c>
      <c r="Y120" s="27" t="s">
        <v>141</v>
      </c>
      <c r="Z120" s="27" t="s">
        <v>2486</v>
      </c>
      <c r="AA120" s="27" t="s">
        <v>2486</v>
      </c>
      <c r="AB120" s="27" t="s">
        <v>135</v>
      </c>
      <c r="AC120" s="27" t="s">
        <v>135</v>
      </c>
      <c r="AD120" s="27" t="s">
        <v>135</v>
      </c>
      <c r="AE120" s="27" t="s">
        <v>135</v>
      </c>
      <c r="AF120" s="27" t="s">
        <v>2486</v>
      </c>
      <c r="AG120" s="48" t="s">
        <v>2486</v>
      </c>
      <c r="AH120" s="48" t="s">
        <v>141</v>
      </c>
      <c r="AI120" s="48" t="s">
        <v>2604</v>
      </c>
      <c r="AJ120" s="50" t="s">
        <v>2580</v>
      </c>
      <c r="AK120" s="51" t="s">
        <v>72</v>
      </c>
      <c r="AL120" s="27" t="s">
        <v>71</v>
      </c>
      <c r="AM120" s="32"/>
      <c r="AN120" s="30"/>
      <c r="AO120" s="26"/>
      <c r="AP120" s="7">
        <f>VLOOKUP(B:B,Table3[#All],4,0)</f>
        <v>6500</v>
      </c>
      <c r="AQ120" s="7">
        <f>calcShift1(Таблица1[[#This Row],[Столбец5]:[Столбец36]])</f>
        <v>61</v>
      </c>
      <c r="AR120" s="7">
        <f>calcShift2(Таблица1[[#This Row],[Столбец5]:[Столбец36]])</f>
        <v>88</v>
      </c>
      <c r="AS120" s="7">
        <f>calcShift3(Таблица1[[#This Row],[Столбец5]:[Столбец36]])</f>
        <v>0</v>
      </c>
      <c r="AT120" s="26"/>
      <c r="AU120" s="7">
        <f>calcYavka(Таблица1[[#This Row],[Столбец5]:[Столбец36]])</f>
        <v>19</v>
      </c>
      <c r="AV120" s="31"/>
      <c r="AW120" s="18">
        <f>VLOOKUP(B:B,ДОП_ВСІ!B:AS,44,0)</f>
        <v>0</v>
      </c>
      <c r="AX120" s="7">
        <f>VLOOKUP(B:B,ДОП_ВСІ!B:AQ,42,0)</f>
        <v>0</v>
      </c>
      <c r="AY120" s="7">
        <f>Таблица1[[#This Row],[Столбец47]]*30</f>
        <v>570</v>
      </c>
      <c r="AZ120" s="6">
        <f>((((Таблица1[[#This Row],[Столбец42]]/160)*Таблица1[[#This Row],[Столбец44]])*0.25)*0.35)+((((Таблица1[[#This Row],[Столбец42]]/160)*Таблица1[[#This Row],[Столбец44]])*0.5)*0.2)</f>
        <v>670.3125</v>
      </c>
      <c r="BA120" s="26"/>
      <c r="BB120" s="47">
        <f>calcTS(Таблица1[[#This Row],[Столбец5]:[Столбец36]])</f>
        <v>0</v>
      </c>
    </row>
    <row r="121" spans="1:54" x14ac:dyDescent="0.35">
      <c r="A121" s="25" t="s">
        <v>384</v>
      </c>
      <c r="B121" s="26" t="s">
        <v>385</v>
      </c>
      <c r="C121" s="27" t="s">
        <v>279</v>
      </c>
      <c r="D121" s="20" t="s">
        <v>2564</v>
      </c>
      <c r="E121" s="28" t="s">
        <v>2486</v>
      </c>
      <c r="F121" s="27" t="s">
        <v>2486</v>
      </c>
      <c r="G121" s="27" t="s">
        <v>2486</v>
      </c>
      <c r="H121" s="27" t="s">
        <v>2486</v>
      </c>
      <c r="I121" s="27" t="s">
        <v>141</v>
      </c>
      <c r="J121" s="27" t="s">
        <v>141</v>
      </c>
      <c r="K121" s="28" t="s">
        <v>141</v>
      </c>
      <c r="L121" s="27" t="s">
        <v>141</v>
      </c>
      <c r="M121" s="27" t="s">
        <v>141</v>
      </c>
      <c r="N121" s="28" t="s">
        <v>2486</v>
      </c>
      <c r="O121" s="28" t="s">
        <v>2486</v>
      </c>
      <c r="P121" s="28" t="s">
        <v>135</v>
      </c>
      <c r="Q121" s="28" t="s">
        <v>135</v>
      </c>
      <c r="R121" s="27" t="s">
        <v>135</v>
      </c>
      <c r="S121" s="27" t="s">
        <v>135</v>
      </c>
      <c r="T121" s="27" t="s">
        <v>2486</v>
      </c>
      <c r="U121" s="27" t="s">
        <v>2486</v>
      </c>
      <c r="V121" s="27" t="s">
        <v>141</v>
      </c>
      <c r="W121" s="27" t="s">
        <v>141</v>
      </c>
      <c r="X121" s="27" t="s">
        <v>2575</v>
      </c>
      <c r="Y121" s="27" t="s">
        <v>141</v>
      </c>
      <c r="Z121" s="27" t="s">
        <v>2486</v>
      </c>
      <c r="AA121" s="27" t="s">
        <v>2486</v>
      </c>
      <c r="AB121" s="27" t="s">
        <v>135</v>
      </c>
      <c r="AC121" s="27" t="s">
        <v>135</v>
      </c>
      <c r="AD121" s="27" t="s">
        <v>135</v>
      </c>
      <c r="AE121" s="27" t="s">
        <v>135</v>
      </c>
      <c r="AF121" s="27" t="s">
        <v>2486</v>
      </c>
      <c r="AG121" s="48" t="s">
        <v>2486</v>
      </c>
      <c r="AH121" s="48" t="s">
        <v>141</v>
      </c>
      <c r="AI121" s="48" t="s">
        <v>2605</v>
      </c>
      <c r="AJ121" s="50" t="s">
        <v>2601</v>
      </c>
      <c r="AK121" s="51" t="s">
        <v>70</v>
      </c>
      <c r="AL121" s="27" t="s">
        <v>73</v>
      </c>
      <c r="AM121" s="32"/>
      <c r="AN121" s="30"/>
      <c r="AO121" s="26"/>
      <c r="AP121" s="7">
        <f>VLOOKUP(B:B,Table3[#All],4,0)</f>
        <v>6500</v>
      </c>
      <c r="AQ121" s="7">
        <f>calcShift1(Таблица1[[#This Row],[Столбец5]:[Столбец36]])</f>
        <v>77</v>
      </c>
      <c r="AR121" s="7">
        <f>calcShift2(Таблица1[[#This Row],[Столбец5]:[Столбец36]])</f>
        <v>64</v>
      </c>
      <c r="AS121" s="7">
        <f>calcShift3(Таблица1[[#This Row],[Столбец5]:[Столбец36]])</f>
        <v>0</v>
      </c>
      <c r="AT121" s="26"/>
      <c r="AU121" s="7">
        <f>calcYavka(Таблица1[[#This Row],[Столбец5]:[Столбец36]])</f>
        <v>18</v>
      </c>
      <c r="AV121" s="31"/>
      <c r="AW121" s="18">
        <f>VLOOKUP(B:B,ДОП_ВСІ!B:AS,44,0)</f>
        <v>0</v>
      </c>
      <c r="AX121" s="7">
        <f>VLOOKUP(B:B,ДОП_ВСІ!B:AQ,42,0)</f>
        <v>0</v>
      </c>
      <c r="AY121" s="7">
        <f>Таблица1[[#This Row],[Столбец47]]*30</f>
        <v>540</v>
      </c>
      <c r="AZ121" s="6">
        <f>((((Таблица1[[#This Row],[Столбец42]]/160)*Таблица1[[#This Row],[Столбец44]])*0.25)*0.35)+((((Таблица1[[#This Row],[Столбец42]]/160)*Таблица1[[#This Row],[Столбец44]])*0.5)*0.2)</f>
        <v>487.5</v>
      </c>
      <c r="BA121" s="26"/>
      <c r="BB121" s="47">
        <f>calcTS(Таблица1[[#This Row],[Столбец5]:[Столбец36]])</f>
        <v>0</v>
      </c>
    </row>
    <row r="122" spans="1:54" ht="42" x14ac:dyDescent="0.35">
      <c r="A122" s="25" t="s">
        <v>386</v>
      </c>
      <c r="B122" s="26" t="s">
        <v>387</v>
      </c>
      <c r="C122" s="27" t="s">
        <v>279</v>
      </c>
      <c r="D122" s="20" t="s">
        <v>2564</v>
      </c>
      <c r="E122" s="28" t="s">
        <v>141</v>
      </c>
      <c r="F122" s="27" t="s">
        <v>2486</v>
      </c>
      <c r="G122" s="27" t="s">
        <v>2486</v>
      </c>
      <c r="H122" s="27" t="s">
        <v>135</v>
      </c>
      <c r="I122" s="27" t="s">
        <v>135</v>
      </c>
      <c r="J122" s="27" t="s">
        <v>135</v>
      </c>
      <c r="K122" s="28" t="s">
        <v>135</v>
      </c>
      <c r="L122" s="27" t="s">
        <v>2486</v>
      </c>
      <c r="M122" s="27" t="s">
        <v>2486</v>
      </c>
      <c r="N122" s="28" t="s">
        <v>2543</v>
      </c>
      <c r="O122" s="28" t="s">
        <v>2543</v>
      </c>
      <c r="P122" s="28" t="s">
        <v>2543</v>
      </c>
      <c r="Q122" s="28" t="s">
        <v>2531</v>
      </c>
      <c r="R122" s="27" t="s">
        <v>2486</v>
      </c>
      <c r="S122" s="27" t="s">
        <v>2486</v>
      </c>
      <c r="T122" s="27" t="s">
        <v>2542</v>
      </c>
      <c r="U122" s="27" t="s">
        <v>2542</v>
      </c>
      <c r="V122" s="27" t="s">
        <v>2542</v>
      </c>
      <c r="W122" s="27" t="s">
        <v>2542</v>
      </c>
      <c r="X122" s="27" t="s">
        <v>2486</v>
      </c>
      <c r="Y122" s="27" t="s">
        <v>2486</v>
      </c>
      <c r="Z122" s="27" t="s">
        <v>2543</v>
      </c>
      <c r="AA122" s="27" t="s">
        <v>2543</v>
      </c>
      <c r="AB122" s="27" t="s">
        <v>2543</v>
      </c>
      <c r="AC122" s="27" t="s">
        <v>2543</v>
      </c>
      <c r="AD122" s="27" t="s">
        <v>2486</v>
      </c>
      <c r="AE122" s="27" t="s">
        <v>2486</v>
      </c>
      <c r="AF122" s="27" t="s">
        <v>135</v>
      </c>
      <c r="AG122" s="48" t="s">
        <v>135</v>
      </c>
      <c r="AH122" s="48" t="s">
        <v>135</v>
      </c>
      <c r="AI122" s="48" t="s">
        <v>2597</v>
      </c>
      <c r="AJ122" s="50" t="s">
        <v>2580</v>
      </c>
      <c r="AK122" s="51" t="s">
        <v>72</v>
      </c>
      <c r="AL122" s="27" t="s">
        <v>71</v>
      </c>
      <c r="AM122" s="32"/>
      <c r="AN122" s="30"/>
      <c r="AO122" s="26"/>
      <c r="AP122" s="7">
        <f>VLOOKUP(B:B,Table3[#All],4,0)</f>
        <v>6500</v>
      </c>
      <c r="AQ122" s="7">
        <f>calcShift1(Таблица1[[#This Row],[Столбец5]:[Столбец36]])</f>
        <v>64</v>
      </c>
      <c r="AR122" s="7">
        <f>calcShift2(Таблица1[[#This Row],[Столбец5]:[Столбец36]])</f>
        <v>88</v>
      </c>
      <c r="AS122" s="7">
        <f>calcShift3(Таблица1[[#This Row],[Столбец5]:[Столбец36]])</f>
        <v>0</v>
      </c>
      <c r="AT122" s="26"/>
      <c r="AU122" s="7">
        <f>calcYavka(Таблица1[[#This Row],[Столбец5]:[Столбец36]])</f>
        <v>19</v>
      </c>
      <c r="AV122" s="31"/>
      <c r="AW122" s="18">
        <f>VLOOKUP(B:B,ДОП_ВСІ!B:AS,44,0)</f>
        <v>0</v>
      </c>
      <c r="AX122" s="7">
        <f>VLOOKUP(B:B,ДОП_ВСІ!B:AQ,42,0)</f>
        <v>0</v>
      </c>
      <c r="AY122" s="7">
        <f>Таблица1[[#This Row],[Столбец47]]*30</f>
        <v>570</v>
      </c>
      <c r="AZ122" s="6">
        <f>((((Таблица1[[#This Row],[Столбец42]]/160)*Таблица1[[#This Row],[Столбец44]])*0.25)*0.35)+((((Таблица1[[#This Row],[Столбец42]]/160)*Таблица1[[#This Row],[Столбец44]])*0.5)*0.2)</f>
        <v>670.3125</v>
      </c>
      <c r="BA122" s="26"/>
      <c r="BB122" s="47">
        <f>calcTS(Таблица1[[#This Row],[Столбец5]:[Столбец36]])</f>
        <v>0</v>
      </c>
    </row>
    <row r="123" spans="1:54" ht="42" x14ac:dyDescent="0.35">
      <c r="A123" s="25" t="s">
        <v>388</v>
      </c>
      <c r="B123" s="26" t="s">
        <v>389</v>
      </c>
      <c r="C123" s="27" t="s">
        <v>354</v>
      </c>
      <c r="D123" s="20" t="s">
        <v>2564</v>
      </c>
      <c r="E123" s="28" t="s">
        <v>2565</v>
      </c>
      <c r="F123" s="27" t="s">
        <v>2486</v>
      </c>
      <c r="G123" s="27" t="s">
        <v>2486</v>
      </c>
      <c r="H123" s="27" t="s">
        <v>2606</v>
      </c>
      <c r="I123" s="27" t="s">
        <v>2542</v>
      </c>
      <c r="J123" s="27" t="s">
        <v>2542</v>
      </c>
      <c r="K123" s="28" t="s">
        <v>2542</v>
      </c>
      <c r="L123" s="27" t="s">
        <v>2486</v>
      </c>
      <c r="M123" s="27" t="s">
        <v>2486</v>
      </c>
      <c r="N123" s="28" t="s">
        <v>2543</v>
      </c>
      <c r="O123" s="28" t="s">
        <v>2543</v>
      </c>
      <c r="P123" s="28" t="s">
        <v>2543</v>
      </c>
      <c r="Q123" s="28" t="s">
        <v>2565</v>
      </c>
      <c r="R123" s="27" t="s">
        <v>2486</v>
      </c>
      <c r="S123" s="27" t="s">
        <v>2486</v>
      </c>
      <c r="T123" s="27" t="s">
        <v>2542</v>
      </c>
      <c r="U123" s="27" t="s">
        <v>2542</v>
      </c>
      <c r="V123" s="27" t="s">
        <v>2542</v>
      </c>
      <c r="W123" s="27" t="s">
        <v>2542</v>
      </c>
      <c r="X123" s="27" t="s">
        <v>2486</v>
      </c>
      <c r="Y123" s="27" t="s">
        <v>2486</v>
      </c>
      <c r="Z123" s="27" t="s">
        <v>2543</v>
      </c>
      <c r="AA123" s="27" t="s">
        <v>2543</v>
      </c>
      <c r="AB123" s="27" t="s">
        <v>2543</v>
      </c>
      <c r="AC123" s="27" t="s">
        <v>2543</v>
      </c>
      <c r="AD123" s="27" t="s">
        <v>2486</v>
      </c>
      <c r="AE123" s="27" t="s">
        <v>2486</v>
      </c>
      <c r="AF123" s="27" t="s">
        <v>135</v>
      </c>
      <c r="AG123" s="48" t="s">
        <v>135</v>
      </c>
      <c r="AH123" s="48" t="s">
        <v>135</v>
      </c>
      <c r="AI123" s="48" t="s">
        <v>2607</v>
      </c>
      <c r="AJ123" s="50" t="s">
        <v>2580</v>
      </c>
      <c r="AK123" s="51" t="s">
        <v>54</v>
      </c>
      <c r="AL123" s="27" t="s">
        <v>55</v>
      </c>
      <c r="AM123" s="32"/>
      <c r="AN123" s="30"/>
      <c r="AO123" s="26"/>
      <c r="AP123" s="7">
        <f>VLOOKUP(B:B,Table3[#All],4,0)</f>
        <v>6500</v>
      </c>
      <c r="AQ123" s="7">
        <f>calcShift1(Таблица1[[#This Row],[Столбец5]:[Столбец36]])</f>
        <v>68</v>
      </c>
      <c r="AR123" s="7">
        <f>calcShift2(Таблица1[[#This Row],[Столбец5]:[Столбец36]])</f>
        <v>87.000000000000014</v>
      </c>
      <c r="AS123" s="7">
        <f>calcShift3(Таблица1[[#This Row],[Столбец5]:[Столбец36]])</f>
        <v>0</v>
      </c>
      <c r="AT123" s="26"/>
      <c r="AU123" s="7">
        <f>calcYavka(Таблица1[[#This Row],[Столбец5]:[Столбец36]])</f>
        <v>20</v>
      </c>
      <c r="AV123" s="31"/>
      <c r="AW123" s="18">
        <f>VLOOKUP(B:B,ДОП_ВСІ!B:AS,44,0)</f>
        <v>0</v>
      </c>
      <c r="AX123" s="7">
        <f>VLOOKUP(B:B,ДОП_ВСІ!B:AQ,42,0)</f>
        <v>0</v>
      </c>
      <c r="AY123" s="7">
        <f>Таблица1[[#This Row],[Столбец47]]*30</f>
        <v>600</v>
      </c>
      <c r="AZ123" s="6">
        <f>((((Таблица1[[#This Row],[Столбец42]]/160)*Таблица1[[#This Row],[Столбец44]])*0.25)*0.35)+((((Таблица1[[#This Row],[Столбец42]]/160)*Таблица1[[#This Row],[Столбец44]])*0.5)*0.2)</f>
        <v>662.6953125</v>
      </c>
      <c r="BA123" s="26"/>
      <c r="BB123" s="47">
        <f>calcTS(Таблица1[[#This Row],[Столбец5]:[Столбец36]])</f>
        <v>0</v>
      </c>
    </row>
    <row r="124" spans="1:54" ht="42" x14ac:dyDescent="0.35">
      <c r="A124" s="25" t="s">
        <v>390</v>
      </c>
      <c r="B124" s="26" t="s">
        <v>391</v>
      </c>
      <c r="C124" s="27" t="s">
        <v>279</v>
      </c>
      <c r="D124" s="20" t="s">
        <v>2564</v>
      </c>
      <c r="E124" s="28" t="s">
        <v>2543</v>
      </c>
      <c r="F124" s="27" t="s">
        <v>2486</v>
      </c>
      <c r="G124" s="27" t="s">
        <v>2486</v>
      </c>
      <c r="H124" s="27" t="s">
        <v>2542</v>
      </c>
      <c r="I124" s="27" t="s">
        <v>2542</v>
      </c>
      <c r="J124" s="27" t="s">
        <v>2542</v>
      </c>
      <c r="K124" s="28" t="s">
        <v>2542</v>
      </c>
      <c r="L124" s="27" t="s">
        <v>2486</v>
      </c>
      <c r="M124" s="27" t="s">
        <v>2486</v>
      </c>
      <c r="N124" s="28" t="s">
        <v>2543</v>
      </c>
      <c r="O124" s="28" t="s">
        <v>2543</v>
      </c>
      <c r="P124" s="28" t="s">
        <v>2543</v>
      </c>
      <c r="Q124" s="28" t="s">
        <v>2575</v>
      </c>
      <c r="R124" s="27" t="s">
        <v>2486</v>
      </c>
      <c r="S124" s="27" t="s">
        <v>2486</v>
      </c>
      <c r="T124" s="27" t="s">
        <v>2542</v>
      </c>
      <c r="U124" s="27" t="s">
        <v>2542</v>
      </c>
      <c r="V124" s="27" t="s">
        <v>2542</v>
      </c>
      <c r="W124" s="27" t="s">
        <v>2542</v>
      </c>
      <c r="X124" s="27" t="s">
        <v>2486</v>
      </c>
      <c r="Y124" s="27" t="s">
        <v>2486</v>
      </c>
      <c r="Z124" s="27" t="s">
        <v>2543</v>
      </c>
      <c r="AA124" s="27" t="s">
        <v>2543</v>
      </c>
      <c r="AB124" s="27" t="s">
        <v>2543</v>
      </c>
      <c r="AC124" s="27" t="s">
        <v>2543</v>
      </c>
      <c r="AD124" s="27" t="s">
        <v>2486</v>
      </c>
      <c r="AE124" s="27" t="s">
        <v>2486</v>
      </c>
      <c r="AF124" s="27" t="s">
        <v>135</v>
      </c>
      <c r="AG124" s="48" t="s">
        <v>135</v>
      </c>
      <c r="AH124" s="48" t="s">
        <v>135</v>
      </c>
      <c r="AI124" s="48" t="s">
        <v>2608</v>
      </c>
      <c r="AJ124" s="50" t="s">
        <v>2580</v>
      </c>
      <c r="AK124" s="51" t="s">
        <v>54</v>
      </c>
      <c r="AL124" s="27" t="s">
        <v>55</v>
      </c>
      <c r="AM124" s="32"/>
      <c r="AN124" s="30"/>
      <c r="AO124" s="26"/>
      <c r="AP124" s="7">
        <f>VLOOKUP(B:B,Table3[#All],4,0)</f>
        <v>6500</v>
      </c>
      <c r="AQ124" s="7">
        <f>calcShift1(Таблица1[[#This Row],[Столбец5]:[Столбец36]])</f>
        <v>69</v>
      </c>
      <c r="AR124" s="7">
        <f>calcShift2(Таблица1[[#This Row],[Столбец5]:[Столбец36]])</f>
        <v>88</v>
      </c>
      <c r="AS124" s="7">
        <f>calcShift3(Таблица1[[#This Row],[Столбец5]:[Столбец36]])</f>
        <v>0</v>
      </c>
      <c r="AT124" s="26"/>
      <c r="AU124" s="7">
        <f>calcYavka(Таблица1[[#This Row],[Столбец5]:[Столбец36]])</f>
        <v>20</v>
      </c>
      <c r="AV124" s="31"/>
      <c r="AW124" s="18">
        <f>VLOOKUP(B:B,ДОП_ВСІ!B:AS,44,0)</f>
        <v>0</v>
      </c>
      <c r="AX124" s="7">
        <f>VLOOKUP(B:B,ДОП_ВСІ!B:AQ,42,0)</f>
        <v>0</v>
      </c>
      <c r="AY124" s="7">
        <f>Таблица1[[#This Row],[Столбец47]]*30</f>
        <v>600</v>
      </c>
      <c r="AZ124" s="6">
        <f>((((Таблица1[[#This Row],[Столбец42]]/160)*Таблица1[[#This Row],[Столбец44]])*0.25)*0.35)+((((Таблица1[[#This Row],[Столбец42]]/160)*Таблица1[[#This Row],[Столбец44]])*0.5)*0.2)</f>
        <v>670.3125</v>
      </c>
      <c r="BA124" s="26"/>
      <c r="BB124" s="47">
        <f>calcTS(Таблица1[[#This Row],[Столбец5]:[Столбец36]])</f>
        <v>0</v>
      </c>
    </row>
    <row r="125" spans="1:54" ht="42" x14ac:dyDescent="0.35">
      <c r="A125" s="25" t="s">
        <v>392</v>
      </c>
      <c r="B125" s="26" t="s">
        <v>393</v>
      </c>
      <c r="C125" s="27" t="s">
        <v>279</v>
      </c>
      <c r="D125" s="20" t="s">
        <v>2564</v>
      </c>
      <c r="E125" s="28" t="s">
        <v>141</v>
      </c>
      <c r="F125" s="27" t="s">
        <v>2486</v>
      </c>
      <c r="G125" s="27" t="s">
        <v>2486</v>
      </c>
      <c r="H125" s="27" t="s">
        <v>2542</v>
      </c>
      <c r="I125" s="27" t="s">
        <v>2542</v>
      </c>
      <c r="J125" s="27" t="s">
        <v>2542</v>
      </c>
      <c r="K125" s="28" t="s">
        <v>2542</v>
      </c>
      <c r="L125" s="27" t="s">
        <v>2486</v>
      </c>
      <c r="M125" s="27" t="s">
        <v>2486</v>
      </c>
      <c r="N125" s="28" t="s">
        <v>2543</v>
      </c>
      <c r="O125" s="28" t="s">
        <v>2543</v>
      </c>
      <c r="P125" s="28" t="s">
        <v>2543</v>
      </c>
      <c r="Q125" s="28" t="s">
        <v>2543</v>
      </c>
      <c r="R125" s="27" t="s">
        <v>2486</v>
      </c>
      <c r="S125" s="27" t="s">
        <v>2486</v>
      </c>
      <c r="T125" s="27" t="s">
        <v>2542</v>
      </c>
      <c r="U125" s="27" t="s">
        <v>2542</v>
      </c>
      <c r="V125" s="27" t="s">
        <v>2542</v>
      </c>
      <c r="W125" s="27" t="s">
        <v>2542</v>
      </c>
      <c r="X125" s="27" t="s">
        <v>2486</v>
      </c>
      <c r="Y125" s="27" t="s">
        <v>2486</v>
      </c>
      <c r="Z125" s="27" t="s">
        <v>2531</v>
      </c>
      <c r="AA125" s="27" t="s">
        <v>2543</v>
      </c>
      <c r="AB125" s="27" t="s">
        <v>2543</v>
      </c>
      <c r="AC125" s="27" t="s">
        <v>2543</v>
      </c>
      <c r="AD125" s="27" t="s">
        <v>2486</v>
      </c>
      <c r="AE125" s="27" t="s">
        <v>2486</v>
      </c>
      <c r="AF125" s="27" t="s">
        <v>135</v>
      </c>
      <c r="AG125" s="48" t="s">
        <v>135</v>
      </c>
      <c r="AH125" s="48" t="s">
        <v>135</v>
      </c>
      <c r="AI125" s="48" t="s">
        <v>2597</v>
      </c>
      <c r="AJ125" s="50" t="s">
        <v>2580</v>
      </c>
      <c r="AK125" s="51" t="s">
        <v>72</v>
      </c>
      <c r="AL125" s="27" t="s">
        <v>71</v>
      </c>
      <c r="AM125" s="32"/>
      <c r="AN125" s="30"/>
      <c r="AO125" s="26"/>
      <c r="AP125" s="7">
        <f>VLOOKUP(B:B,Table3[#All],4,0)</f>
        <v>6500</v>
      </c>
      <c r="AQ125" s="7">
        <f>calcShift1(Таблица1[[#This Row],[Столбец5]:[Столбец36]])</f>
        <v>64</v>
      </c>
      <c r="AR125" s="7">
        <f>calcShift2(Таблица1[[#This Row],[Столбец5]:[Столбец36]])</f>
        <v>88</v>
      </c>
      <c r="AS125" s="7">
        <f>calcShift3(Таблица1[[#This Row],[Столбец5]:[Столбец36]])</f>
        <v>0</v>
      </c>
      <c r="AT125" s="26"/>
      <c r="AU125" s="7">
        <f>calcYavka(Таблица1[[#This Row],[Столбец5]:[Столбец36]])</f>
        <v>19</v>
      </c>
      <c r="AV125" s="31"/>
      <c r="AW125" s="18">
        <f>VLOOKUP(B:B,ДОП_ВСІ!B:AS,44,0)</f>
        <v>0</v>
      </c>
      <c r="AX125" s="7">
        <f>VLOOKUP(B:B,ДОП_ВСІ!B:AQ,42,0)</f>
        <v>0</v>
      </c>
      <c r="AY125" s="7">
        <f>Таблица1[[#This Row],[Столбец47]]*30</f>
        <v>570</v>
      </c>
      <c r="AZ125" s="6">
        <f>((((Таблица1[[#This Row],[Столбец42]]/160)*Таблица1[[#This Row],[Столбец44]])*0.25)*0.35)+((((Таблица1[[#This Row],[Столбец42]]/160)*Таблица1[[#This Row],[Столбец44]])*0.5)*0.2)</f>
        <v>670.3125</v>
      </c>
      <c r="BA125" s="26"/>
      <c r="BB125" s="47">
        <f>calcTS(Таблица1[[#This Row],[Столбец5]:[Столбец36]])</f>
        <v>0</v>
      </c>
    </row>
    <row r="126" spans="1:54" x14ac:dyDescent="0.35">
      <c r="A126" s="25" t="s">
        <v>394</v>
      </c>
      <c r="B126" s="26" t="s">
        <v>395</v>
      </c>
      <c r="C126" s="27" t="s">
        <v>279</v>
      </c>
      <c r="D126" s="20" t="s">
        <v>2564</v>
      </c>
      <c r="E126" s="28" t="s">
        <v>2486</v>
      </c>
      <c r="F126" s="27" t="s">
        <v>2543</v>
      </c>
      <c r="G126" s="27" t="s">
        <v>2543</v>
      </c>
      <c r="H126" s="27" t="s">
        <v>2543</v>
      </c>
      <c r="I126" s="27" t="s">
        <v>2543</v>
      </c>
      <c r="J126" s="27" t="s">
        <v>2486</v>
      </c>
      <c r="K126" s="28" t="s">
        <v>2486</v>
      </c>
      <c r="L126" s="27" t="s">
        <v>135</v>
      </c>
      <c r="M126" s="27" t="s">
        <v>135</v>
      </c>
      <c r="N126" s="28" t="s">
        <v>135</v>
      </c>
      <c r="O126" s="28" t="s">
        <v>135</v>
      </c>
      <c r="P126" s="28" t="s">
        <v>2486</v>
      </c>
      <c r="Q126" s="28" t="s">
        <v>2486</v>
      </c>
      <c r="R126" s="27" t="s">
        <v>2543</v>
      </c>
      <c r="S126" s="27" t="s">
        <v>2543</v>
      </c>
      <c r="T126" s="27" t="s">
        <v>2543</v>
      </c>
      <c r="U126" s="27" t="s">
        <v>2543</v>
      </c>
      <c r="V126" s="27" t="s">
        <v>2486</v>
      </c>
      <c r="W126" s="27" t="s">
        <v>2486</v>
      </c>
      <c r="X126" s="27" t="s">
        <v>2542</v>
      </c>
      <c r="Y126" s="27" t="s">
        <v>2531</v>
      </c>
      <c r="Z126" s="27" t="s">
        <v>2531</v>
      </c>
      <c r="AA126" s="27" t="s">
        <v>2542</v>
      </c>
      <c r="AB126" s="27" t="s">
        <v>2486</v>
      </c>
      <c r="AC126" s="27" t="s">
        <v>2486</v>
      </c>
      <c r="AD126" s="27" t="s">
        <v>2543</v>
      </c>
      <c r="AE126" s="27" t="s">
        <v>2543</v>
      </c>
      <c r="AF126" s="27" t="s">
        <v>2543</v>
      </c>
      <c r="AG126" s="48" t="s">
        <v>2543</v>
      </c>
      <c r="AH126" s="48" t="s">
        <v>2486</v>
      </c>
      <c r="AI126" s="48" t="s">
        <v>2601</v>
      </c>
      <c r="AJ126" s="50" t="s">
        <v>2580</v>
      </c>
      <c r="AK126" s="51" t="s">
        <v>70</v>
      </c>
      <c r="AL126" s="27" t="s">
        <v>73</v>
      </c>
      <c r="AM126" s="32"/>
      <c r="AN126" s="30"/>
      <c r="AO126" s="26"/>
      <c r="AP126" s="7">
        <f>VLOOKUP(B:B,Table3[#All],4,0)</f>
        <v>5300</v>
      </c>
      <c r="AQ126" s="7">
        <f>calcShift1(Таблица1[[#This Row],[Столбец5]:[Столбец36]])</f>
        <v>96</v>
      </c>
      <c r="AR126" s="7">
        <f>calcShift2(Таблица1[[#This Row],[Столбец5]:[Столбец36]])</f>
        <v>47.999999999999993</v>
      </c>
      <c r="AS126" s="7">
        <f>calcShift3(Таблица1[[#This Row],[Столбец5]:[Столбец36]])</f>
        <v>0</v>
      </c>
      <c r="AT126" s="26"/>
      <c r="AU126" s="7">
        <f>calcYavka(Таблица1[[#This Row],[Столбец5]:[Столбец36]])</f>
        <v>18</v>
      </c>
      <c r="AV126" s="31"/>
      <c r="AW126" s="18">
        <f>VLOOKUP(B:B,ДОП_ВСІ!B:AS,44,0)</f>
        <v>0</v>
      </c>
      <c r="AX126" s="7">
        <f>VLOOKUP(B:B,ДОП_ВСІ!B:AQ,42,0)</f>
        <v>0</v>
      </c>
      <c r="AY126" s="7">
        <f>Таблица1[[#This Row],[Столбец47]]*30</f>
        <v>540</v>
      </c>
      <c r="AZ126" s="6">
        <f>((((Таблица1[[#This Row],[Столбец42]]/160)*Таблица1[[#This Row],[Столбец44]])*0.25)*0.35)+((((Таблица1[[#This Row],[Столбец42]]/160)*Таблица1[[#This Row],[Столбец44]])*0.5)*0.2)</f>
        <v>298.125</v>
      </c>
      <c r="BA126" s="26"/>
      <c r="BB126" s="47">
        <f>calcTS(Таблица1[[#This Row],[Столбец5]:[Столбец36]])</f>
        <v>0</v>
      </c>
    </row>
    <row r="127" spans="1:54" x14ac:dyDescent="0.35">
      <c r="A127" s="25" t="s">
        <v>396</v>
      </c>
      <c r="B127" s="26" t="s">
        <v>397</v>
      </c>
      <c r="C127" s="27" t="s">
        <v>279</v>
      </c>
      <c r="D127" s="20" t="s">
        <v>2564</v>
      </c>
      <c r="E127" s="28" t="s">
        <v>2486</v>
      </c>
      <c r="F127" s="27" t="s">
        <v>141</v>
      </c>
      <c r="G127" s="27" t="s">
        <v>141</v>
      </c>
      <c r="H127" s="27" t="s">
        <v>141</v>
      </c>
      <c r="I127" s="27" t="s">
        <v>141</v>
      </c>
      <c r="J127" s="27" t="s">
        <v>2486</v>
      </c>
      <c r="K127" s="28" t="s">
        <v>2486</v>
      </c>
      <c r="L127" s="27" t="s">
        <v>135</v>
      </c>
      <c r="M127" s="27" t="s">
        <v>135</v>
      </c>
      <c r="N127" s="28" t="s">
        <v>135</v>
      </c>
      <c r="O127" s="28" t="s">
        <v>135</v>
      </c>
      <c r="P127" s="28" t="s">
        <v>2486</v>
      </c>
      <c r="Q127" s="28" t="s">
        <v>2486</v>
      </c>
      <c r="R127" s="27" t="s">
        <v>2543</v>
      </c>
      <c r="S127" s="27" t="s">
        <v>2543</v>
      </c>
      <c r="T127" s="27" t="s">
        <v>2543</v>
      </c>
      <c r="U127" s="27" t="s">
        <v>2543</v>
      </c>
      <c r="V127" s="27" t="s">
        <v>2486</v>
      </c>
      <c r="W127" s="27" t="s">
        <v>2486</v>
      </c>
      <c r="X127" s="27" t="s">
        <v>2542</v>
      </c>
      <c r="Y127" s="27" t="s">
        <v>2543</v>
      </c>
      <c r="Z127" s="27" t="s">
        <v>2543</v>
      </c>
      <c r="AA127" s="27" t="s">
        <v>135</v>
      </c>
      <c r="AB127" s="27" t="s">
        <v>2486</v>
      </c>
      <c r="AC127" s="27" t="s">
        <v>2486</v>
      </c>
      <c r="AD127" s="27" t="s">
        <v>2543</v>
      </c>
      <c r="AE127" s="27" t="s">
        <v>2543</v>
      </c>
      <c r="AF127" s="27" t="s">
        <v>2543</v>
      </c>
      <c r="AG127" s="48" t="s">
        <v>2543</v>
      </c>
      <c r="AH127" s="48" t="s">
        <v>2486</v>
      </c>
      <c r="AI127" s="48" t="s">
        <v>2580</v>
      </c>
      <c r="AJ127" s="50" t="s">
        <v>2580</v>
      </c>
      <c r="AK127" s="51" t="s">
        <v>54</v>
      </c>
      <c r="AL127" s="27" t="s">
        <v>55</v>
      </c>
      <c r="AM127" s="32"/>
      <c r="AN127" s="30"/>
      <c r="AO127" s="26"/>
      <c r="AP127" s="7">
        <f>VLOOKUP(B:B,Table3[#All],4,0)</f>
        <v>6500</v>
      </c>
      <c r="AQ127" s="7">
        <f>calcShift1(Таблица1[[#This Row],[Столбец5]:[Столбец36]])</f>
        <v>111.99999999999999</v>
      </c>
      <c r="AR127" s="7">
        <f>calcShift2(Таблица1[[#This Row],[Столбец5]:[Столбец36]])</f>
        <v>47.999999999999993</v>
      </c>
      <c r="AS127" s="7">
        <f>calcShift3(Таблица1[[#This Row],[Столбец5]:[Столбец36]])</f>
        <v>0</v>
      </c>
      <c r="AT127" s="26"/>
      <c r="AU127" s="7">
        <f>calcYavka(Таблица1[[#This Row],[Столбец5]:[Столбец36]])</f>
        <v>20</v>
      </c>
      <c r="AV127" s="31"/>
      <c r="AW127" s="18">
        <f>VLOOKUP(B:B,ДОП_ВСІ!B:AS,44,0)</f>
        <v>0</v>
      </c>
      <c r="AX127" s="7">
        <f>VLOOKUP(B:B,ДОП_ВСІ!B:AQ,42,0)</f>
        <v>0</v>
      </c>
      <c r="AY127" s="7">
        <f>Таблица1[[#This Row],[Столбец47]]*30</f>
        <v>600</v>
      </c>
      <c r="AZ127" s="6">
        <f>((((Таблица1[[#This Row],[Столбец42]]/160)*Таблица1[[#This Row],[Столбец44]])*0.25)*0.35)+((((Таблица1[[#This Row],[Столбец42]]/160)*Таблица1[[#This Row],[Столбец44]])*0.5)*0.2)</f>
        <v>365.625</v>
      </c>
      <c r="BA127" s="26"/>
      <c r="BB127" s="47">
        <f>calcTS(Таблица1[[#This Row],[Столбец5]:[Столбец36]])</f>
        <v>0</v>
      </c>
    </row>
    <row r="128" spans="1:54" x14ac:dyDescent="0.35">
      <c r="A128" s="25" t="s">
        <v>398</v>
      </c>
      <c r="B128" s="26" t="s">
        <v>399</v>
      </c>
      <c r="C128" s="27" t="s">
        <v>279</v>
      </c>
      <c r="D128" s="20" t="s">
        <v>2564</v>
      </c>
      <c r="E128" s="28" t="s">
        <v>2486</v>
      </c>
      <c r="F128" s="27" t="s">
        <v>141</v>
      </c>
      <c r="G128" s="27" t="s">
        <v>141</v>
      </c>
      <c r="H128" s="27" t="s">
        <v>141</v>
      </c>
      <c r="I128" s="27" t="s">
        <v>2531</v>
      </c>
      <c r="J128" s="27" t="s">
        <v>2486</v>
      </c>
      <c r="K128" s="28" t="s">
        <v>2486</v>
      </c>
      <c r="L128" s="27" t="s">
        <v>135</v>
      </c>
      <c r="M128" s="27" t="s">
        <v>135</v>
      </c>
      <c r="N128" s="28" t="s">
        <v>135</v>
      </c>
      <c r="O128" s="28" t="s">
        <v>135</v>
      </c>
      <c r="P128" s="28" t="s">
        <v>2486</v>
      </c>
      <c r="Q128" s="28" t="s">
        <v>2486</v>
      </c>
      <c r="R128" s="27" t="s">
        <v>141</v>
      </c>
      <c r="S128" s="27" t="s">
        <v>2594</v>
      </c>
      <c r="T128" s="27" t="s">
        <v>2492</v>
      </c>
      <c r="U128" s="27" t="s">
        <v>2492</v>
      </c>
      <c r="V128" s="27" t="s">
        <v>2492</v>
      </c>
      <c r="W128" s="27" t="s">
        <v>2486</v>
      </c>
      <c r="X128" s="27" t="s">
        <v>2542</v>
      </c>
      <c r="Y128" s="27" t="s">
        <v>2543</v>
      </c>
      <c r="Z128" s="27" t="s">
        <v>2543</v>
      </c>
      <c r="AA128" s="27" t="s">
        <v>135</v>
      </c>
      <c r="AB128" s="27" t="s">
        <v>2486</v>
      </c>
      <c r="AC128" s="27" t="s">
        <v>2486</v>
      </c>
      <c r="AD128" s="27" t="s">
        <v>2543</v>
      </c>
      <c r="AE128" s="27" t="s">
        <v>2543</v>
      </c>
      <c r="AF128" s="27" t="s">
        <v>2543</v>
      </c>
      <c r="AG128" s="48" t="s">
        <v>2543</v>
      </c>
      <c r="AH128" s="48" t="s">
        <v>2486</v>
      </c>
      <c r="AI128" s="48" t="s">
        <v>2609</v>
      </c>
      <c r="AJ128" s="50" t="s">
        <v>2580</v>
      </c>
      <c r="AK128" s="51" t="s">
        <v>52</v>
      </c>
      <c r="AL128" s="27" t="s">
        <v>69</v>
      </c>
      <c r="AM128" s="32"/>
      <c r="AN128" s="30"/>
      <c r="AO128" s="26"/>
      <c r="AP128" s="7">
        <f>VLOOKUP(B:B,Table3[#All],4,0)</f>
        <v>6500</v>
      </c>
      <c r="AQ128" s="7">
        <f>calcShift1(Таблица1[[#This Row],[Столбец5]:[Столбец36]])</f>
        <v>84.000000000000014</v>
      </c>
      <c r="AR128" s="7">
        <f>calcShift2(Таблица1[[#This Row],[Столбец5]:[Столбец36]])</f>
        <v>47.999999999999993</v>
      </c>
      <c r="AS128" s="7">
        <f>calcShift3(Таблица1[[#This Row],[Столбец5]:[Столбец36]])</f>
        <v>0</v>
      </c>
      <c r="AT128" s="26"/>
      <c r="AU128" s="7">
        <f>calcYavka(Таблица1[[#This Row],[Столбец5]:[Столбец36]])</f>
        <v>17</v>
      </c>
      <c r="AV128" s="31"/>
      <c r="AW128" s="18">
        <f>VLOOKUP(B:B,ДОП_ВСІ!B:AS,44,0)</f>
        <v>0</v>
      </c>
      <c r="AX128" s="7">
        <f>VLOOKUP(B:B,ДОП_ВСІ!B:AQ,42,0)</f>
        <v>0</v>
      </c>
      <c r="AY128" s="7">
        <f>Таблица1[[#This Row],[Столбец47]]*30</f>
        <v>510</v>
      </c>
      <c r="AZ128" s="6">
        <f>((((Таблица1[[#This Row],[Столбец42]]/160)*Таблица1[[#This Row],[Столбец44]])*0.25)*0.35)+((((Таблица1[[#This Row],[Столбец42]]/160)*Таблица1[[#This Row],[Столбец44]])*0.5)*0.2)</f>
        <v>365.625</v>
      </c>
      <c r="BA128" s="26"/>
      <c r="BB128" s="47">
        <f>calcTS(Таблица1[[#This Row],[Столбец5]:[Столбец36]])</f>
        <v>0</v>
      </c>
    </row>
    <row r="129" spans="1:54" x14ac:dyDescent="0.35">
      <c r="A129" s="25" t="s">
        <v>400</v>
      </c>
      <c r="B129" s="26" t="s">
        <v>401</v>
      </c>
      <c r="C129" s="27" t="s">
        <v>279</v>
      </c>
      <c r="D129" s="20" t="s">
        <v>2564</v>
      </c>
      <c r="E129" s="28" t="s">
        <v>2486</v>
      </c>
      <c r="F129" s="27" t="s">
        <v>141</v>
      </c>
      <c r="G129" s="27" t="s">
        <v>141</v>
      </c>
      <c r="H129" s="27" t="s">
        <v>141</v>
      </c>
      <c r="I129" s="27" t="s">
        <v>141</v>
      </c>
      <c r="J129" s="27" t="s">
        <v>2486</v>
      </c>
      <c r="K129" s="28" t="s">
        <v>2486</v>
      </c>
      <c r="L129" s="27" t="s">
        <v>2531</v>
      </c>
      <c r="M129" s="27" t="s">
        <v>2531</v>
      </c>
      <c r="N129" s="28" t="s">
        <v>135</v>
      </c>
      <c r="O129" s="28" t="s">
        <v>135</v>
      </c>
      <c r="P129" s="28" t="s">
        <v>2486</v>
      </c>
      <c r="Q129" s="28" t="s">
        <v>2486</v>
      </c>
      <c r="R129" s="27" t="s">
        <v>141</v>
      </c>
      <c r="S129" s="27" t="s">
        <v>141</v>
      </c>
      <c r="T129" s="27" t="s">
        <v>141</v>
      </c>
      <c r="U129" s="27" t="s">
        <v>141</v>
      </c>
      <c r="V129" s="27" t="s">
        <v>2486</v>
      </c>
      <c r="W129" s="27" t="s">
        <v>2486</v>
      </c>
      <c r="X129" s="27" t="s">
        <v>2501</v>
      </c>
      <c r="Y129" s="27" t="s">
        <v>2501</v>
      </c>
      <c r="Z129" s="27" t="s">
        <v>2501</v>
      </c>
      <c r="AA129" s="27" t="s">
        <v>2501</v>
      </c>
      <c r="AB129" s="27" t="s">
        <v>2501</v>
      </c>
      <c r="AC129" s="27" t="s">
        <v>2501</v>
      </c>
      <c r="AD129" s="27" t="s">
        <v>2501</v>
      </c>
      <c r="AE129" s="27" t="s">
        <v>2501</v>
      </c>
      <c r="AF129" s="27" t="s">
        <v>2501</v>
      </c>
      <c r="AG129" s="48" t="s">
        <v>2501</v>
      </c>
      <c r="AH129" s="48" t="s">
        <v>2501</v>
      </c>
      <c r="AI129" s="48" t="s">
        <v>2588</v>
      </c>
      <c r="AJ129" s="50" t="s">
        <v>2580</v>
      </c>
      <c r="AK129" s="51" t="s">
        <v>55</v>
      </c>
      <c r="AL129" s="27" t="s">
        <v>54</v>
      </c>
      <c r="AM129" s="32"/>
      <c r="AN129" s="30"/>
      <c r="AO129" s="26"/>
      <c r="AP129" s="7">
        <f>VLOOKUP(B:B,Table3[#All],4,0)</f>
        <v>6500</v>
      </c>
      <c r="AQ129" s="7">
        <f>calcShift1(Таблица1[[#This Row],[Столбец5]:[Столбец36]])</f>
        <v>64</v>
      </c>
      <c r="AR129" s="7">
        <f>calcShift2(Таблица1[[#This Row],[Столбец5]:[Столбец36]])</f>
        <v>16</v>
      </c>
      <c r="AS129" s="7">
        <f>calcShift3(Таблица1[[#This Row],[Столбец5]:[Столбец36]])</f>
        <v>0</v>
      </c>
      <c r="AT129" s="26"/>
      <c r="AU129" s="7">
        <f>calcYavka(Таблица1[[#This Row],[Столбец5]:[Столбец36]])</f>
        <v>10</v>
      </c>
      <c r="AV129" s="31"/>
      <c r="AW129" s="18">
        <f>VLOOKUP(B:B,ДОП_ВСІ!B:AS,44,0)</f>
        <v>0</v>
      </c>
      <c r="AX129" s="7">
        <f>VLOOKUP(B:B,ДОП_ВСІ!B:AQ,42,0)</f>
        <v>0</v>
      </c>
      <c r="AY129" s="7">
        <f>Таблица1[[#This Row],[Столбец47]]*30</f>
        <v>300</v>
      </c>
      <c r="AZ129" s="6">
        <f>((((Таблица1[[#This Row],[Столбец42]]/160)*Таблица1[[#This Row],[Столбец44]])*0.25)*0.35)+((((Таблица1[[#This Row],[Столбец42]]/160)*Таблица1[[#This Row],[Столбец44]])*0.5)*0.2)</f>
        <v>121.875</v>
      </c>
      <c r="BA129" s="26"/>
      <c r="BB129" s="47">
        <f>calcTS(Таблица1[[#This Row],[Столбец5]:[Столбец36]])</f>
        <v>0</v>
      </c>
    </row>
    <row r="130" spans="1:54" ht="42" x14ac:dyDescent="0.35">
      <c r="A130" s="25" t="s">
        <v>402</v>
      </c>
      <c r="B130" s="26" t="s">
        <v>403</v>
      </c>
      <c r="C130" s="27" t="s">
        <v>288</v>
      </c>
      <c r="D130" s="20" t="s">
        <v>2564</v>
      </c>
      <c r="E130" s="28" t="s">
        <v>2543</v>
      </c>
      <c r="F130" s="27" t="s">
        <v>2486</v>
      </c>
      <c r="G130" s="27" t="s">
        <v>2486</v>
      </c>
      <c r="H130" s="27" t="s">
        <v>2542</v>
      </c>
      <c r="I130" s="27" t="s">
        <v>2542</v>
      </c>
      <c r="J130" s="27" t="s">
        <v>2542</v>
      </c>
      <c r="K130" s="28" t="s">
        <v>2542</v>
      </c>
      <c r="L130" s="27" t="s">
        <v>2486</v>
      </c>
      <c r="M130" s="27" t="s">
        <v>2486</v>
      </c>
      <c r="N130" s="28" t="s">
        <v>141</v>
      </c>
      <c r="O130" s="28" t="s">
        <v>141</v>
      </c>
      <c r="P130" s="28" t="s">
        <v>141</v>
      </c>
      <c r="Q130" s="28" t="s">
        <v>141</v>
      </c>
      <c r="R130" s="27" t="s">
        <v>2486</v>
      </c>
      <c r="S130" s="27" t="s">
        <v>2486</v>
      </c>
      <c r="T130" s="27" t="s">
        <v>2542</v>
      </c>
      <c r="U130" s="27" t="s">
        <v>2542</v>
      </c>
      <c r="V130" s="27" t="s">
        <v>2542</v>
      </c>
      <c r="W130" s="27" t="s">
        <v>2542</v>
      </c>
      <c r="X130" s="27" t="s">
        <v>2486</v>
      </c>
      <c r="Y130" s="27" t="s">
        <v>2486</v>
      </c>
      <c r="Z130" s="27" t="s">
        <v>2531</v>
      </c>
      <c r="AA130" s="28" t="s">
        <v>141</v>
      </c>
      <c r="AB130" s="27" t="s">
        <v>141</v>
      </c>
      <c r="AC130" s="27" t="s">
        <v>141</v>
      </c>
      <c r="AD130" s="27" t="s">
        <v>2486</v>
      </c>
      <c r="AE130" s="27" t="s">
        <v>2486</v>
      </c>
      <c r="AF130" s="27" t="s">
        <v>135</v>
      </c>
      <c r="AG130" s="48" t="s">
        <v>135</v>
      </c>
      <c r="AH130" s="48" t="s">
        <v>135</v>
      </c>
      <c r="AI130" s="48" t="s">
        <v>2597</v>
      </c>
      <c r="AJ130" s="50" t="s">
        <v>2580</v>
      </c>
      <c r="AK130" s="51" t="s">
        <v>72</v>
      </c>
      <c r="AL130" s="27" t="s">
        <v>71</v>
      </c>
      <c r="AM130" s="32"/>
      <c r="AN130" s="30"/>
      <c r="AO130" s="26"/>
      <c r="AP130" s="7">
        <f>VLOOKUP(B:B,Table3[#All],4,0)</f>
        <v>6500</v>
      </c>
      <c r="AQ130" s="7">
        <f>calcShift1(Таблица1[[#This Row],[Столбец5]:[Столбец36]])</f>
        <v>64</v>
      </c>
      <c r="AR130" s="7">
        <f>calcShift2(Таблица1[[#This Row],[Столбец5]:[Столбец36]])</f>
        <v>88</v>
      </c>
      <c r="AS130" s="7">
        <f>calcShift3(Таблица1[[#This Row],[Столбец5]:[Столбец36]])</f>
        <v>0</v>
      </c>
      <c r="AT130" s="26"/>
      <c r="AU130" s="7">
        <f>calcYavka(Таблица1[[#This Row],[Столбец5]:[Столбец36]])</f>
        <v>19</v>
      </c>
      <c r="AV130" s="31"/>
      <c r="AW130" s="18">
        <f>VLOOKUP(B:B,ДОП_ВСІ!B:AS,44,0)</f>
        <v>0</v>
      </c>
      <c r="AX130" s="7">
        <f>VLOOKUP(B:B,ДОП_ВСІ!B:AQ,42,0)</f>
        <v>0</v>
      </c>
      <c r="AY130" s="7">
        <f>Таблица1[[#This Row],[Столбец47]]*30</f>
        <v>570</v>
      </c>
      <c r="AZ130" s="6">
        <f>((((Таблица1[[#This Row],[Столбец42]]/160)*Таблица1[[#This Row],[Столбец44]])*0.25)*0.35)+((((Таблица1[[#This Row],[Столбец42]]/160)*Таблица1[[#This Row],[Столбец44]])*0.5)*0.2)</f>
        <v>670.3125</v>
      </c>
      <c r="BA130" s="26"/>
      <c r="BB130" s="47">
        <f>calcTS(Таблица1[[#This Row],[Столбец5]:[Столбец36]])</f>
        <v>0</v>
      </c>
    </row>
    <row r="131" spans="1:54" ht="42" x14ac:dyDescent="0.35">
      <c r="A131" s="25" t="s">
        <v>404</v>
      </c>
      <c r="B131" s="26" t="s">
        <v>405</v>
      </c>
      <c r="C131" s="27" t="s">
        <v>279</v>
      </c>
      <c r="D131" s="20" t="s">
        <v>2564</v>
      </c>
      <c r="E131" s="28" t="s">
        <v>2543</v>
      </c>
      <c r="F131" s="27" t="s">
        <v>2486</v>
      </c>
      <c r="G131" s="27" t="s">
        <v>2486</v>
      </c>
      <c r="H131" s="27" t="s">
        <v>2542</v>
      </c>
      <c r="I131" s="27" t="s">
        <v>2542</v>
      </c>
      <c r="J131" s="27" t="s">
        <v>2542</v>
      </c>
      <c r="K131" s="28" t="s">
        <v>2542</v>
      </c>
      <c r="L131" s="27" t="s">
        <v>2486</v>
      </c>
      <c r="M131" s="27" t="s">
        <v>2486</v>
      </c>
      <c r="N131" s="28" t="s">
        <v>141</v>
      </c>
      <c r="O131" s="28" t="s">
        <v>141</v>
      </c>
      <c r="P131" s="28" t="s">
        <v>141</v>
      </c>
      <c r="Q131" s="28" t="s">
        <v>141</v>
      </c>
      <c r="R131" s="27" t="s">
        <v>2486</v>
      </c>
      <c r="S131" s="27" t="s">
        <v>2486</v>
      </c>
      <c r="T131" s="27" t="s">
        <v>2542</v>
      </c>
      <c r="U131" s="27" t="s">
        <v>2542</v>
      </c>
      <c r="V131" s="27" t="s">
        <v>2542</v>
      </c>
      <c r="W131" s="27" t="s">
        <v>2542</v>
      </c>
      <c r="X131" s="27" t="s">
        <v>2486</v>
      </c>
      <c r="Y131" s="27" t="s">
        <v>2486</v>
      </c>
      <c r="Z131" s="27" t="s">
        <v>2570</v>
      </c>
      <c r="AA131" s="27" t="s">
        <v>141</v>
      </c>
      <c r="AB131" s="27" t="s">
        <v>141</v>
      </c>
      <c r="AC131" s="27" t="s">
        <v>141</v>
      </c>
      <c r="AD131" s="27" t="s">
        <v>2486</v>
      </c>
      <c r="AE131" s="27" t="s">
        <v>2486</v>
      </c>
      <c r="AF131" s="27" t="s">
        <v>135</v>
      </c>
      <c r="AG131" s="48" t="s">
        <v>135</v>
      </c>
      <c r="AH131" s="48" t="s">
        <v>135</v>
      </c>
      <c r="AI131" s="48" t="s">
        <v>2610</v>
      </c>
      <c r="AJ131" s="50" t="s">
        <v>2580</v>
      </c>
      <c r="AK131" s="51" t="s">
        <v>54</v>
      </c>
      <c r="AL131" s="27" t="s">
        <v>55</v>
      </c>
      <c r="AM131" s="32"/>
      <c r="AN131" s="30"/>
      <c r="AO131" s="26"/>
      <c r="AP131" s="7">
        <f>VLOOKUP(B:B,Table3[#All],4,0)</f>
        <v>6500</v>
      </c>
      <c r="AQ131" s="7">
        <f>calcShift1(Таблица1[[#This Row],[Столбец5]:[Столбец36]])</f>
        <v>71</v>
      </c>
      <c r="AR131" s="7">
        <f>calcShift2(Таблица1[[#This Row],[Столбец5]:[Столбец36]])</f>
        <v>88</v>
      </c>
      <c r="AS131" s="7">
        <f>calcShift3(Таблица1[[#This Row],[Столбец5]:[Столбец36]])</f>
        <v>0</v>
      </c>
      <c r="AT131" s="26"/>
      <c r="AU131" s="7">
        <f>calcYavka(Таблица1[[#This Row],[Столбец5]:[Столбец36]])</f>
        <v>20</v>
      </c>
      <c r="AV131" s="31"/>
      <c r="AW131" s="18">
        <f>VLOOKUP(B:B,ДОП_ВСІ!B:AS,44,0)</f>
        <v>0</v>
      </c>
      <c r="AX131" s="7">
        <f>VLOOKUP(B:B,ДОП_ВСІ!B:AQ,42,0)</f>
        <v>0</v>
      </c>
      <c r="AY131" s="7">
        <f>Таблица1[[#This Row],[Столбец47]]*30</f>
        <v>600</v>
      </c>
      <c r="AZ131" s="6">
        <f>((((Таблица1[[#This Row],[Столбец42]]/160)*Таблица1[[#This Row],[Столбец44]])*0.25)*0.35)+((((Таблица1[[#This Row],[Столбец42]]/160)*Таблица1[[#This Row],[Столбец44]])*0.5)*0.2)</f>
        <v>670.3125</v>
      </c>
      <c r="BA131" s="26"/>
      <c r="BB131" s="47">
        <f>calcTS(Таблица1[[#This Row],[Столбец5]:[Столбец36]])</f>
        <v>0</v>
      </c>
    </row>
    <row r="132" spans="1:54" ht="42" x14ac:dyDescent="0.35">
      <c r="A132" s="25" t="s">
        <v>406</v>
      </c>
      <c r="B132" s="26" t="s">
        <v>407</v>
      </c>
      <c r="C132" s="27" t="s">
        <v>279</v>
      </c>
      <c r="D132" s="20" t="s">
        <v>2564</v>
      </c>
      <c r="E132" s="28" t="s">
        <v>2543</v>
      </c>
      <c r="F132" s="27" t="s">
        <v>2486</v>
      </c>
      <c r="G132" s="27" t="s">
        <v>2486</v>
      </c>
      <c r="H132" s="27" t="s">
        <v>2542</v>
      </c>
      <c r="I132" s="27" t="s">
        <v>2542</v>
      </c>
      <c r="J132" s="27" t="s">
        <v>2542</v>
      </c>
      <c r="K132" s="28" t="s">
        <v>2542</v>
      </c>
      <c r="L132" s="27" t="s">
        <v>2486</v>
      </c>
      <c r="M132" s="27" t="s">
        <v>2486</v>
      </c>
      <c r="N132" s="28" t="s">
        <v>141</v>
      </c>
      <c r="O132" s="28" t="s">
        <v>141</v>
      </c>
      <c r="P132" s="28" t="s">
        <v>141</v>
      </c>
      <c r="Q132" s="28" t="s">
        <v>141</v>
      </c>
      <c r="R132" s="27" t="s">
        <v>2486</v>
      </c>
      <c r="S132" s="27" t="s">
        <v>2486</v>
      </c>
      <c r="T132" s="27" t="s">
        <v>2542</v>
      </c>
      <c r="U132" s="27" t="s">
        <v>2611</v>
      </c>
      <c r="V132" s="27" t="s">
        <v>2542</v>
      </c>
      <c r="W132" s="27" t="s">
        <v>135</v>
      </c>
      <c r="X132" s="27" t="s">
        <v>2486</v>
      </c>
      <c r="Y132" s="27" t="s">
        <v>2486</v>
      </c>
      <c r="Z132" s="27" t="s">
        <v>2565</v>
      </c>
      <c r="AA132" s="27" t="s">
        <v>141</v>
      </c>
      <c r="AB132" s="27" t="s">
        <v>141</v>
      </c>
      <c r="AC132" s="27" t="s">
        <v>141</v>
      </c>
      <c r="AD132" s="27" t="s">
        <v>2486</v>
      </c>
      <c r="AE132" s="27" t="s">
        <v>2486</v>
      </c>
      <c r="AF132" s="27" t="s">
        <v>135</v>
      </c>
      <c r="AG132" s="48" t="s">
        <v>135</v>
      </c>
      <c r="AH132" s="48" t="s">
        <v>135</v>
      </c>
      <c r="AI132" s="48" t="s">
        <v>2612</v>
      </c>
      <c r="AJ132" s="50" t="s">
        <v>2580</v>
      </c>
      <c r="AK132" s="51" t="s">
        <v>54</v>
      </c>
      <c r="AL132" s="27" t="s">
        <v>55</v>
      </c>
      <c r="AM132" s="32"/>
      <c r="AN132" s="30"/>
      <c r="AO132" s="26"/>
      <c r="AP132" s="7">
        <f>VLOOKUP(B:B,Table3[#All],4,0)</f>
        <v>6500</v>
      </c>
      <c r="AQ132" s="7">
        <f>calcShift1(Таблица1[[#This Row],[Столбец5]:[Столбец36]])</f>
        <v>70</v>
      </c>
      <c r="AR132" s="7">
        <f>calcShift2(Таблица1[[#This Row],[Столбец5]:[Столбец36]])</f>
        <v>85</v>
      </c>
      <c r="AS132" s="7">
        <f>calcShift3(Таблица1[[#This Row],[Столбец5]:[Столбец36]])</f>
        <v>0</v>
      </c>
      <c r="AT132" s="26"/>
      <c r="AU132" s="7">
        <f>calcYavka(Таблица1[[#This Row],[Столбец5]:[Столбец36]])</f>
        <v>20</v>
      </c>
      <c r="AV132" s="31"/>
      <c r="AW132" s="18">
        <f>VLOOKUP(B:B,ДОП_ВСІ!B:AS,44,0)</f>
        <v>0</v>
      </c>
      <c r="AX132" s="7">
        <f>VLOOKUP(B:B,ДОП_ВСІ!B:AQ,42,0)</f>
        <v>0</v>
      </c>
      <c r="AY132" s="7">
        <f>Таблица1[[#This Row],[Столбец47]]*30</f>
        <v>600</v>
      </c>
      <c r="AZ132" s="6">
        <f>((((Таблица1[[#This Row],[Столбец42]]/160)*Таблица1[[#This Row],[Столбец44]])*0.25)*0.35)+((((Таблица1[[#This Row],[Столбец42]]/160)*Таблица1[[#This Row],[Столбец44]])*0.5)*0.2)</f>
        <v>647.4609375</v>
      </c>
      <c r="BA132" s="26"/>
      <c r="BB132" s="47">
        <f>calcTS(Таблица1[[#This Row],[Столбец5]:[Столбец36]])</f>
        <v>0</v>
      </c>
    </row>
    <row r="133" spans="1:54" x14ac:dyDescent="0.35">
      <c r="A133" s="25" t="s">
        <v>408</v>
      </c>
      <c r="B133" s="26" t="s">
        <v>409</v>
      </c>
      <c r="C133" s="27" t="s">
        <v>279</v>
      </c>
      <c r="D133" s="20" t="s">
        <v>2564</v>
      </c>
      <c r="E133" s="28" t="s">
        <v>2486</v>
      </c>
      <c r="F133" s="27" t="s">
        <v>2531</v>
      </c>
      <c r="G133" s="27" t="s">
        <v>141</v>
      </c>
      <c r="H133" s="27" t="s">
        <v>2531</v>
      </c>
      <c r="I133" s="27" t="s">
        <v>141</v>
      </c>
      <c r="J133" s="27" t="s">
        <v>2486</v>
      </c>
      <c r="K133" s="28" t="s">
        <v>2486</v>
      </c>
      <c r="L133" s="27" t="s">
        <v>135</v>
      </c>
      <c r="M133" s="27" t="s">
        <v>135</v>
      </c>
      <c r="N133" s="28" t="s">
        <v>135</v>
      </c>
      <c r="O133" s="28" t="s">
        <v>135</v>
      </c>
      <c r="P133" s="28" t="s">
        <v>2486</v>
      </c>
      <c r="Q133" s="28" t="s">
        <v>2486</v>
      </c>
      <c r="R133" s="27" t="s">
        <v>141</v>
      </c>
      <c r="S133" s="27" t="s">
        <v>141</v>
      </c>
      <c r="T133" s="27" t="s">
        <v>141</v>
      </c>
      <c r="U133" s="27" t="s">
        <v>141</v>
      </c>
      <c r="V133" s="27" t="s">
        <v>2486</v>
      </c>
      <c r="W133" s="27" t="s">
        <v>2486</v>
      </c>
      <c r="X133" s="27" t="s">
        <v>2542</v>
      </c>
      <c r="Y133" s="27" t="s">
        <v>141</v>
      </c>
      <c r="Z133" s="27" t="s">
        <v>141</v>
      </c>
      <c r="AA133" s="27" t="s">
        <v>135</v>
      </c>
      <c r="AB133" s="27" t="s">
        <v>2486</v>
      </c>
      <c r="AC133" s="27" t="s">
        <v>2486</v>
      </c>
      <c r="AD133" s="27" t="s">
        <v>141</v>
      </c>
      <c r="AE133" s="27" t="s">
        <v>141</v>
      </c>
      <c r="AF133" s="27" t="s">
        <v>141</v>
      </c>
      <c r="AG133" s="48" t="s">
        <v>141</v>
      </c>
      <c r="AH133" s="48" t="s">
        <v>2486</v>
      </c>
      <c r="AI133" s="48" t="s">
        <v>2601</v>
      </c>
      <c r="AJ133" s="50" t="s">
        <v>2580</v>
      </c>
      <c r="AK133" s="51" t="s">
        <v>70</v>
      </c>
      <c r="AL133" s="27" t="s">
        <v>73</v>
      </c>
      <c r="AM133" s="32"/>
      <c r="AN133" s="30"/>
      <c r="AO133" s="26"/>
      <c r="AP133" s="7">
        <f>VLOOKUP(B:B,Table3[#All],4,0)</f>
        <v>6500</v>
      </c>
      <c r="AQ133" s="7">
        <f>calcShift1(Таблица1[[#This Row],[Столбец5]:[Столбец36]])</f>
        <v>96</v>
      </c>
      <c r="AR133" s="7">
        <f>calcShift2(Таблица1[[#This Row],[Столбец5]:[Столбец36]])</f>
        <v>47.999999999999993</v>
      </c>
      <c r="AS133" s="7">
        <f>calcShift3(Таблица1[[#This Row],[Столбец5]:[Столбец36]])</f>
        <v>0</v>
      </c>
      <c r="AT133" s="26"/>
      <c r="AU133" s="7">
        <f>calcYavka(Таблица1[[#This Row],[Столбец5]:[Столбец36]])</f>
        <v>18</v>
      </c>
      <c r="AV133" s="31"/>
      <c r="AW133" s="18">
        <f>VLOOKUP(B:B,ДОП_ВСІ!B:AS,44,0)</f>
        <v>162.5</v>
      </c>
      <c r="AX133" s="7">
        <f>VLOOKUP(B:B,ДОП_ВСІ!B:AQ,42,0)</f>
        <v>0</v>
      </c>
      <c r="AY133" s="7">
        <f>Таблица1[[#This Row],[Столбец47]]*30</f>
        <v>540</v>
      </c>
      <c r="AZ133" s="6">
        <f>((((Таблица1[[#This Row],[Столбец42]]/160)*Таблица1[[#This Row],[Столбец44]])*0.25)*0.35)+((((Таблица1[[#This Row],[Столбец42]]/160)*Таблица1[[#This Row],[Столбец44]])*0.5)*0.2)</f>
        <v>365.625</v>
      </c>
      <c r="BA133" s="26"/>
      <c r="BB133" s="47">
        <f>calcTS(Таблица1[[#This Row],[Столбец5]:[Столбец36]])</f>
        <v>0</v>
      </c>
    </row>
    <row r="134" spans="1:54" x14ac:dyDescent="0.35">
      <c r="A134" s="25" t="s">
        <v>410</v>
      </c>
      <c r="B134" s="26" t="s">
        <v>411</v>
      </c>
      <c r="C134" s="27" t="s">
        <v>279</v>
      </c>
      <c r="D134" s="20" t="s">
        <v>2564</v>
      </c>
      <c r="E134" s="28" t="s">
        <v>2486</v>
      </c>
      <c r="F134" s="27" t="s">
        <v>2543</v>
      </c>
      <c r="G134" s="27" t="s">
        <v>141</v>
      </c>
      <c r="H134" s="27" t="s">
        <v>141</v>
      </c>
      <c r="I134" s="27" t="s">
        <v>141</v>
      </c>
      <c r="J134" s="27" t="s">
        <v>2486</v>
      </c>
      <c r="K134" s="28" t="s">
        <v>2486</v>
      </c>
      <c r="L134" s="27" t="s">
        <v>135</v>
      </c>
      <c r="M134" s="27" t="s">
        <v>135</v>
      </c>
      <c r="N134" s="28" t="s">
        <v>135</v>
      </c>
      <c r="O134" s="28" t="s">
        <v>135</v>
      </c>
      <c r="P134" s="28" t="s">
        <v>2486</v>
      </c>
      <c r="Q134" s="28" t="s">
        <v>2486</v>
      </c>
      <c r="R134" s="27" t="s">
        <v>141</v>
      </c>
      <c r="S134" s="27" t="s">
        <v>141</v>
      </c>
      <c r="T134" s="27" t="s">
        <v>141</v>
      </c>
      <c r="U134" s="27" t="s">
        <v>141</v>
      </c>
      <c r="V134" s="27" t="s">
        <v>2486</v>
      </c>
      <c r="W134" s="27" t="s">
        <v>2486</v>
      </c>
      <c r="X134" s="27" t="s">
        <v>135</v>
      </c>
      <c r="Y134" s="27" t="s">
        <v>2531</v>
      </c>
      <c r="Z134" s="27" t="s">
        <v>141</v>
      </c>
      <c r="AA134" s="27" t="s">
        <v>135</v>
      </c>
      <c r="AB134" s="27" t="s">
        <v>2486</v>
      </c>
      <c r="AC134" s="27" t="s">
        <v>2486</v>
      </c>
      <c r="AD134" s="27" t="s">
        <v>141</v>
      </c>
      <c r="AE134" s="27" t="s">
        <v>141</v>
      </c>
      <c r="AF134" s="27" t="s">
        <v>141</v>
      </c>
      <c r="AG134" s="48" t="s">
        <v>141</v>
      </c>
      <c r="AH134" s="48" t="s">
        <v>2486</v>
      </c>
      <c r="AI134" s="48" t="s">
        <v>2597</v>
      </c>
      <c r="AJ134" s="50" t="s">
        <v>2580</v>
      </c>
      <c r="AK134" s="51" t="s">
        <v>72</v>
      </c>
      <c r="AL134" s="27" t="s">
        <v>71</v>
      </c>
      <c r="AM134" s="32"/>
      <c r="AN134" s="30"/>
      <c r="AO134" s="26"/>
      <c r="AP134" s="7">
        <f>VLOOKUP(B:B,Table3[#All],4,0)</f>
        <v>5300</v>
      </c>
      <c r="AQ134" s="7">
        <f>calcShift1(Таблица1[[#This Row],[Столбец5]:[Столбец36]])</f>
        <v>104</v>
      </c>
      <c r="AR134" s="7">
        <f>calcShift2(Таблица1[[#This Row],[Столбец5]:[Столбец36]])</f>
        <v>47.999999999999993</v>
      </c>
      <c r="AS134" s="7">
        <f>calcShift3(Таблица1[[#This Row],[Столбец5]:[Столбец36]])</f>
        <v>0</v>
      </c>
      <c r="AT134" s="26"/>
      <c r="AU134" s="7">
        <f>calcYavka(Таблица1[[#This Row],[Столбец5]:[Столбец36]])</f>
        <v>19</v>
      </c>
      <c r="AV134" s="31"/>
      <c r="AW134" s="18">
        <f>VLOOKUP(B:B,ДОП_ВСІ!B:AS,44,0)</f>
        <v>0</v>
      </c>
      <c r="AX134" s="7">
        <f>VLOOKUP(B:B,ДОП_ВСІ!B:AQ,42,0)</f>
        <v>0</v>
      </c>
      <c r="AY134" s="7">
        <f>Таблица1[[#This Row],[Столбец47]]*30</f>
        <v>570</v>
      </c>
      <c r="AZ134" s="6">
        <f>((((Таблица1[[#This Row],[Столбец42]]/160)*Таблица1[[#This Row],[Столбец44]])*0.25)*0.35)+((((Таблица1[[#This Row],[Столбец42]]/160)*Таблица1[[#This Row],[Столбец44]])*0.5)*0.2)</f>
        <v>298.125</v>
      </c>
      <c r="BA134" s="26"/>
      <c r="BB134" s="47">
        <f>calcTS(Таблица1[[#This Row],[Столбец5]:[Столбец36]])</f>
        <v>0</v>
      </c>
    </row>
    <row r="135" spans="1:54" x14ac:dyDescent="0.35">
      <c r="A135" s="25" t="s">
        <v>412</v>
      </c>
      <c r="B135" s="26" t="s">
        <v>413</v>
      </c>
      <c r="C135" s="27" t="s">
        <v>279</v>
      </c>
      <c r="D135" s="20" t="s">
        <v>2564</v>
      </c>
      <c r="E135" s="28" t="s">
        <v>2486</v>
      </c>
      <c r="F135" s="27" t="s">
        <v>141</v>
      </c>
      <c r="G135" s="27" t="s">
        <v>141</v>
      </c>
      <c r="H135" s="27" t="s">
        <v>141</v>
      </c>
      <c r="I135" s="27" t="s">
        <v>141</v>
      </c>
      <c r="J135" s="27" t="s">
        <v>2486</v>
      </c>
      <c r="K135" s="28" t="s">
        <v>2486</v>
      </c>
      <c r="L135" s="27" t="s">
        <v>135</v>
      </c>
      <c r="M135" s="27" t="s">
        <v>135</v>
      </c>
      <c r="N135" s="28" t="s">
        <v>135</v>
      </c>
      <c r="O135" s="28" t="s">
        <v>135</v>
      </c>
      <c r="P135" s="28" t="s">
        <v>2486</v>
      </c>
      <c r="Q135" s="28" t="s">
        <v>2486</v>
      </c>
      <c r="R135" s="27" t="s">
        <v>141</v>
      </c>
      <c r="S135" s="27" t="s">
        <v>141</v>
      </c>
      <c r="T135" s="27" t="s">
        <v>141</v>
      </c>
      <c r="U135" s="27" t="s">
        <v>141</v>
      </c>
      <c r="V135" s="27" t="s">
        <v>2486</v>
      </c>
      <c r="W135" s="27" t="s">
        <v>2486</v>
      </c>
      <c r="X135" s="27" t="s">
        <v>135</v>
      </c>
      <c r="Y135" s="27" t="s">
        <v>2543</v>
      </c>
      <c r="Z135" s="27" t="s">
        <v>141</v>
      </c>
      <c r="AA135" s="27" t="s">
        <v>2542</v>
      </c>
      <c r="AB135" s="27" t="s">
        <v>2486</v>
      </c>
      <c r="AC135" s="27" t="s">
        <v>2486</v>
      </c>
      <c r="AD135" s="27" t="s">
        <v>141</v>
      </c>
      <c r="AE135" s="27" t="s">
        <v>141</v>
      </c>
      <c r="AF135" s="27" t="s">
        <v>141</v>
      </c>
      <c r="AG135" s="48" t="s">
        <v>141</v>
      </c>
      <c r="AH135" s="48" t="s">
        <v>2486</v>
      </c>
      <c r="AI135" s="48" t="s">
        <v>2580</v>
      </c>
      <c r="AJ135" s="50" t="s">
        <v>2580</v>
      </c>
      <c r="AK135" s="51" t="s">
        <v>54</v>
      </c>
      <c r="AL135" s="27" t="s">
        <v>55</v>
      </c>
      <c r="AM135" s="32"/>
      <c r="AN135" s="30"/>
      <c r="AO135" s="26"/>
      <c r="AP135" s="7">
        <f>VLOOKUP(B:B,Table3[#All],4,0)</f>
        <v>6500</v>
      </c>
      <c r="AQ135" s="7">
        <f>calcShift1(Таблица1[[#This Row],[Столбец5]:[Столбец36]])</f>
        <v>111.99999999999999</v>
      </c>
      <c r="AR135" s="7">
        <f>calcShift2(Таблица1[[#This Row],[Столбец5]:[Столбец36]])</f>
        <v>47.999999999999993</v>
      </c>
      <c r="AS135" s="7">
        <f>calcShift3(Таблица1[[#This Row],[Столбец5]:[Столбец36]])</f>
        <v>0</v>
      </c>
      <c r="AT135" s="26"/>
      <c r="AU135" s="7">
        <f>calcYavka(Таблица1[[#This Row],[Столбец5]:[Столбец36]])</f>
        <v>20</v>
      </c>
      <c r="AV135" s="31"/>
      <c r="AW135" s="18">
        <f>VLOOKUP(B:B,ДОП_ВСІ!B:AS,44,0)</f>
        <v>0</v>
      </c>
      <c r="AX135" s="7">
        <f>VLOOKUP(B:B,ДОП_ВСІ!B:AQ,42,0)</f>
        <v>0</v>
      </c>
      <c r="AY135" s="7">
        <f>Таблица1[[#This Row],[Столбец47]]*30</f>
        <v>600</v>
      </c>
      <c r="AZ135" s="6">
        <f>((((Таблица1[[#This Row],[Столбец42]]/160)*Таблица1[[#This Row],[Столбец44]])*0.25)*0.35)+((((Таблица1[[#This Row],[Столбец42]]/160)*Таблица1[[#This Row],[Столбец44]])*0.5)*0.2)</f>
        <v>365.625</v>
      </c>
      <c r="BA135" s="26"/>
      <c r="BB135" s="47">
        <f>calcTS(Таблица1[[#This Row],[Столбец5]:[Столбец36]])</f>
        <v>0</v>
      </c>
    </row>
    <row r="136" spans="1:54" x14ac:dyDescent="0.35">
      <c r="A136" s="25" t="s">
        <v>414</v>
      </c>
      <c r="B136" s="26" t="s">
        <v>415</v>
      </c>
      <c r="C136" s="27" t="s">
        <v>279</v>
      </c>
      <c r="D136" s="20" t="s">
        <v>2564</v>
      </c>
      <c r="E136" s="28" t="s">
        <v>135</v>
      </c>
      <c r="F136" s="27" t="s">
        <v>2531</v>
      </c>
      <c r="G136" s="27" t="s">
        <v>135</v>
      </c>
      <c r="H136" s="27" t="s">
        <v>2486</v>
      </c>
      <c r="I136" s="27" t="s">
        <v>2486</v>
      </c>
      <c r="J136" s="27" t="s">
        <v>2575</v>
      </c>
      <c r="K136" s="28" t="s">
        <v>141</v>
      </c>
      <c r="L136" s="27" t="s">
        <v>141</v>
      </c>
      <c r="M136" s="27" t="s">
        <v>141</v>
      </c>
      <c r="N136" s="28" t="s">
        <v>2486</v>
      </c>
      <c r="O136" s="28" t="s">
        <v>2486</v>
      </c>
      <c r="P136" s="28" t="s">
        <v>135</v>
      </c>
      <c r="Q136" s="28" t="s">
        <v>135</v>
      </c>
      <c r="R136" s="27" t="s">
        <v>135</v>
      </c>
      <c r="S136" s="27" t="s">
        <v>135</v>
      </c>
      <c r="T136" s="27" t="s">
        <v>2486</v>
      </c>
      <c r="U136" s="27" t="s">
        <v>2486</v>
      </c>
      <c r="V136" s="27" t="s">
        <v>2575</v>
      </c>
      <c r="W136" s="27" t="s">
        <v>141</v>
      </c>
      <c r="X136" s="27" t="s">
        <v>141</v>
      </c>
      <c r="Y136" s="27" t="s">
        <v>2485</v>
      </c>
      <c r="Z136" s="27" t="s">
        <v>2486</v>
      </c>
      <c r="AA136" s="27" t="s">
        <v>2486</v>
      </c>
      <c r="AB136" s="27" t="s">
        <v>135</v>
      </c>
      <c r="AC136" s="27" t="s">
        <v>135</v>
      </c>
      <c r="AD136" s="27" t="s">
        <v>135</v>
      </c>
      <c r="AE136" s="27" t="s">
        <v>2613</v>
      </c>
      <c r="AF136" s="27" t="s">
        <v>2486</v>
      </c>
      <c r="AG136" s="48" t="s">
        <v>2486</v>
      </c>
      <c r="AH136" s="48" t="s">
        <v>141</v>
      </c>
      <c r="AI136" s="48" t="s">
        <v>2614</v>
      </c>
      <c r="AJ136" s="50" t="s">
        <v>2580</v>
      </c>
      <c r="AK136" s="51" t="s">
        <v>70</v>
      </c>
      <c r="AL136" s="27" t="s">
        <v>73</v>
      </c>
      <c r="AM136" s="32"/>
      <c r="AN136" s="30"/>
      <c r="AO136" s="26"/>
      <c r="AP136" s="7">
        <f>VLOOKUP(B:B,Table3[#All],4,0)</f>
        <v>6500</v>
      </c>
      <c r="AQ136" s="7">
        <f>calcShift1(Таблица1[[#This Row],[Столбец5]:[Столбец36]])</f>
        <v>58</v>
      </c>
      <c r="AR136" s="7">
        <f>calcShift2(Таблица1[[#This Row],[Столбец5]:[Столбец36]])</f>
        <v>78</v>
      </c>
      <c r="AS136" s="7">
        <f>calcShift3(Таблица1[[#This Row],[Столбец5]:[Столбец36]])</f>
        <v>0</v>
      </c>
      <c r="AT136" s="26"/>
      <c r="AU136" s="7">
        <f>calcYavka(Таблица1[[#This Row],[Столбец5]:[Столбец36]])</f>
        <v>18</v>
      </c>
      <c r="AV136" s="31"/>
      <c r="AW136" s="18">
        <f>VLOOKUP(B:B,ДОП_ВСІ!B:AS,44,0)</f>
        <v>0</v>
      </c>
      <c r="AX136" s="7">
        <f>VLOOKUP(B:B,ДОП_ВСІ!B:AQ,42,0)</f>
        <v>0</v>
      </c>
      <c r="AY136" s="7">
        <f>Таблица1[[#This Row],[Столбец47]]*30</f>
        <v>540</v>
      </c>
      <c r="AZ136" s="6">
        <f>((((Таблица1[[#This Row],[Столбец42]]/160)*Таблица1[[#This Row],[Столбец44]])*0.25)*0.35)+((((Таблица1[[#This Row],[Столбец42]]/160)*Таблица1[[#This Row],[Столбец44]])*0.5)*0.2)</f>
        <v>594.140625</v>
      </c>
      <c r="BA136" s="26"/>
      <c r="BB136" s="47">
        <f>calcTS(Таблица1[[#This Row],[Столбец5]:[Столбец36]])</f>
        <v>0</v>
      </c>
    </row>
    <row r="137" spans="1:54" x14ac:dyDescent="0.35">
      <c r="A137" s="25" t="s">
        <v>416</v>
      </c>
      <c r="B137" s="26" t="s">
        <v>417</v>
      </c>
      <c r="C137" s="27" t="s">
        <v>288</v>
      </c>
      <c r="D137" s="20" t="s">
        <v>2564</v>
      </c>
      <c r="E137" s="28" t="s">
        <v>2531</v>
      </c>
      <c r="F137" s="27" t="s">
        <v>135</v>
      </c>
      <c r="G137" s="27" t="s">
        <v>135</v>
      </c>
      <c r="H137" s="27" t="s">
        <v>2486</v>
      </c>
      <c r="I137" s="27" t="s">
        <v>2486</v>
      </c>
      <c r="J137" s="2" t="s">
        <v>141</v>
      </c>
      <c r="K137" s="28" t="s">
        <v>141</v>
      </c>
      <c r="L137" s="27" t="s">
        <v>141</v>
      </c>
      <c r="M137" s="27" t="s">
        <v>141</v>
      </c>
      <c r="N137" s="28" t="s">
        <v>2486</v>
      </c>
      <c r="O137" s="28" t="s">
        <v>2486</v>
      </c>
      <c r="P137" s="28" t="s">
        <v>135</v>
      </c>
      <c r="Q137" s="28" t="s">
        <v>135</v>
      </c>
      <c r="R137" s="27" t="s">
        <v>135</v>
      </c>
      <c r="S137" s="27" t="s">
        <v>135</v>
      </c>
      <c r="T137" s="2" t="s">
        <v>2486</v>
      </c>
      <c r="U137" s="27" t="s">
        <v>2486</v>
      </c>
      <c r="V137" s="27" t="s">
        <v>141</v>
      </c>
      <c r="W137" s="27" t="s">
        <v>141</v>
      </c>
      <c r="X137" s="27" t="s">
        <v>141</v>
      </c>
      <c r="Y137" s="27" t="s">
        <v>141</v>
      </c>
      <c r="Z137" s="27" t="s">
        <v>2486</v>
      </c>
      <c r="AA137" s="27" t="s">
        <v>2486</v>
      </c>
      <c r="AB137" s="27" t="s">
        <v>135</v>
      </c>
      <c r="AC137" s="27" t="s">
        <v>135</v>
      </c>
      <c r="AD137" s="27" t="s">
        <v>135</v>
      </c>
      <c r="AE137" s="27" t="s">
        <v>135</v>
      </c>
      <c r="AF137" s="27" t="s">
        <v>2486</v>
      </c>
      <c r="AG137" s="48" t="s">
        <v>2486</v>
      </c>
      <c r="AH137" s="48" t="s">
        <v>141</v>
      </c>
      <c r="AI137" s="48" t="s">
        <v>2597</v>
      </c>
      <c r="AJ137" s="50" t="s">
        <v>2580</v>
      </c>
      <c r="AK137" s="51" t="s">
        <v>72</v>
      </c>
      <c r="AL137" s="27" t="s">
        <v>71</v>
      </c>
      <c r="AM137" s="32"/>
      <c r="AN137" s="30"/>
      <c r="AO137" s="26"/>
      <c r="AP137" s="7">
        <f>VLOOKUP(B:B,Table3[#All],4,0)</f>
        <v>6500</v>
      </c>
      <c r="AQ137" s="7">
        <f>calcShift1(Таблица1[[#This Row],[Столбец5]:[Столбец36]])</f>
        <v>72</v>
      </c>
      <c r="AR137" s="7">
        <f>calcShift2(Таблица1[[#This Row],[Столбец5]:[Столбец36]])</f>
        <v>80</v>
      </c>
      <c r="AS137" s="7">
        <f>calcShift3(Таблица1[[#This Row],[Столбец5]:[Столбец36]])</f>
        <v>0</v>
      </c>
      <c r="AT137" s="26"/>
      <c r="AU137" s="7">
        <f>calcYavka(Таблица1[[#This Row],[Столбец5]:[Столбец36]])</f>
        <v>19</v>
      </c>
      <c r="AV137" s="31"/>
      <c r="AW137" s="18">
        <f>VLOOKUP(B:B,ДОП_ВСІ!B:AS,44,0)</f>
        <v>0</v>
      </c>
      <c r="AX137" s="7">
        <f>VLOOKUP(B:B,ДОП_ВСІ!B:AQ,42,0)</f>
        <v>0</v>
      </c>
      <c r="AY137" s="7">
        <f>Таблица1[[#This Row],[Столбец47]]*30</f>
        <v>570</v>
      </c>
      <c r="AZ137" s="6">
        <f>((((Таблица1[[#This Row],[Столбец42]]/160)*Таблица1[[#This Row],[Столбец44]])*0.25)*0.35)+((((Таблица1[[#This Row],[Столбец42]]/160)*Таблица1[[#This Row],[Столбец44]])*0.5)*0.2)</f>
        <v>609.375</v>
      </c>
      <c r="BA137" s="26"/>
      <c r="BB137" s="47">
        <f>calcTS(Таблица1[[#This Row],[Столбец5]:[Столбец36]])</f>
        <v>0</v>
      </c>
    </row>
    <row r="138" spans="1:54" x14ac:dyDescent="0.35">
      <c r="A138" s="25" t="s">
        <v>418</v>
      </c>
      <c r="B138" s="6" t="s">
        <v>2651</v>
      </c>
      <c r="C138" s="27" t="s">
        <v>279</v>
      </c>
      <c r="D138" s="20" t="s">
        <v>2564</v>
      </c>
      <c r="E138" s="28" t="s">
        <v>2486</v>
      </c>
      <c r="F138" s="27" t="s">
        <v>2486</v>
      </c>
      <c r="G138" s="27" t="s">
        <v>2486</v>
      </c>
      <c r="H138" s="27" t="s">
        <v>2486</v>
      </c>
      <c r="I138" s="28" t="s">
        <v>2486</v>
      </c>
      <c r="J138" s="27" t="s">
        <v>2486</v>
      </c>
      <c r="K138" s="28" t="s">
        <v>2486</v>
      </c>
      <c r="L138" s="27" t="s">
        <v>2486</v>
      </c>
      <c r="M138" s="27" t="s">
        <v>2486</v>
      </c>
      <c r="N138" s="28" t="s">
        <v>2486</v>
      </c>
      <c r="O138" s="28" t="s">
        <v>2486</v>
      </c>
      <c r="P138" s="28" t="s">
        <v>2486</v>
      </c>
      <c r="Q138" s="28" t="s">
        <v>2486</v>
      </c>
      <c r="R138" s="27" t="s">
        <v>2486</v>
      </c>
      <c r="S138" s="27" t="s">
        <v>2486</v>
      </c>
      <c r="T138" s="27" t="s">
        <v>2486</v>
      </c>
      <c r="U138" s="27" t="s">
        <v>2486</v>
      </c>
      <c r="V138" s="27" t="s">
        <v>2486</v>
      </c>
      <c r="W138" s="27" t="s">
        <v>2486</v>
      </c>
      <c r="X138" s="27" t="s">
        <v>2486</v>
      </c>
      <c r="Y138" s="27" t="s">
        <v>2486</v>
      </c>
      <c r="Z138" s="27" t="s">
        <v>141</v>
      </c>
      <c r="AA138" s="27" t="s">
        <v>141</v>
      </c>
      <c r="AB138" s="27" t="s">
        <v>2486</v>
      </c>
      <c r="AC138" s="27" t="s">
        <v>2543</v>
      </c>
      <c r="AD138" s="27" t="s">
        <v>2543</v>
      </c>
      <c r="AE138" s="27" t="s">
        <v>2543</v>
      </c>
      <c r="AF138" s="27" t="s">
        <v>2486</v>
      </c>
      <c r="AG138" s="48" t="s">
        <v>2486</v>
      </c>
      <c r="AH138" s="48" t="s">
        <v>141</v>
      </c>
      <c r="AI138" s="48" t="s">
        <v>2615</v>
      </c>
      <c r="AJ138" s="50" t="s">
        <v>2615</v>
      </c>
      <c r="AK138" s="51" t="s">
        <v>2616</v>
      </c>
      <c r="AL138" s="27" t="s">
        <v>89</v>
      </c>
      <c r="AM138" s="32"/>
      <c r="AN138" s="30"/>
      <c r="AO138" s="26"/>
      <c r="AP138" s="7">
        <f>VLOOKUP(B:B,Table3[#All],4,0)</f>
        <v>6500</v>
      </c>
      <c r="AQ138" s="7">
        <f>calcShift1(Таблица1[[#This Row],[Столбец5]:[Столбец36]])</f>
        <v>47.999999999999993</v>
      </c>
      <c r="AR138" s="7">
        <f>calcShift2(Таблица1[[#This Row],[Столбец5]:[Столбец36]])</f>
        <v>0</v>
      </c>
      <c r="AS138" s="7">
        <f>calcShift3(Таблица1[[#This Row],[Столбец5]:[Столбец36]])</f>
        <v>0</v>
      </c>
      <c r="AT138" s="26"/>
      <c r="AU138" s="7">
        <f>calcYavka(Таблица1[[#This Row],[Столбец5]:[Столбец36]])</f>
        <v>6</v>
      </c>
      <c r="AV138" s="31"/>
      <c r="AW138" s="75">
        <v>0</v>
      </c>
      <c r="AX138" s="76">
        <v>0</v>
      </c>
      <c r="AY138" s="7">
        <f>Таблица1[[#This Row],[Столбец47]]*30</f>
        <v>180</v>
      </c>
      <c r="AZ138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38" s="26"/>
      <c r="BB138" s="47">
        <f>calcTS(Таблица1[[#This Row],[Столбец5]:[Столбец36]])</f>
        <v>0</v>
      </c>
    </row>
    <row r="139" spans="1:54" ht="42" x14ac:dyDescent="0.35">
      <c r="A139" s="34" t="s">
        <v>420</v>
      </c>
      <c r="B139" s="6" t="s">
        <v>421</v>
      </c>
      <c r="C139" s="3" t="s">
        <v>422</v>
      </c>
      <c r="D139" s="20" t="s">
        <v>2564</v>
      </c>
      <c r="E139" s="2" t="s">
        <v>2543</v>
      </c>
      <c r="F139" s="3" t="s">
        <v>2486</v>
      </c>
      <c r="G139" s="3" t="s">
        <v>2486</v>
      </c>
      <c r="H139" s="3" t="s">
        <v>2543</v>
      </c>
      <c r="I139" s="3" t="s">
        <v>2543</v>
      </c>
      <c r="J139" s="3" t="s">
        <v>2543</v>
      </c>
      <c r="K139" s="2" t="s">
        <v>2543</v>
      </c>
      <c r="L139" s="3" t="s">
        <v>2543</v>
      </c>
      <c r="M139" s="3" t="s">
        <v>2486</v>
      </c>
      <c r="N139" s="2" t="s">
        <v>2486</v>
      </c>
      <c r="O139" s="2" t="s">
        <v>2543</v>
      </c>
      <c r="P139" s="2" t="s">
        <v>2543</v>
      </c>
      <c r="Q139" s="2" t="s">
        <v>2543</v>
      </c>
      <c r="R139" s="3" t="s">
        <v>2543</v>
      </c>
      <c r="S139" s="3" t="s">
        <v>2543</v>
      </c>
      <c r="T139" s="3" t="s">
        <v>2486</v>
      </c>
      <c r="U139" s="3" t="s">
        <v>2486</v>
      </c>
      <c r="V139" s="3" t="s">
        <v>2543</v>
      </c>
      <c r="W139" s="3" t="s">
        <v>2543</v>
      </c>
      <c r="X139" s="3" t="s">
        <v>2543</v>
      </c>
      <c r="Y139" s="3" t="s">
        <v>2543</v>
      </c>
      <c r="Z139" s="3" t="s">
        <v>2543</v>
      </c>
      <c r="AA139" s="3" t="s">
        <v>2543</v>
      </c>
      <c r="AB139" s="3" t="s">
        <v>2486</v>
      </c>
      <c r="AC139" s="3" t="s">
        <v>2543</v>
      </c>
      <c r="AD139" s="3" t="s">
        <v>2543</v>
      </c>
      <c r="AE139" s="3" t="s">
        <v>2570</v>
      </c>
      <c r="AF139" s="3" t="s">
        <v>2486</v>
      </c>
      <c r="AG139" s="48" t="s">
        <v>2486</v>
      </c>
      <c r="AH139" s="48" t="s">
        <v>2486</v>
      </c>
      <c r="AI139" s="48" t="s">
        <v>2567</v>
      </c>
      <c r="AJ139" s="50" t="s">
        <v>2567</v>
      </c>
      <c r="AK139" s="51" t="s">
        <v>54</v>
      </c>
      <c r="AL139" s="3" t="s">
        <v>55</v>
      </c>
      <c r="AM139" s="35"/>
      <c r="AN139" s="16"/>
      <c r="AO139" s="6"/>
      <c r="AP139" s="7">
        <f>VLOOKUP(B:B,Table3[#All],4,0)</f>
        <v>4900</v>
      </c>
      <c r="AQ139" s="7">
        <f>calcShift1(Таблица1[[#This Row],[Столбец5]:[Столбец36]])</f>
        <v>158.99999999999994</v>
      </c>
      <c r="AR139" s="7">
        <f>calcShift2(Таблица1[[#This Row],[Столбец5]:[Столбец36]])</f>
        <v>0</v>
      </c>
      <c r="AS139" s="7">
        <f>calcShift3(Таблица1[[#This Row],[Столбец5]:[Столбец36]])</f>
        <v>0</v>
      </c>
      <c r="AT139" s="6"/>
      <c r="AU139" s="7">
        <f>calcYavka(Таблица1[[#This Row],[Столбец5]:[Столбец36]])</f>
        <v>20</v>
      </c>
      <c r="AV139" s="36"/>
      <c r="AW139" s="18">
        <f>VLOOKUP(B:B,ДОП_ВСІ!B:AS,44,0)</f>
        <v>980</v>
      </c>
      <c r="AX139" s="7">
        <f>VLOOKUP(B:B,ДОП_ВСІ!B:AQ,42,0)</f>
        <v>0</v>
      </c>
      <c r="AY139" s="7">
        <f>Таблица1[[#This Row],[Столбец47]]*30</f>
        <v>600</v>
      </c>
      <c r="AZ139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39" s="6"/>
      <c r="BB139" s="47">
        <f>calcTS(Таблица1[[#This Row],[Столбец5]:[Столбец36]])</f>
        <v>0</v>
      </c>
    </row>
    <row r="140" spans="1:54" ht="42" x14ac:dyDescent="0.35">
      <c r="A140" s="34" t="s">
        <v>424</v>
      </c>
      <c r="B140" s="6" t="s">
        <v>425</v>
      </c>
      <c r="C140" s="3" t="s">
        <v>123</v>
      </c>
      <c r="D140" s="20" t="s">
        <v>2564</v>
      </c>
      <c r="E140" s="2" t="s">
        <v>141</v>
      </c>
      <c r="F140" s="3" t="s">
        <v>2486</v>
      </c>
      <c r="G140" s="3" t="s">
        <v>2486</v>
      </c>
      <c r="H140" s="3" t="s">
        <v>2543</v>
      </c>
      <c r="I140" s="3" t="s">
        <v>2543</v>
      </c>
      <c r="J140" s="3" t="s">
        <v>2543</v>
      </c>
      <c r="K140" s="2" t="s">
        <v>2543</v>
      </c>
      <c r="L140" s="3" t="s">
        <v>2543</v>
      </c>
      <c r="M140" s="3" t="s">
        <v>2486</v>
      </c>
      <c r="N140" s="2" t="s">
        <v>2486</v>
      </c>
      <c r="O140" s="2" t="s">
        <v>2543</v>
      </c>
      <c r="P140" s="2" t="s">
        <v>2543</v>
      </c>
      <c r="Q140" s="2" t="s">
        <v>2543</v>
      </c>
      <c r="R140" s="3" t="s">
        <v>2543</v>
      </c>
      <c r="S140" s="3" t="s">
        <v>2543</v>
      </c>
      <c r="T140" s="3" t="s">
        <v>2486</v>
      </c>
      <c r="U140" s="3" t="s">
        <v>2486</v>
      </c>
      <c r="V140" s="3" t="s">
        <v>2543</v>
      </c>
      <c r="W140" s="3" t="s">
        <v>2543</v>
      </c>
      <c r="X140" s="3" t="s">
        <v>2543</v>
      </c>
      <c r="Y140" s="3" t="s">
        <v>2543</v>
      </c>
      <c r="Z140" s="3" t="s">
        <v>2543</v>
      </c>
      <c r="AA140" s="3" t="s">
        <v>2543</v>
      </c>
      <c r="AB140" s="3" t="s">
        <v>2486</v>
      </c>
      <c r="AC140" s="3" t="s">
        <v>2543</v>
      </c>
      <c r="AD140" s="3" t="s">
        <v>2543</v>
      </c>
      <c r="AE140" s="3" t="s">
        <v>2570</v>
      </c>
      <c r="AF140" s="3" t="s">
        <v>2486</v>
      </c>
      <c r="AG140" s="48" t="s">
        <v>2486</v>
      </c>
      <c r="AH140" s="48" t="s">
        <v>2486</v>
      </c>
      <c r="AI140" s="48" t="s">
        <v>2567</v>
      </c>
      <c r="AJ140" s="50" t="s">
        <v>2567</v>
      </c>
      <c r="AK140" s="51" t="s">
        <v>54</v>
      </c>
      <c r="AL140" s="3" t="s">
        <v>55</v>
      </c>
      <c r="AM140" s="35"/>
      <c r="AN140" s="16"/>
      <c r="AO140" s="6"/>
      <c r="AP140" s="7">
        <f>VLOOKUP(B:B,Table3[#All],4,0)</f>
        <v>5500</v>
      </c>
      <c r="AQ140" s="7">
        <f>calcShift1(Таблица1[[#This Row],[Столбец5]:[Столбец36]])</f>
        <v>158.99999999999994</v>
      </c>
      <c r="AR140" s="7">
        <f>calcShift2(Таблица1[[#This Row],[Столбец5]:[Столбец36]])</f>
        <v>0</v>
      </c>
      <c r="AS140" s="7">
        <f>calcShift3(Таблица1[[#This Row],[Столбец5]:[Столбец36]])</f>
        <v>0</v>
      </c>
      <c r="AT140" s="6"/>
      <c r="AU140" s="7">
        <f>calcYavka(Таблица1[[#This Row],[Столбец5]:[Столбец36]])</f>
        <v>20</v>
      </c>
      <c r="AV140" s="36"/>
      <c r="AW140" s="18">
        <f>VLOOKUP(B:B,ДОП_ВСІ!B:AS,44,0)</f>
        <v>550</v>
      </c>
      <c r="AX140" s="7">
        <f>VLOOKUP(B:B,ДОП_ВСІ!B:AQ,42,0)</f>
        <v>0</v>
      </c>
      <c r="AY140" s="7">
        <f>Таблица1[[#This Row],[Столбец47]]*30</f>
        <v>600</v>
      </c>
      <c r="AZ140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40" s="6"/>
      <c r="BB140" s="47">
        <f>calcTS(Таблица1[[#This Row],[Столбец5]:[Столбец36]])</f>
        <v>0</v>
      </c>
    </row>
    <row r="141" spans="1:54" ht="42" x14ac:dyDescent="0.35">
      <c r="A141" s="34" t="s">
        <v>427</v>
      </c>
      <c r="B141" s="6" t="s">
        <v>428</v>
      </c>
      <c r="C141" s="3" t="s">
        <v>429</v>
      </c>
      <c r="D141" s="20" t="s">
        <v>2564</v>
      </c>
      <c r="E141" s="2" t="s">
        <v>141</v>
      </c>
      <c r="F141" s="3" t="s">
        <v>2486</v>
      </c>
      <c r="G141" s="3" t="s">
        <v>2486</v>
      </c>
      <c r="H141" s="3" t="s">
        <v>2547</v>
      </c>
      <c r="I141" s="3" t="s">
        <v>2547</v>
      </c>
      <c r="J141" s="3" t="s">
        <v>2547</v>
      </c>
      <c r="K141" s="2" t="s">
        <v>2547</v>
      </c>
      <c r="L141" s="3" t="s">
        <v>2547</v>
      </c>
      <c r="M141" s="3" t="s">
        <v>2486</v>
      </c>
      <c r="N141" s="2" t="s">
        <v>2486</v>
      </c>
      <c r="O141" s="2" t="s">
        <v>2543</v>
      </c>
      <c r="P141" s="2" t="s">
        <v>2543</v>
      </c>
      <c r="Q141" s="2" t="s">
        <v>2543</v>
      </c>
      <c r="R141" s="3" t="s">
        <v>2543</v>
      </c>
      <c r="S141" s="3" t="s">
        <v>2543</v>
      </c>
      <c r="T141" s="3" t="s">
        <v>2486</v>
      </c>
      <c r="U141" s="3" t="s">
        <v>2486</v>
      </c>
      <c r="V141" s="3" t="s">
        <v>2543</v>
      </c>
      <c r="W141" s="3" t="s">
        <v>2543</v>
      </c>
      <c r="X141" s="3" t="s">
        <v>2543</v>
      </c>
      <c r="Y141" s="3" t="s">
        <v>2543</v>
      </c>
      <c r="Z141" s="3" t="s">
        <v>2543</v>
      </c>
      <c r="AA141" s="3" t="s">
        <v>2543</v>
      </c>
      <c r="AB141" s="3" t="s">
        <v>2486</v>
      </c>
      <c r="AC141" s="3" t="s">
        <v>2543</v>
      </c>
      <c r="AD141" s="3" t="s">
        <v>2543</v>
      </c>
      <c r="AE141" s="3" t="s">
        <v>2570</v>
      </c>
      <c r="AF141" s="3" t="s">
        <v>2486</v>
      </c>
      <c r="AG141" s="48" t="s">
        <v>2486</v>
      </c>
      <c r="AH141" s="48" t="s">
        <v>2486</v>
      </c>
      <c r="AI141" s="48" t="s">
        <v>2567</v>
      </c>
      <c r="AJ141" s="50" t="s">
        <v>2567</v>
      </c>
      <c r="AK141" s="51" t="s">
        <v>54</v>
      </c>
      <c r="AL141" s="3" t="s">
        <v>55</v>
      </c>
      <c r="AM141" s="35"/>
      <c r="AN141" s="16"/>
      <c r="AO141" s="6"/>
      <c r="AP141" s="7">
        <f>VLOOKUP(B:B,Table3[#All],4,0)</f>
        <v>14000</v>
      </c>
      <c r="AQ141" s="7">
        <f>calcShift1(Таблица1[[#This Row],[Столбец5]:[Столбец36]])</f>
        <v>158.99999999999994</v>
      </c>
      <c r="AR141" s="7">
        <f>calcShift2(Таблица1[[#This Row],[Столбец5]:[Столбец36]])</f>
        <v>0</v>
      </c>
      <c r="AS141" s="7">
        <f>calcShift3(Таблица1[[#This Row],[Столбец5]:[Столбец36]])</f>
        <v>0</v>
      </c>
      <c r="AT141" s="6"/>
      <c r="AU141" s="7">
        <f>calcYavka(Таблица1[[#This Row],[Столбец5]:[Столбец36]])</f>
        <v>20</v>
      </c>
      <c r="AV141" s="36"/>
      <c r="AW141" s="18">
        <f>VLOOKUP(B:B,ДОП_ВСІ!B:AS,44,0)</f>
        <v>4200</v>
      </c>
      <c r="AX141" s="7">
        <f>VLOOKUP(B:B,ДОП_ВСІ!B:AQ,42,0)</f>
        <v>0</v>
      </c>
      <c r="AY141" s="7"/>
      <c r="AZ141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41" s="6"/>
      <c r="BB141" s="47">
        <f>calcTS(Таблица1[[#This Row],[Столбец5]:[Столбец36]])</f>
        <v>0</v>
      </c>
    </row>
    <row r="142" spans="1:54" ht="42" x14ac:dyDescent="0.35">
      <c r="A142" s="34" t="s">
        <v>430</v>
      </c>
      <c r="B142" s="6" t="s">
        <v>431</v>
      </c>
      <c r="C142" s="3" t="s">
        <v>432</v>
      </c>
      <c r="D142" s="20" t="s">
        <v>2564</v>
      </c>
      <c r="E142" s="2" t="s">
        <v>141</v>
      </c>
      <c r="F142" s="3" t="s">
        <v>2486</v>
      </c>
      <c r="G142" s="3" t="s">
        <v>2486</v>
      </c>
      <c r="H142" s="3" t="s">
        <v>2543</v>
      </c>
      <c r="I142" s="3" t="s">
        <v>2543</v>
      </c>
      <c r="J142" s="3" t="s">
        <v>2543</v>
      </c>
      <c r="K142" s="2" t="s">
        <v>2543</v>
      </c>
      <c r="L142" s="3" t="s">
        <v>2543</v>
      </c>
      <c r="M142" s="3" t="s">
        <v>2486</v>
      </c>
      <c r="N142" s="2" t="s">
        <v>2486</v>
      </c>
      <c r="O142" s="2" t="s">
        <v>2543</v>
      </c>
      <c r="P142" s="2" t="s">
        <v>2543</v>
      </c>
      <c r="Q142" s="2" t="s">
        <v>2543</v>
      </c>
      <c r="R142" s="3" t="s">
        <v>2543</v>
      </c>
      <c r="S142" s="3" t="s">
        <v>2543</v>
      </c>
      <c r="T142" s="3" t="s">
        <v>2486</v>
      </c>
      <c r="U142" s="3" t="s">
        <v>2486</v>
      </c>
      <c r="V142" s="3" t="s">
        <v>2543</v>
      </c>
      <c r="W142" s="3" t="s">
        <v>2543</v>
      </c>
      <c r="X142" s="3" t="s">
        <v>2543</v>
      </c>
      <c r="Y142" s="3" t="s">
        <v>2543</v>
      </c>
      <c r="Z142" s="3" t="s">
        <v>2543</v>
      </c>
      <c r="AA142" s="3" t="s">
        <v>2543</v>
      </c>
      <c r="AB142" s="3" t="s">
        <v>2486</v>
      </c>
      <c r="AC142" s="3" t="s">
        <v>2543</v>
      </c>
      <c r="AD142" s="3" t="s">
        <v>2543</v>
      </c>
      <c r="AE142" s="3" t="s">
        <v>2570</v>
      </c>
      <c r="AF142" s="3" t="s">
        <v>2486</v>
      </c>
      <c r="AG142" s="48" t="s">
        <v>2486</v>
      </c>
      <c r="AH142" s="48" t="s">
        <v>2486</v>
      </c>
      <c r="AI142" s="48" t="s">
        <v>2567</v>
      </c>
      <c r="AJ142" s="50" t="s">
        <v>2567</v>
      </c>
      <c r="AK142" s="51" t="s">
        <v>54</v>
      </c>
      <c r="AL142" s="3" t="s">
        <v>55</v>
      </c>
      <c r="AM142" s="35"/>
      <c r="AN142" s="16"/>
      <c r="AO142" s="6"/>
      <c r="AP142" s="7">
        <f>VLOOKUP(B:B,Table3[#All],4,0)</f>
        <v>9000</v>
      </c>
      <c r="AQ142" s="7">
        <f>calcShift1(Таблица1[[#This Row],[Столбец5]:[Столбец36]])</f>
        <v>158.99999999999994</v>
      </c>
      <c r="AR142" s="7">
        <f>calcShift2(Таблица1[[#This Row],[Столбец5]:[Столбец36]])</f>
        <v>0</v>
      </c>
      <c r="AS142" s="7">
        <f>calcShift3(Таблица1[[#This Row],[Столбец5]:[Столбец36]])</f>
        <v>0</v>
      </c>
      <c r="AT142" s="6"/>
      <c r="AU142" s="7">
        <f>calcYavka(Таблица1[[#This Row],[Столбец5]:[Столбец36]])</f>
        <v>20</v>
      </c>
      <c r="AV142" s="36"/>
      <c r="AW142" s="18">
        <f>VLOOKUP(B:B,ДОП_ВСІ!B:AS,44,0)</f>
        <v>1800</v>
      </c>
      <c r="AX142" s="7">
        <f>VLOOKUP(B:B,ДОП_ВСІ!B:AQ,42,0)</f>
        <v>0</v>
      </c>
      <c r="AY142" s="7"/>
      <c r="AZ142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42" s="6"/>
      <c r="BB142" s="47">
        <f>calcTS(Таблица1[[#This Row],[Столбец5]:[Столбец36]])</f>
        <v>0</v>
      </c>
    </row>
    <row r="143" spans="1:54" ht="42" x14ac:dyDescent="0.35">
      <c r="A143" s="34" t="s">
        <v>433</v>
      </c>
      <c r="B143" s="6" t="s">
        <v>434</v>
      </c>
      <c r="C143" s="3" t="s">
        <v>123</v>
      </c>
      <c r="D143" s="20" t="s">
        <v>2564</v>
      </c>
      <c r="E143" s="2" t="s">
        <v>2486</v>
      </c>
      <c r="F143" s="3" t="s">
        <v>2486</v>
      </c>
      <c r="G143" s="3" t="s">
        <v>2486</v>
      </c>
      <c r="H143" s="3" t="s">
        <v>2486</v>
      </c>
      <c r="I143" s="3" t="s">
        <v>2486</v>
      </c>
      <c r="J143" s="3" t="s">
        <v>2486</v>
      </c>
      <c r="K143" s="2" t="s">
        <v>2486</v>
      </c>
      <c r="L143" s="3" t="s">
        <v>141</v>
      </c>
      <c r="M143" s="3" t="s">
        <v>2486</v>
      </c>
      <c r="N143" s="2" t="s">
        <v>2486</v>
      </c>
      <c r="O143" s="2" t="s">
        <v>2543</v>
      </c>
      <c r="P143" s="2" t="s">
        <v>2543</v>
      </c>
      <c r="Q143" s="2" t="s">
        <v>2543</v>
      </c>
      <c r="R143" s="3" t="s">
        <v>2543</v>
      </c>
      <c r="S143" s="3" t="s">
        <v>2543</v>
      </c>
      <c r="T143" s="3" t="s">
        <v>2486</v>
      </c>
      <c r="U143" s="3" t="s">
        <v>2486</v>
      </c>
      <c r="V143" s="3" t="s">
        <v>2543</v>
      </c>
      <c r="W143" s="3" t="s">
        <v>2543</v>
      </c>
      <c r="X143" s="3" t="s">
        <v>2543</v>
      </c>
      <c r="Y143" s="3" t="s">
        <v>2543</v>
      </c>
      <c r="Z143" s="3" t="s">
        <v>2543</v>
      </c>
      <c r="AA143" s="3" t="s">
        <v>2543</v>
      </c>
      <c r="AB143" s="3" t="s">
        <v>2486</v>
      </c>
      <c r="AC143" s="3" t="s">
        <v>2543</v>
      </c>
      <c r="AD143" s="3" t="s">
        <v>2543</v>
      </c>
      <c r="AE143" s="3" t="s">
        <v>2570</v>
      </c>
      <c r="AF143" s="3" t="s">
        <v>2486</v>
      </c>
      <c r="AG143" s="48" t="s">
        <v>2486</v>
      </c>
      <c r="AH143" s="48" t="s">
        <v>2486</v>
      </c>
      <c r="AI143" s="48" t="s">
        <v>2574</v>
      </c>
      <c r="AJ143" s="50" t="s">
        <v>2574</v>
      </c>
      <c r="AK143" s="51" t="s">
        <v>75</v>
      </c>
      <c r="AL143" s="3" t="s">
        <v>75</v>
      </c>
      <c r="AM143" s="35"/>
      <c r="AN143" s="16"/>
      <c r="AO143" s="6"/>
      <c r="AP143" s="7">
        <f>VLOOKUP(B:B,Table3[#All],4,0)</f>
        <v>5500</v>
      </c>
      <c r="AQ143" s="7">
        <f>calcShift1(Таблица1[[#This Row],[Столбец5]:[Столбец36]])</f>
        <v>119</v>
      </c>
      <c r="AR143" s="7">
        <f>calcShift2(Таблица1[[#This Row],[Столбец5]:[Столбец36]])</f>
        <v>0</v>
      </c>
      <c r="AS143" s="7">
        <f>calcShift3(Таблица1[[#This Row],[Столбец5]:[Столбец36]])</f>
        <v>0</v>
      </c>
      <c r="AT143" s="6"/>
      <c r="AU143" s="7">
        <f>calcYavka(Таблица1[[#This Row],[Столбец5]:[Столбец36]])</f>
        <v>15</v>
      </c>
      <c r="AV143" s="36"/>
      <c r="AW143" s="18">
        <f>VLOOKUP(B:B,ДОП_ВСІ!B:AS,44,0)</f>
        <v>0</v>
      </c>
      <c r="AX143" s="7">
        <f>VLOOKUP(B:B,ДОП_ВСІ!B:AQ,42,0)</f>
        <v>0</v>
      </c>
      <c r="AY143" s="7">
        <f>Таблица1[[#This Row],[Столбец47]]*30</f>
        <v>450</v>
      </c>
      <c r="AZ143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43" s="6"/>
      <c r="BB143" s="47">
        <f>calcTS(Таблица1[[#This Row],[Столбец5]:[Столбец36]])</f>
        <v>0</v>
      </c>
    </row>
    <row r="144" spans="1:54" ht="42" x14ac:dyDescent="0.35">
      <c r="A144" s="34" t="s">
        <v>436</v>
      </c>
      <c r="B144" s="6" t="s">
        <v>437</v>
      </c>
      <c r="C144" s="3" t="s">
        <v>422</v>
      </c>
      <c r="D144" s="20" t="s">
        <v>2564</v>
      </c>
      <c r="E144" s="2" t="s">
        <v>2543</v>
      </c>
      <c r="F144" s="3" t="s">
        <v>2486</v>
      </c>
      <c r="G144" s="3" t="s">
        <v>2486</v>
      </c>
      <c r="H144" s="3" t="s">
        <v>2543</v>
      </c>
      <c r="I144" s="3" t="s">
        <v>2543</v>
      </c>
      <c r="J144" s="3" t="s">
        <v>2543</v>
      </c>
      <c r="K144" s="2" t="s">
        <v>2543</v>
      </c>
      <c r="L144" s="3" t="s">
        <v>2543</v>
      </c>
      <c r="M144" s="3" t="s">
        <v>2486</v>
      </c>
      <c r="N144" s="2" t="s">
        <v>2486</v>
      </c>
      <c r="O144" s="2" t="s">
        <v>2543</v>
      </c>
      <c r="P144" s="2" t="s">
        <v>2543</v>
      </c>
      <c r="Q144" s="2" t="s">
        <v>2543</v>
      </c>
      <c r="R144" s="3" t="s">
        <v>2543</v>
      </c>
      <c r="S144" s="3" t="s">
        <v>2543</v>
      </c>
      <c r="T144" s="3" t="s">
        <v>2486</v>
      </c>
      <c r="U144" s="3" t="s">
        <v>2486</v>
      </c>
      <c r="V144" s="3" t="s">
        <v>2543</v>
      </c>
      <c r="W144" s="3" t="s">
        <v>2543</v>
      </c>
      <c r="X144" s="3" t="s">
        <v>2543</v>
      </c>
      <c r="Y144" s="3" t="s">
        <v>2543</v>
      </c>
      <c r="Z144" s="3" t="s">
        <v>2543</v>
      </c>
      <c r="AA144" s="3" t="s">
        <v>2543</v>
      </c>
      <c r="AB144" s="3" t="s">
        <v>2486</v>
      </c>
      <c r="AC144" s="3" t="s">
        <v>2543</v>
      </c>
      <c r="AD144" s="3" t="s">
        <v>2543</v>
      </c>
      <c r="AE144" s="3" t="s">
        <v>2570</v>
      </c>
      <c r="AF144" s="3" t="s">
        <v>2486</v>
      </c>
      <c r="AG144" s="48" t="s">
        <v>2486</v>
      </c>
      <c r="AH144" s="48" t="s">
        <v>2486</v>
      </c>
      <c r="AI144" s="48" t="s">
        <v>2567</v>
      </c>
      <c r="AJ144" s="50" t="s">
        <v>2567</v>
      </c>
      <c r="AK144" s="51" t="s">
        <v>54</v>
      </c>
      <c r="AL144" s="3" t="s">
        <v>55</v>
      </c>
      <c r="AM144" s="35"/>
      <c r="AN144" s="16"/>
      <c r="AO144" s="6"/>
      <c r="AP144" s="7">
        <f>VLOOKUP(B:B,Table3[#All],4,0)</f>
        <v>4900</v>
      </c>
      <c r="AQ144" s="7">
        <f>calcShift1(Таблица1[[#This Row],[Столбец5]:[Столбец36]])</f>
        <v>158.99999999999994</v>
      </c>
      <c r="AR144" s="7">
        <f>calcShift2(Таблица1[[#This Row],[Столбец5]:[Столбец36]])</f>
        <v>0</v>
      </c>
      <c r="AS144" s="7">
        <f>calcShift3(Таблица1[[#This Row],[Столбец5]:[Столбец36]])</f>
        <v>0</v>
      </c>
      <c r="AT144" s="6"/>
      <c r="AU144" s="7">
        <f>calcYavka(Таблица1[[#This Row],[Столбец5]:[Столбец36]])</f>
        <v>20</v>
      </c>
      <c r="AV144" s="36"/>
      <c r="AW144" s="18">
        <f>VLOOKUP(B:B,ДОП_ВСІ!B:AS,44,0)</f>
        <v>1102.5</v>
      </c>
      <c r="AX144" s="7">
        <f>VLOOKUP(B:B,ДОП_ВСІ!B:AQ,42,0)</f>
        <v>0</v>
      </c>
      <c r="AY144" s="7">
        <f>Таблица1[[#This Row],[Столбец47]]*30</f>
        <v>600</v>
      </c>
      <c r="AZ144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44" s="6"/>
      <c r="BB144" s="47">
        <f>calcTS(Таблица1[[#This Row],[Столбец5]:[Столбец36]])</f>
        <v>0</v>
      </c>
    </row>
    <row r="145" spans="1:54" ht="42" x14ac:dyDescent="0.35">
      <c r="A145" s="34" t="s">
        <v>438</v>
      </c>
      <c r="B145" s="6" t="s">
        <v>439</v>
      </c>
      <c r="C145" s="3" t="s">
        <v>440</v>
      </c>
      <c r="D145" s="20" t="s">
        <v>2564</v>
      </c>
      <c r="E145" s="2" t="s">
        <v>2543</v>
      </c>
      <c r="F145" s="3" t="s">
        <v>2486</v>
      </c>
      <c r="G145" s="3" t="s">
        <v>2486</v>
      </c>
      <c r="H145" s="3" t="s">
        <v>2543</v>
      </c>
      <c r="I145" s="3" t="s">
        <v>2543</v>
      </c>
      <c r="J145" s="3" t="s">
        <v>2543</v>
      </c>
      <c r="K145" s="2" t="s">
        <v>2543</v>
      </c>
      <c r="L145" s="3" t="s">
        <v>2543</v>
      </c>
      <c r="M145" s="3" t="s">
        <v>2486</v>
      </c>
      <c r="N145" s="2" t="s">
        <v>2486</v>
      </c>
      <c r="O145" s="2" t="s">
        <v>2543</v>
      </c>
      <c r="P145" s="2" t="s">
        <v>2543</v>
      </c>
      <c r="Q145" s="2" t="s">
        <v>2543</v>
      </c>
      <c r="R145" s="3" t="s">
        <v>2543</v>
      </c>
      <c r="S145" s="3" t="s">
        <v>2543</v>
      </c>
      <c r="T145" s="3" t="s">
        <v>2486</v>
      </c>
      <c r="U145" s="3" t="s">
        <v>2486</v>
      </c>
      <c r="V145" s="3" t="s">
        <v>2543</v>
      </c>
      <c r="W145" s="3" t="s">
        <v>2543</v>
      </c>
      <c r="X145" s="3" t="s">
        <v>2543</v>
      </c>
      <c r="Y145" s="3" t="s">
        <v>2543</v>
      </c>
      <c r="Z145" s="3" t="s">
        <v>2543</v>
      </c>
      <c r="AA145" s="3" t="s">
        <v>2485</v>
      </c>
      <c r="AB145" s="3" t="s">
        <v>2486</v>
      </c>
      <c r="AC145" s="3" t="s">
        <v>2501</v>
      </c>
      <c r="AD145" s="3" t="s">
        <v>2501</v>
      </c>
      <c r="AE145" s="3" t="s">
        <v>2501</v>
      </c>
      <c r="AF145" s="3" t="s">
        <v>2501</v>
      </c>
      <c r="AG145" s="48" t="s">
        <v>2501</v>
      </c>
      <c r="AH145" s="48" t="s">
        <v>2501</v>
      </c>
      <c r="AI145" s="48" t="s">
        <v>2578</v>
      </c>
      <c r="AJ145" s="50" t="s">
        <v>2567</v>
      </c>
      <c r="AK145" s="51" t="s">
        <v>76</v>
      </c>
      <c r="AL145" s="3" t="s">
        <v>74</v>
      </c>
      <c r="AM145" s="35"/>
      <c r="AN145" s="16"/>
      <c r="AO145" s="6"/>
      <c r="AP145" s="7">
        <f>VLOOKUP(B:B,Table3[#All],4,0)</f>
        <v>5300</v>
      </c>
      <c r="AQ145" s="7">
        <f>calcShift1(Таблица1[[#This Row],[Столбец5]:[Столбец36]])</f>
        <v>127.99999999999997</v>
      </c>
      <c r="AR145" s="7">
        <f>calcShift2(Таблица1[[#This Row],[Столбец5]:[Столбец36]])</f>
        <v>0</v>
      </c>
      <c r="AS145" s="7">
        <f>calcShift3(Таблица1[[#This Row],[Столбец5]:[Столбец36]])</f>
        <v>0</v>
      </c>
      <c r="AT145" s="6"/>
      <c r="AU145" s="7">
        <f>calcYavka(Таблица1[[#This Row],[Столбец5]:[Столбец36]])</f>
        <v>16</v>
      </c>
      <c r="AV145" s="36"/>
      <c r="AW145" s="18">
        <f>VLOOKUP(B:B,ДОП_ВСІ!B:AS,44,0)</f>
        <v>463.75</v>
      </c>
      <c r="AX145" s="7">
        <f>VLOOKUP(B:B,ДОП_ВСІ!B:AQ,42,0)</f>
        <v>0</v>
      </c>
      <c r="AY145" s="7"/>
      <c r="AZ145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45" s="6"/>
      <c r="BB145" s="47">
        <f>calcTS(Таблица1[[#This Row],[Столбец5]:[Столбец36]])</f>
        <v>0</v>
      </c>
    </row>
    <row r="146" spans="1:54" ht="42" x14ac:dyDescent="0.35">
      <c r="A146" s="34" t="s">
        <v>441</v>
      </c>
      <c r="B146" s="6" t="s">
        <v>442</v>
      </c>
      <c r="C146" s="3" t="s">
        <v>443</v>
      </c>
      <c r="D146" s="20" t="s">
        <v>2564</v>
      </c>
      <c r="E146" s="2" t="s">
        <v>2543</v>
      </c>
      <c r="F146" s="3" t="s">
        <v>2486</v>
      </c>
      <c r="G146" s="3" t="s">
        <v>2486</v>
      </c>
      <c r="H146" s="3" t="s">
        <v>2543</v>
      </c>
      <c r="I146" s="3" t="s">
        <v>2543</v>
      </c>
      <c r="J146" s="3" t="s">
        <v>2543</v>
      </c>
      <c r="K146" s="2" t="s">
        <v>2543</v>
      </c>
      <c r="L146" s="3" t="s">
        <v>2543</v>
      </c>
      <c r="M146" s="3" t="s">
        <v>2486</v>
      </c>
      <c r="N146" s="2" t="s">
        <v>2486</v>
      </c>
      <c r="O146" s="2" t="s">
        <v>2543</v>
      </c>
      <c r="P146" s="2" t="s">
        <v>2543</v>
      </c>
      <c r="Q146" s="2" t="s">
        <v>2543</v>
      </c>
      <c r="R146" s="3" t="s">
        <v>2543</v>
      </c>
      <c r="S146" s="3" t="s">
        <v>2543</v>
      </c>
      <c r="T146" s="3" t="s">
        <v>2486</v>
      </c>
      <c r="U146" s="3" t="s">
        <v>2486</v>
      </c>
      <c r="V146" s="3" t="s">
        <v>2543</v>
      </c>
      <c r="W146" s="3" t="s">
        <v>2543</v>
      </c>
      <c r="X146" s="3" t="s">
        <v>2543</v>
      </c>
      <c r="Y146" s="3" t="s">
        <v>2501</v>
      </c>
      <c r="Z146" s="3" t="s">
        <v>2501</v>
      </c>
      <c r="AA146" s="3" t="s">
        <v>2501</v>
      </c>
      <c r="AB146" s="3" t="s">
        <v>2501</v>
      </c>
      <c r="AC146" s="3" t="s">
        <v>2501</v>
      </c>
      <c r="AD146" s="3" t="s">
        <v>2501</v>
      </c>
      <c r="AE146" s="3" t="s">
        <v>2619</v>
      </c>
      <c r="AF146" s="3" t="s">
        <v>2486</v>
      </c>
      <c r="AG146" s="48" t="s">
        <v>2486</v>
      </c>
      <c r="AH146" s="48" t="s">
        <v>2486</v>
      </c>
      <c r="AI146" s="48" t="s">
        <v>2620</v>
      </c>
      <c r="AJ146" s="50" t="s">
        <v>2567</v>
      </c>
      <c r="AK146" s="51" t="s">
        <v>75</v>
      </c>
      <c r="AL146" s="3" t="s">
        <v>75</v>
      </c>
      <c r="AM146" s="35"/>
      <c r="AN146" s="16"/>
      <c r="AO146" s="6"/>
      <c r="AP146" s="7">
        <f>VLOOKUP(B:B,Table3[#All],4,0)</f>
        <v>5500</v>
      </c>
      <c r="AQ146" s="7">
        <f>calcShift1(Таблица1[[#This Row],[Столбец5]:[Столбец36]])</f>
        <v>113.99999999999997</v>
      </c>
      <c r="AR146" s="7">
        <f>calcShift2(Таблица1[[#This Row],[Столбец5]:[Столбец36]])</f>
        <v>0</v>
      </c>
      <c r="AS146" s="7">
        <f>calcShift3(Таблица1[[#This Row],[Столбец5]:[Столбец36]])</f>
        <v>0</v>
      </c>
      <c r="AT146" s="6"/>
      <c r="AU146" s="7">
        <f>calcYavka(Таблица1[[#This Row],[Столбец5]:[Столбец36]])</f>
        <v>15</v>
      </c>
      <c r="AV146" s="36"/>
      <c r="AW146" s="18">
        <f>VLOOKUP(B:B,ДОП_ВСІ!B:AS,44,0)</f>
        <v>0</v>
      </c>
      <c r="AX146" s="7">
        <f>VLOOKUP(B:B,ДОП_ВСІ!B:AQ,42,0)</f>
        <v>0</v>
      </c>
      <c r="AY146" s="7"/>
      <c r="AZ146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46" s="6"/>
      <c r="BB146" s="47">
        <f>calcTS(Таблица1[[#This Row],[Столбец5]:[Столбец36]])</f>
        <v>0</v>
      </c>
    </row>
    <row r="147" spans="1:54" ht="42" x14ac:dyDescent="0.35">
      <c r="A147" s="34" t="s">
        <v>444</v>
      </c>
      <c r="B147" s="6" t="s">
        <v>445</v>
      </c>
      <c r="C147" s="3" t="s">
        <v>422</v>
      </c>
      <c r="D147" s="20" t="s">
        <v>2564</v>
      </c>
      <c r="E147" s="2" t="s">
        <v>2543</v>
      </c>
      <c r="F147" s="3" t="s">
        <v>2486</v>
      </c>
      <c r="G147" s="3" t="s">
        <v>2486</v>
      </c>
      <c r="H147" s="3" t="s">
        <v>2501</v>
      </c>
      <c r="I147" s="3" t="s">
        <v>2501</v>
      </c>
      <c r="J147" s="3" t="s">
        <v>2501</v>
      </c>
      <c r="K147" s="2" t="s">
        <v>2501</v>
      </c>
      <c r="L147" s="3" t="s">
        <v>2501</v>
      </c>
      <c r="M147" s="3" t="s">
        <v>2501</v>
      </c>
      <c r="N147" s="2" t="s">
        <v>2501</v>
      </c>
      <c r="O147" s="2" t="s">
        <v>2501</v>
      </c>
      <c r="P147" s="2" t="s">
        <v>2501</v>
      </c>
      <c r="Q147" s="2" t="s">
        <v>2501</v>
      </c>
      <c r="R147" s="3" t="s">
        <v>2501</v>
      </c>
      <c r="S147" s="3" t="s">
        <v>2501</v>
      </c>
      <c r="T147" s="3" t="s">
        <v>2501</v>
      </c>
      <c r="U147" s="3" t="s">
        <v>2501</v>
      </c>
      <c r="V147" s="3" t="s">
        <v>2495</v>
      </c>
      <c r="W147" s="3" t="s">
        <v>2495</v>
      </c>
      <c r="X147" s="3" t="s">
        <v>2495</v>
      </c>
      <c r="Y147" s="3" t="s">
        <v>2495</v>
      </c>
      <c r="Z147" s="3" t="s">
        <v>2495</v>
      </c>
      <c r="AA147" s="3" t="s">
        <v>2501</v>
      </c>
      <c r="AB147" s="3" t="s">
        <v>2501</v>
      </c>
      <c r="AC147" s="3" t="s">
        <v>2543</v>
      </c>
      <c r="AD147" s="3" t="s">
        <v>2543</v>
      </c>
      <c r="AE147" s="3" t="s">
        <v>2570</v>
      </c>
      <c r="AF147" s="3" t="s">
        <v>2486</v>
      </c>
      <c r="AG147" s="48" t="s">
        <v>2486</v>
      </c>
      <c r="AH147" s="48" t="s">
        <v>2486</v>
      </c>
      <c r="AI147" s="48" t="s">
        <v>2621</v>
      </c>
      <c r="AJ147" s="50" t="s">
        <v>2567</v>
      </c>
      <c r="AK147" s="51" t="s">
        <v>2622</v>
      </c>
      <c r="AL147" s="3" t="s">
        <v>91</v>
      </c>
      <c r="AM147" s="35"/>
      <c r="AN147" s="16"/>
      <c r="AO147" s="6"/>
      <c r="AP147" s="7">
        <f>VLOOKUP(B:B,Table3[#All],4,0)</f>
        <v>4900</v>
      </c>
      <c r="AQ147" s="7">
        <f>calcShift1(Таблица1[[#This Row],[Столбец5]:[Столбец36]])</f>
        <v>31</v>
      </c>
      <c r="AR147" s="7">
        <f>calcShift2(Таблица1[[#This Row],[Столбец5]:[Столбец36]])</f>
        <v>0</v>
      </c>
      <c r="AS147" s="7">
        <f>calcShift3(Таблица1[[#This Row],[Столбец5]:[Столбец36]])</f>
        <v>0</v>
      </c>
      <c r="AT147" s="6"/>
      <c r="AU147" s="7">
        <f>calcYavka(Таблица1[[#This Row],[Столбец5]:[Столбец36]])</f>
        <v>4</v>
      </c>
      <c r="AV147" s="36"/>
      <c r="AW147" s="18">
        <f>VLOOKUP(B:B,ДОП_ВСІ!B:AS,44,0)</f>
        <v>1102.5</v>
      </c>
      <c r="AX147" s="7">
        <f>VLOOKUP(B:B,ДОП_ВСІ!B:AQ,42,0)</f>
        <v>0</v>
      </c>
      <c r="AY147" s="7">
        <f>Таблица1[[#This Row],[Столбец47]]*30</f>
        <v>120</v>
      </c>
      <c r="AZ147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47" s="6"/>
      <c r="BB147" s="47">
        <f>calcTS(Таблица1[[#This Row],[Столбец5]:[Столбец36]])</f>
        <v>0</v>
      </c>
    </row>
    <row r="148" spans="1:54" ht="42" x14ac:dyDescent="0.35">
      <c r="A148" s="34" t="s">
        <v>446</v>
      </c>
      <c r="B148" s="6" t="s">
        <v>447</v>
      </c>
      <c r="C148" s="3" t="s">
        <v>448</v>
      </c>
      <c r="D148" s="20" t="s">
        <v>2564</v>
      </c>
      <c r="E148" s="2" t="s">
        <v>2543</v>
      </c>
      <c r="F148" s="3" t="s">
        <v>2486</v>
      </c>
      <c r="G148" s="3" t="s">
        <v>2486</v>
      </c>
      <c r="H148" s="3" t="s">
        <v>2543</v>
      </c>
      <c r="I148" s="3" t="s">
        <v>2543</v>
      </c>
      <c r="J148" s="3" t="s">
        <v>2543</v>
      </c>
      <c r="K148" s="2" t="s">
        <v>2543</v>
      </c>
      <c r="L148" s="3" t="s">
        <v>2543</v>
      </c>
      <c r="M148" s="3" t="s">
        <v>2486</v>
      </c>
      <c r="N148" s="2" t="s">
        <v>2486</v>
      </c>
      <c r="O148" s="2" t="s">
        <v>2543</v>
      </c>
      <c r="P148" s="2" t="s">
        <v>2543</v>
      </c>
      <c r="Q148" s="2" t="s">
        <v>2543</v>
      </c>
      <c r="R148" s="3" t="s">
        <v>2543</v>
      </c>
      <c r="S148" s="3" t="s">
        <v>2543</v>
      </c>
      <c r="T148" s="3" t="s">
        <v>2486</v>
      </c>
      <c r="U148" s="3" t="s">
        <v>2486</v>
      </c>
      <c r="V148" s="3" t="s">
        <v>2543</v>
      </c>
      <c r="W148" s="3" t="s">
        <v>2543</v>
      </c>
      <c r="X148" s="3" t="s">
        <v>2543</v>
      </c>
      <c r="Y148" s="3" t="s">
        <v>2543</v>
      </c>
      <c r="Z148" s="3" t="s">
        <v>2543</v>
      </c>
      <c r="AA148" s="3" t="s">
        <v>2543</v>
      </c>
      <c r="AB148" s="3" t="s">
        <v>2486</v>
      </c>
      <c r="AC148" s="3" t="s">
        <v>2543</v>
      </c>
      <c r="AD148" s="3" t="s">
        <v>2543</v>
      </c>
      <c r="AE148" s="3" t="s">
        <v>2570</v>
      </c>
      <c r="AF148" s="3" t="s">
        <v>2486</v>
      </c>
      <c r="AG148" s="48" t="s">
        <v>2486</v>
      </c>
      <c r="AH148" s="48" t="s">
        <v>2486</v>
      </c>
      <c r="AI148" s="48" t="s">
        <v>2567</v>
      </c>
      <c r="AJ148" s="50" t="s">
        <v>2567</v>
      </c>
      <c r="AK148" s="51" t="s">
        <v>54</v>
      </c>
      <c r="AL148" s="3" t="s">
        <v>55</v>
      </c>
      <c r="AM148" s="35"/>
      <c r="AN148" s="16"/>
      <c r="AO148" s="6"/>
      <c r="AP148" s="7">
        <f>VLOOKUP(B:B,Table3[#All],4,0)</f>
        <v>7500</v>
      </c>
      <c r="AQ148" s="7">
        <f>calcShift1(Таблица1[[#This Row],[Столбец5]:[Столбец36]])</f>
        <v>158.99999999999994</v>
      </c>
      <c r="AR148" s="7">
        <f>calcShift2(Таблица1[[#This Row],[Столбец5]:[Столбец36]])</f>
        <v>0</v>
      </c>
      <c r="AS148" s="7">
        <f>calcShift3(Таблица1[[#This Row],[Столбец5]:[Столбец36]])</f>
        <v>0</v>
      </c>
      <c r="AT148" s="6"/>
      <c r="AU148" s="7">
        <f>calcYavka(Таблица1[[#This Row],[Столбец5]:[Столбец36]])</f>
        <v>20</v>
      </c>
      <c r="AV148" s="36"/>
      <c r="AW148" s="18">
        <f>VLOOKUP(B:B,ДОП_ВСІ!B:AS,44,0)</f>
        <v>187.5</v>
      </c>
      <c r="AX148" s="7">
        <f>VLOOKUP(B:B,ДОП_ВСІ!B:AQ,42,0)</f>
        <v>0</v>
      </c>
      <c r="AY148" s="7"/>
      <c r="AZ148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48" s="6"/>
      <c r="BB148" s="47">
        <f>calcTS(Таблица1[[#This Row],[Столбец5]:[Столбец36]])</f>
        <v>0</v>
      </c>
    </row>
    <row r="149" spans="1:54" ht="42" x14ac:dyDescent="0.35">
      <c r="A149" s="34" t="s">
        <v>449</v>
      </c>
      <c r="B149" s="6" t="s">
        <v>450</v>
      </c>
      <c r="C149" s="3" t="s">
        <v>123</v>
      </c>
      <c r="D149" s="20" t="s">
        <v>2564</v>
      </c>
      <c r="E149" s="2" t="s">
        <v>2486</v>
      </c>
      <c r="F149" s="3" t="s">
        <v>2543</v>
      </c>
      <c r="G149" s="3" t="s">
        <v>2543</v>
      </c>
      <c r="H149" s="3" t="s">
        <v>2543</v>
      </c>
      <c r="I149" s="3" t="s">
        <v>2543</v>
      </c>
      <c r="J149" s="3" t="s">
        <v>2486</v>
      </c>
      <c r="K149" s="2" t="s">
        <v>2486</v>
      </c>
      <c r="L149" s="3" t="s">
        <v>2542</v>
      </c>
      <c r="M149" s="3" t="s">
        <v>2542</v>
      </c>
      <c r="N149" s="2" t="s">
        <v>2542</v>
      </c>
      <c r="O149" s="2" t="s">
        <v>2542</v>
      </c>
      <c r="P149" s="2" t="s">
        <v>2486</v>
      </c>
      <c r="Q149" s="2" t="s">
        <v>2486</v>
      </c>
      <c r="R149" s="3" t="s">
        <v>2543</v>
      </c>
      <c r="S149" s="3" t="s">
        <v>2543</v>
      </c>
      <c r="T149" s="3" t="s">
        <v>2543</v>
      </c>
      <c r="U149" s="3" t="s">
        <v>2543</v>
      </c>
      <c r="V149" s="3" t="s">
        <v>2486</v>
      </c>
      <c r="W149" s="3" t="s">
        <v>2486</v>
      </c>
      <c r="X149" s="3" t="s">
        <v>2542</v>
      </c>
      <c r="Y149" s="3" t="s">
        <v>2542</v>
      </c>
      <c r="Z149" s="3" t="s">
        <v>2542</v>
      </c>
      <c r="AA149" s="3" t="s">
        <v>2542</v>
      </c>
      <c r="AB149" s="3" t="s">
        <v>2486</v>
      </c>
      <c r="AC149" s="3" t="s">
        <v>2486</v>
      </c>
      <c r="AD149" s="3" t="s">
        <v>2543</v>
      </c>
      <c r="AE149" s="3" t="s">
        <v>2575</v>
      </c>
      <c r="AF149" s="3" t="s">
        <v>2543</v>
      </c>
      <c r="AG149" s="48" t="s">
        <v>2543</v>
      </c>
      <c r="AH149" s="48" t="s">
        <v>2486</v>
      </c>
      <c r="AI149" s="48" t="s">
        <v>2623</v>
      </c>
      <c r="AJ149" s="50" t="s">
        <v>2580</v>
      </c>
      <c r="AK149" s="51" t="s">
        <v>54</v>
      </c>
      <c r="AL149" s="3" t="s">
        <v>55</v>
      </c>
      <c r="AM149" s="35"/>
      <c r="AN149" s="16"/>
      <c r="AO149" s="6"/>
      <c r="AP149" s="7">
        <f>VLOOKUP(B:B,Table3[#All],4,0)</f>
        <v>5500</v>
      </c>
      <c r="AQ149" s="7">
        <f>calcShift1(Таблица1[[#This Row],[Столбец5]:[Столбец36]])</f>
        <v>93.000000000000014</v>
      </c>
      <c r="AR149" s="7">
        <f>calcShift2(Таблица1[[#This Row],[Столбец5]:[Столбец36]])</f>
        <v>64</v>
      </c>
      <c r="AS149" s="7">
        <f>calcShift3(Таблица1[[#This Row],[Столбец5]:[Столбец36]])</f>
        <v>0</v>
      </c>
      <c r="AT149" s="6"/>
      <c r="AU149" s="7">
        <f>calcYavka(Таблица1[[#This Row],[Столбец5]:[Столбец36]])</f>
        <v>20</v>
      </c>
      <c r="AV149" s="36"/>
      <c r="AW149" s="18">
        <f>VLOOKUP(B:B,ДОП_ВСІ!B:AS,44,0)</f>
        <v>0</v>
      </c>
      <c r="AX149" s="7">
        <f>VLOOKUP(B:B,ДОП_ВСІ!B:AQ,42,0)</f>
        <v>649.6875</v>
      </c>
      <c r="AY149" s="7">
        <f>Таблица1[[#This Row],[Столбец47]]*30</f>
        <v>600</v>
      </c>
      <c r="AZ149" s="6">
        <f>((((Таблица1[[#This Row],[Столбец42]]/160)*Таблица1[[#This Row],[Столбец44]])*0.25)*0.35)+((((Таблица1[[#This Row],[Столбец42]]/160)*Таблица1[[#This Row],[Столбец44]])*0.5)*0.2)</f>
        <v>412.5</v>
      </c>
      <c r="BA149" s="6"/>
      <c r="BB149" s="47">
        <f>calcTS(Таблица1[[#This Row],[Столбец5]:[Столбец36]])</f>
        <v>0</v>
      </c>
    </row>
    <row r="150" spans="1:54" ht="42" x14ac:dyDescent="0.35">
      <c r="A150" s="34" t="s">
        <v>451</v>
      </c>
      <c r="B150" s="6" t="s">
        <v>452</v>
      </c>
      <c r="C150" s="3" t="s">
        <v>123</v>
      </c>
      <c r="D150" s="20" t="s">
        <v>2564</v>
      </c>
      <c r="E150" s="2" t="s">
        <v>2486</v>
      </c>
      <c r="F150" s="3" t="s">
        <v>2543</v>
      </c>
      <c r="G150" s="3" t="s">
        <v>2543</v>
      </c>
      <c r="H150" s="3" t="s">
        <v>2543</v>
      </c>
      <c r="I150" s="3" t="s">
        <v>2543</v>
      </c>
      <c r="J150" s="3" t="s">
        <v>2486</v>
      </c>
      <c r="K150" s="2" t="s">
        <v>2486</v>
      </c>
      <c r="L150" s="3" t="s">
        <v>2542</v>
      </c>
      <c r="M150" s="3" t="s">
        <v>2542</v>
      </c>
      <c r="N150" s="2" t="s">
        <v>2542</v>
      </c>
      <c r="O150" s="2" t="s">
        <v>2542</v>
      </c>
      <c r="P150" s="2" t="s">
        <v>2486</v>
      </c>
      <c r="Q150" s="2" t="s">
        <v>2486</v>
      </c>
      <c r="R150" s="3" t="s">
        <v>141</v>
      </c>
      <c r="S150" s="3" t="s">
        <v>141</v>
      </c>
      <c r="T150" s="3" t="s">
        <v>141</v>
      </c>
      <c r="U150" s="3" t="s">
        <v>2624</v>
      </c>
      <c r="V150" s="3" t="s">
        <v>2486</v>
      </c>
      <c r="W150" s="3" t="s">
        <v>2486</v>
      </c>
      <c r="X150" s="3" t="s">
        <v>2531</v>
      </c>
      <c r="Y150" s="3" t="s">
        <v>2543</v>
      </c>
      <c r="Z150" s="3" t="s">
        <v>2543</v>
      </c>
      <c r="AA150" s="3" t="s">
        <v>135</v>
      </c>
      <c r="AB150" s="3" t="s">
        <v>2486</v>
      </c>
      <c r="AC150" s="3" t="s">
        <v>2486</v>
      </c>
      <c r="AD150" s="3" t="s">
        <v>141</v>
      </c>
      <c r="AE150" s="3" t="s">
        <v>141</v>
      </c>
      <c r="AF150" s="3" t="s">
        <v>141</v>
      </c>
      <c r="AG150" s="48" t="s">
        <v>141</v>
      </c>
      <c r="AH150" s="48" t="s">
        <v>2486</v>
      </c>
      <c r="AI150" s="48" t="s">
        <v>2625</v>
      </c>
      <c r="AJ150" s="50" t="s">
        <v>2580</v>
      </c>
      <c r="AK150" s="51" t="s">
        <v>72</v>
      </c>
      <c r="AL150" s="3" t="s">
        <v>71</v>
      </c>
      <c r="AM150" s="35"/>
      <c r="AN150" s="16"/>
      <c r="AO150" s="6"/>
      <c r="AP150" s="7">
        <f>VLOOKUP(B:B,Table3[#All],4,0)</f>
        <v>5500</v>
      </c>
      <c r="AQ150" s="7">
        <f>calcShift1(Таблица1[[#This Row],[Столбец5]:[Столбец36]])</f>
        <v>109</v>
      </c>
      <c r="AR150" s="7">
        <f>calcShift2(Таблица1[[#This Row],[Столбец5]:[Столбец36]])</f>
        <v>40</v>
      </c>
      <c r="AS150" s="7">
        <f>calcShift3(Таблица1[[#This Row],[Столбец5]:[Столбец36]])</f>
        <v>0</v>
      </c>
      <c r="AT150" s="6"/>
      <c r="AU150" s="7">
        <f>calcYavka(Таблица1[[#This Row],[Столбец5]:[Столбец36]])</f>
        <v>19</v>
      </c>
      <c r="AV150" s="36"/>
      <c r="AW150" s="18">
        <f>VLOOKUP(B:B,ДОП_ВСІ!B:AS,44,0)</f>
        <v>0</v>
      </c>
      <c r="AX150" s="7">
        <f>VLOOKUP(B:B,ДОП_ВСІ!B:AQ,42,0)</f>
        <v>0</v>
      </c>
      <c r="AY150" s="7">
        <f>Таблица1[[#This Row],[Столбец47]]*30</f>
        <v>570</v>
      </c>
      <c r="AZ150" s="6">
        <f>((((Таблица1[[#This Row],[Столбец42]]/160)*Таблица1[[#This Row],[Столбец44]])*0.25)*0.35)+((((Таблица1[[#This Row],[Столбец42]]/160)*Таблица1[[#This Row],[Столбец44]])*0.5)*0.2)</f>
        <v>257.8125</v>
      </c>
      <c r="BA150" s="6"/>
      <c r="BB150" s="47">
        <f>calcTS(Таблица1[[#This Row],[Столбец5]:[Столбец36]])</f>
        <v>0</v>
      </c>
    </row>
    <row r="151" spans="1:54" ht="42" x14ac:dyDescent="0.35">
      <c r="A151" s="37" t="s">
        <v>453</v>
      </c>
      <c r="B151" s="38" t="s">
        <v>454</v>
      </c>
      <c r="C151" s="39" t="s">
        <v>123</v>
      </c>
      <c r="D151" s="20" t="s">
        <v>2564</v>
      </c>
      <c r="E151" s="40" t="s">
        <v>2486</v>
      </c>
      <c r="F151" s="39" t="s">
        <v>2543</v>
      </c>
      <c r="G151" s="39" t="s">
        <v>2543</v>
      </c>
      <c r="H151" s="39" t="s">
        <v>2543</v>
      </c>
      <c r="I151" s="39" t="s">
        <v>2543</v>
      </c>
      <c r="J151" s="39" t="s">
        <v>2486</v>
      </c>
      <c r="K151" s="40" t="s">
        <v>2486</v>
      </c>
      <c r="L151" s="39" t="s">
        <v>2542</v>
      </c>
      <c r="M151" s="39" t="s">
        <v>2542</v>
      </c>
      <c r="N151" s="40" t="s">
        <v>2542</v>
      </c>
      <c r="O151" s="40" t="s">
        <v>2542</v>
      </c>
      <c r="P151" s="40" t="s">
        <v>2486</v>
      </c>
      <c r="Q151" s="40" t="s">
        <v>2486</v>
      </c>
      <c r="R151" s="39" t="s">
        <v>141</v>
      </c>
      <c r="S151" s="39" t="s">
        <v>141</v>
      </c>
      <c r="T151" s="39" t="s">
        <v>141</v>
      </c>
      <c r="U151" s="39" t="s">
        <v>141</v>
      </c>
      <c r="V151" s="39" t="s">
        <v>2486</v>
      </c>
      <c r="W151" s="39" t="s">
        <v>2486</v>
      </c>
      <c r="X151" s="39" t="s">
        <v>135</v>
      </c>
      <c r="Y151" s="39" t="s">
        <v>2543</v>
      </c>
      <c r="Z151" s="39" t="s">
        <v>2543</v>
      </c>
      <c r="AA151" s="39" t="s">
        <v>135</v>
      </c>
      <c r="AB151" s="39" t="s">
        <v>2486</v>
      </c>
      <c r="AC151" s="39" t="s">
        <v>2486</v>
      </c>
      <c r="AD151" s="39" t="s">
        <v>141</v>
      </c>
      <c r="AE151" s="39" t="s">
        <v>141</v>
      </c>
      <c r="AF151" s="39" t="s">
        <v>141</v>
      </c>
      <c r="AG151" s="48" t="s">
        <v>141</v>
      </c>
      <c r="AH151" s="48" t="s">
        <v>2486</v>
      </c>
      <c r="AI151" s="48" t="s">
        <v>2580</v>
      </c>
      <c r="AJ151" s="50" t="s">
        <v>2580</v>
      </c>
      <c r="AK151" s="51" t="s">
        <v>54</v>
      </c>
      <c r="AL151" s="39" t="s">
        <v>55</v>
      </c>
      <c r="AM151" s="41"/>
      <c r="AN151" s="42"/>
      <c r="AO151" s="38"/>
      <c r="AP151" s="7">
        <f>VLOOKUP(B:B,Table3[#All],4,0)</f>
        <v>5500</v>
      </c>
      <c r="AQ151" s="7">
        <f>calcShift1(Таблица1[[#This Row],[Столбец5]:[Столбец36]])</f>
        <v>111.99999999999999</v>
      </c>
      <c r="AR151" s="7">
        <f>calcShift2(Таблица1[[#This Row],[Столбец5]:[Столбец36]])</f>
        <v>47.999999999999993</v>
      </c>
      <c r="AS151" s="7">
        <f>calcShift3(Таблица1[[#This Row],[Столбец5]:[Столбец36]])</f>
        <v>0</v>
      </c>
      <c r="AT151" s="38"/>
      <c r="AU151" s="7">
        <f>calcYavka(Таблица1[[#This Row],[Столбец5]:[Столбец36]])</f>
        <v>20</v>
      </c>
      <c r="AV151" s="43"/>
      <c r="AW151" s="18">
        <f>VLOOKUP(B:B,ДОП_ВСІ!B:AS,44,0)</f>
        <v>0</v>
      </c>
      <c r="AX151" s="7">
        <f>VLOOKUP(B:B,ДОП_ВСІ!B:AQ,42,0)</f>
        <v>0</v>
      </c>
      <c r="AY151" s="7">
        <f>Таблица1[[#This Row],[Столбец47]]*30</f>
        <v>600</v>
      </c>
      <c r="AZ151" s="6">
        <f>((((Таблица1[[#This Row],[Столбец42]]/160)*Таблица1[[#This Row],[Столбец44]])*0.25)*0.35)+((((Таблица1[[#This Row],[Столбец42]]/160)*Таблица1[[#This Row],[Столбец44]])*0.5)*0.2)</f>
        <v>309.375</v>
      </c>
      <c r="BA151" s="38"/>
      <c r="BB151" s="47">
        <f>calcTS(Таблица1[[#This Row],[Столбец5]:[Столбец36]])</f>
        <v>0</v>
      </c>
    </row>
    <row r="152" spans="1:54" ht="42" x14ac:dyDescent="0.35">
      <c r="A152" s="37" t="s">
        <v>455</v>
      </c>
      <c r="B152" s="38" t="s">
        <v>456</v>
      </c>
      <c r="C152" s="39" t="s">
        <v>123</v>
      </c>
      <c r="D152" s="20" t="s">
        <v>2564</v>
      </c>
      <c r="E152" s="40" t="s">
        <v>2495</v>
      </c>
      <c r="F152" s="39" t="s">
        <v>2495</v>
      </c>
      <c r="G152" s="39" t="s">
        <v>2495</v>
      </c>
      <c r="H152" s="39" t="s">
        <v>2495</v>
      </c>
      <c r="I152" s="39" t="s">
        <v>2531</v>
      </c>
      <c r="J152" s="39" t="s">
        <v>2486</v>
      </c>
      <c r="K152" s="40" t="s">
        <v>2486</v>
      </c>
      <c r="L152" s="39" t="s">
        <v>2542</v>
      </c>
      <c r="M152" s="39" t="s">
        <v>2542</v>
      </c>
      <c r="N152" s="40" t="s">
        <v>2542</v>
      </c>
      <c r="O152" s="40" t="s">
        <v>2542</v>
      </c>
      <c r="P152" s="40" t="s">
        <v>2486</v>
      </c>
      <c r="Q152" s="40" t="s">
        <v>2486</v>
      </c>
      <c r="R152" s="39" t="s">
        <v>141</v>
      </c>
      <c r="S152" s="39" t="s">
        <v>141</v>
      </c>
      <c r="T152" s="39" t="s">
        <v>141</v>
      </c>
      <c r="U152" s="39" t="s">
        <v>141</v>
      </c>
      <c r="V152" s="39" t="s">
        <v>2486</v>
      </c>
      <c r="W152" s="39" t="s">
        <v>2486</v>
      </c>
      <c r="X152" s="39" t="s">
        <v>135</v>
      </c>
      <c r="Y152" s="39" t="s">
        <v>2543</v>
      </c>
      <c r="Z152" s="39" t="s">
        <v>2543</v>
      </c>
      <c r="AA152" s="39" t="s">
        <v>135</v>
      </c>
      <c r="AB152" s="39" t="s">
        <v>2486</v>
      </c>
      <c r="AC152" s="39" t="s">
        <v>2486</v>
      </c>
      <c r="AD152" s="39" t="s">
        <v>141</v>
      </c>
      <c r="AE152" s="39" t="s">
        <v>141</v>
      </c>
      <c r="AF152" s="39" t="s">
        <v>141</v>
      </c>
      <c r="AG152" s="48" t="s">
        <v>141</v>
      </c>
      <c r="AH152" s="48" t="s">
        <v>2486</v>
      </c>
      <c r="AI152" s="48" t="s">
        <v>2578</v>
      </c>
      <c r="AJ152" s="50" t="s">
        <v>2580</v>
      </c>
      <c r="AK152" s="51" t="s">
        <v>76</v>
      </c>
      <c r="AL152" s="39" t="s">
        <v>74</v>
      </c>
      <c r="AM152" s="41"/>
      <c r="AN152" s="42"/>
      <c r="AO152" s="38"/>
      <c r="AP152" s="7">
        <f>VLOOKUP(B:B,Table3[#All],4,0)</f>
        <v>5500</v>
      </c>
      <c r="AQ152" s="7">
        <f>calcShift1(Таблица1[[#This Row],[Столбец5]:[Столбец36]])</f>
        <v>80</v>
      </c>
      <c r="AR152" s="7">
        <f>calcShift2(Таблица1[[#This Row],[Столбец5]:[Столбец36]])</f>
        <v>47.999999999999993</v>
      </c>
      <c r="AS152" s="7">
        <f>calcShift3(Таблица1[[#This Row],[Столбец5]:[Столбец36]])</f>
        <v>0</v>
      </c>
      <c r="AT152" s="38"/>
      <c r="AU152" s="7">
        <f>calcYavka(Таблица1[[#This Row],[Столбец5]:[Столбец36]])</f>
        <v>16</v>
      </c>
      <c r="AV152" s="43"/>
      <c r="AW152" s="18">
        <f>VLOOKUP(B:B,ДОП_ВСІ!B:AS,44,0)</f>
        <v>0</v>
      </c>
      <c r="AX152" s="7">
        <f>VLOOKUP(B:B,ДОП_ВСІ!B:AQ,42,0)</f>
        <v>0</v>
      </c>
      <c r="AY152" s="7">
        <f>Таблица1[[#This Row],[Столбец47]]*30</f>
        <v>480</v>
      </c>
      <c r="AZ152" s="6">
        <f>((((Таблица1[[#This Row],[Столбец42]]/160)*Таблица1[[#This Row],[Столбец44]])*0.25)*0.35)+((((Таблица1[[#This Row],[Столбец42]]/160)*Таблица1[[#This Row],[Столбец44]])*0.5)*0.2)</f>
        <v>309.375</v>
      </c>
      <c r="BA152" s="38"/>
      <c r="BB152" s="47">
        <f>calcTS(Таблица1[[#This Row],[Столбец5]:[Столбец36]])</f>
        <v>0</v>
      </c>
    </row>
    <row r="153" spans="1:54" x14ac:dyDescent="0.35">
      <c r="A153" s="37" t="s">
        <v>457</v>
      </c>
      <c r="B153" s="38" t="s">
        <v>458</v>
      </c>
      <c r="C153" s="39" t="s">
        <v>123</v>
      </c>
      <c r="D153" s="20" t="s">
        <v>2564</v>
      </c>
      <c r="E153" s="40" t="s">
        <v>2486</v>
      </c>
      <c r="F153" s="39" t="s">
        <v>2492</v>
      </c>
      <c r="G153" s="39" t="s">
        <v>2492</v>
      </c>
      <c r="H153" s="39" t="s">
        <v>2492</v>
      </c>
      <c r="I153" s="39" t="s">
        <v>2492</v>
      </c>
      <c r="J153" s="39" t="s">
        <v>2492</v>
      </c>
      <c r="K153" s="40" t="s">
        <v>2492</v>
      </c>
      <c r="L153" s="39" t="s">
        <v>2492</v>
      </c>
      <c r="M153" s="39" t="s">
        <v>2492</v>
      </c>
      <c r="N153" s="40" t="s">
        <v>2492</v>
      </c>
      <c r="O153" s="40" t="s">
        <v>2492</v>
      </c>
      <c r="P153" s="40" t="s">
        <v>2492</v>
      </c>
      <c r="Q153" s="40" t="s">
        <v>2492</v>
      </c>
      <c r="R153" s="39" t="s">
        <v>2492</v>
      </c>
      <c r="S153" s="39" t="s">
        <v>2492</v>
      </c>
      <c r="T153" s="39" t="s">
        <v>2492</v>
      </c>
      <c r="U153" s="39" t="s">
        <v>2492</v>
      </c>
      <c r="V153" s="39" t="s">
        <v>2486</v>
      </c>
      <c r="W153" s="39" t="s">
        <v>2486</v>
      </c>
      <c r="X153" s="39" t="s">
        <v>2485</v>
      </c>
      <c r="Y153" s="39" t="s">
        <v>2485</v>
      </c>
      <c r="Z153" s="39" t="s">
        <v>2485</v>
      </c>
      <c r="AA153" s="39" t="s">
        <v>2485</v>
      </c>
      <c r="AB153" s="39" t="s">
        <v>2486</v>
      </c>
      <c r="AC153" s="39" t="s">
        <v>2486</v>
      </c>
      <c r="AD153" s="39" t="s">
        <v>2492</v>
      </c>
      <c r="AE153" s="39" t="s">
        <v>2492</v>
      </c>
      <c r="AF153" s="39" t="s">
        <v>2485</v>
      </c>
      <c r="AG153" s="48" t="s">
        <v>2485</v>
      </c>
      <c r="AH153" s="48" t="s">
        <v>2486</v>
      </c>
      <c r="AI153" s="48" t="s">
        <v>2626</v>
      </c>
      <c r="AJ153" s="50" t="s">
        <v>2580</v>
      </c>
      <c r="AK153" s="51" t="s">
        <v>2627</v>
      </c>
      <c r="AL153" s="39" t="s">
        <v>95</v>
      </c>
      <c r="AM153" s="41"/>
      <c r="AN153" s="42"/>
      <c r="AO153" s="38"/>
      <c r="AP153" s="7">
        <f>VLOOKUP(B:B,Table3[#All],4,0)</f>
        <v>5500</v>
      </c>
      <c r="AQ153" s="7">
        <f>calcShift1(Таблица1[[#This Row],[Столбец5]:[Столбец36]])</f>
        <v>0</v>
      </c>
      <c r="AR153" s="7">
        <f>calcShift2(Таблица1[[#This Row],[Столбец5]:[Столбец36]])</f>
        <v>0</v>
      </c>
      <c r="AS153" s="7">
        <f>calcShift3(Таблица1[[#This Row],[Столбец5]:[Столбец36]])</f>
        <v>0</v>
      </c>
      <c r="AT153" s="38"/>
      <c r="AU153" s="7">
        <f>calcYavka(Таблица1[[#This Row],[Столбец5]:[Столбец36]])</f>
        <v>0</v>
      </c>
      <c r="AV153" s="43"/>
      <c r="AW153" s="18">
        <f>VLOOKUP(B:B,ДОП_ВСІ!B:AS,44,0)</f>
        <v>0</v>
      </c>
      <c r="AX153" s="7">
        <f>VLOOKUP(B:B,ДОП_ВСІ!B:AQ,42,0)</f>
        <v>0</v>
      </c>
      <c r="AY153" s="7">
        <f>Таблица1[[#This Row],[Столбец47]]*30</f>
        <v>0</v>
      </c>
      <c r="AZ153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53" s="38"/>
      <c r="BB153" s="47">
        <f>calcTS(Таблица1[[#This Row],[Столбец5]:[Столбец36]])</f>
        <v>0</v>
      </c>
    </row>
    <row r="154" spans="1:54" ht="42" x14ac:dyDescent="0.35">
      <c r="A154" s="37" t="s">
        <v>459</v>
      </c>
      <c r="B154" s="38" t="s">
        <v>460</v>
      </c>
      <c r="C154" s="39" t="s">
        <v>123</v>
      </c>
      <c r="D154" s="20" t="s">
        <v>2564</v>
      </c>
      <c r="E154" s="40" t="s">
        <v>2486</v>
      </c>
      <c r="F154" s="39" t="s">
        <v>2543</v>
      </c>
      <c r="G154" s="39" t="s">
        <v>2543</v>
      </c>
      <c r="H154" s="39" t="s">
        <v>2543</v>
      </c>
      <c r="I154" s="39" t="s">
        <v>2543</v>
      </c>
      <c r="J154" s="39" t="s">
        <v>2486</v>
      </c>
      <c r="K154" s="40" t="s">
        <v>2486</v>
      </c>
      <c r="L154" s="39" t="s">
        <v>2542</v>
      </c>
      <c r="M154" s="39" t="s">
        <v>2542</v>
      </c>
      <c r="N154" s="40" t="s">
        <v>2542</v>
      </c>
      <c r="O154" s="40" t="s">
        <v>2542</v>
      </c>
      <c r="P154" s="40" t="s">
        <v>2486</v>
      </c>
      <c r="Q154" s="40" t="s">
        <v>2486</v>
      </c>
      <c r="R154" s="39" t="s">
        <v>2543</v>
      </c>
      <c r="S154" s="39" t="s">
        <v>2543</v>
      </c>
      <c r="T154" s="39" t="s">
        <v>2543</v>
      </c>
      <c r="U154" s="39" t="s">
        <v>2570</v>
      </c>
      <c r="V154" s="39" t="s">
        <v>2486</v>
      </c>
      <c r="W154" s="39" t="s">
        <v>2486</v>
      </c>
      <c r="X154" s="39" t="s">
        <v>2542</v>
      </c>
      <c r="Y154" s="39" t="s">
        <v>141</v>
      </c>
      <c r="Z154" s="39" t="s">
        <v>2485</v>
      </c>
      <c r="AA154" s="39" t="s">
        <v>135</v>
      </c>
      <c r="AB154" s="39" t="s">
        <v>2486</v>
      </c>
      <c r="AC154" s="39" t="s">
        <v>2486</v>
      </c>
      <c r="AD154" s="39" t="s">
        <v>2543</v>
      </c>
      <c r="AE154" s="39" t="s">
        <v>2543</v>
      </c>
      <c r="AF154" s="39" t="s">
        <v>2543</v>
      </c>
      <c r="AG154" s="48" t="s">
        <v>2543</v>
      </c>
      <c r="AH154" s="48" t="s">
        <v>2486</v>
      </c>
      <c r="AI154" s="48" t="s">
        <v>2571</v>
      </c>
      <c r="AJ154" s="50" t="s">
        <v>2580</v>
      </c>
      <c r="AK154" s="51" t="s">
        <v>72</v>
      </c>
      <c r="AL154" s="39" t="s">
        <v>71</v>
      </c>
      <c r="AM154" s="41"/>
      <c r="AN154" s="42"/>
      <c r="AO154" s="38"/>
      <c r="AP154" s="7">
        <f>VLOOKUP(B:B,Table3[#All],4,0)</f>
        <v>5500</v>
      </c>
      <c r="AQ154" s="7">
        <f>calcShift1(Таблица1[[#This Row],[Столбец5]:[Столбец36]])</f>
        <v>103</v>
      </c>
      <c r="AR154" s="7">
        <f>calcShift2(Таблица1[[#This Row],[Столбец5]:[Столбец36]])</f>
        <v>47.999999999999993</v>
      </c>
      <c r="AS154" s="7">
        <f>calcShift3(Таблица1[[#This Row],[Столбец5]:[Столбец36]])</f>
        <v>0</v>
      </c>
      <c r="AT154" s="38"/>
      <c r="AU154" s="7">
        <f>calcYavka(Таблица1[[#This Row],[Столбец5]:[Столбец36]])</f>
        <v>19</v>
      </c>
      <c r="AV154" s="43"/>
      <c r="AW154" s="18">
        <f>VLOOKUP(B:B,ДОП_ВСІ!B:AS,44,0)</f>
        <v>1375</v>
      </c>
      <c r="AX154" s="7">
        <f>VLOOKUP(B:B,ДОП_ВСІ!B:AQ,42,0)</f>
        <v>0</v>
      </c>
      <c r="AY154" s="7">
        <f>Таблица1[[#This Row],[Столбец47]]*30</f>
        <v>570</v>
      </c>
      <c r="AZ154" s="6">
        <f>((((Таблица1[[#This Row],[Столбец42]]/160)*Таблица1[[#This Row],[Столбец44]])*0.25)*0.35)+((((Таблица1[[#This Row],[Столбец42]]/160)*Таблица1[[#This Row],[Столбец44]])*0.5)*0.2)</f>
        <v>309.375</v>
      </c>
      <c r="BA154" s="38"/>
      <c r="BB154" s="47">
        <f>calcTS(Таблица1[[#This Row],[Столбец5]:[Столбец36]])</f>
        <v>0</v>
      </c>
    </row>
    <row r="155" spans="1:54" ht="42" x14ac:dyDescent="0.35">
      <c r="A155" s="37" t="s">
        <v>461</v>
      </c>
      <c r="B155" s="38" t="s">
        <v>462</v>
      </c>
      <c r="C155" s="39" t="s">
        <v>123</v>
      </c>
      <c r="D155" s="20" t="s">
        <v>2564</v>
      </c>
      <c r="E155" s="40" t="s">
        <v>2486</v>
      </c>
      <c r="F155" s="39" t="s">
        <v>2543</v>
      </c>
      <c r="G155" s="39" t="s">
        <v>2543</v>
      </c>
      <c r="H155" s="39" t="s">
        <v>2543</v>
      </c>
      <c r="I155" s="39" t="s">
        <v>2543</v>
      </c>
      <c r="J155" s="39" t="s">
        <v>2486</v>
      </c>
      <c r="K155" s="40" t="s">
        <v>2486</v>
      </c>
      <c r="L155" s="39" t="s">
        <v>2542</v>
      </c>
      <c r="M155" s="39" t="s">
        <v>2542</v>
      </c>
      <c r="N155" s="40" t="s">
        <v>2542</v>
      </c>
      <c r="O155" s="40" t="s">
        <v>2542</v>
      </c>
      <c r="P155" s="40" t="s">
        <v>2486</v>
      </c>
      <c r="Q155" s="40" t="s">
        <v>2486</v>
      </c>
      <c r="R155" s="39" t="s">
        <v>141</v>
      </c>
      <c r="S155" s="39" t="s">
        <v>141</v>
      </c>
      <c r="T155" s="39" t="s">
        <v>2543</v>
      </c>
      <c r="U155" s="39" t="s">
        <v>141</v>
      </c>
      <c r="V155" s="39" t="s">
        <v>2486</v>
      </c>
      <c r="W155" s="39" t="s">
        <v>2486</v>
      </c>
      <c r="X155" s="39" t="s">
        <v>2542</v>
      </c>
      <c r="Y155" s="39" t="s">
        <v>2542</v>
      </c>
      <c r="Z155" s="39" t="s">
        <v>2542</v>
      </c>
      <c r="AA155" s="39" t="s">
        <v>2542</v>
      </c>
      <c r="AB155" s="39" t="s">
        <v>2486</v>
      </c>
      <c r="AC155" s="39" t="s">
        <v>2486</v>
      </c>
      <c r="AD155" s="39" t="s">
        <v>2543</v>
      </c>
      <c r="AE155" s="39" t="s">
        <v>2543</v>
      </c>
      <c r="AF155" s="39" t="s">
        <v>2543</v>
      </c>
      <c r="AG155" s="48" t="s">
        <v>2543</v>
      </c>
      <c r="AH155" s="48" t="s">
        <v>2486</v>
      </c>
      <c r="AI155" s="48" t="s">
        <v>2580</v>
      </c>
      <c r="AJ155" s="50" t="s">
        <v>2580</v>
      </c>
      <c r="AK155" s="51" t="s">
        <v>54</v>
      </c>
      <c r="AL155" s="39" t="s">
        <v>55</v>
      </c>
      <c r="AM155" s="41"/>
      <c r="AN155" s="42"/>
      <c r="AO155" s="38"/>
      <c r="AP155" s="7">
        <f>VLOOKUP(B:B,Table3[#All],4,0)</f>
        <v>5500</v>
      </c>
      <c r="AQ155" s="7">
        <f>calcShift1(Таблица1[[#This Row],[Столбец5]:[Столбец36]])</f>
        <v>96</v>
      </c>
      <c r="AR155" s="7">
        <f>calcShift2(Таблица1[[#This Row],[Столбец5]:[Столбец36]])</f>
        <v>64</v>
      </c>
      <c r="AS155" s="7">
        <f>calcShift3(Таблица1[[#This Row],[Столбец5]:[Столбец36]])</f>
        <v>0</v>
      </c>
      <c r="AT155" s="38"/>
      <c r="AU155" s="7">
        <f>calcYavka(Таблица1[[#This Row],[Столбец5]:[Столбец36]])</f>
        <v>20</v>
      </c>
      <c r="AV155" s="43"/>
      <c r="AW155" s="18">
        <f>VLOOKUP(B:B,ДОП_ВСІ!B:AS,44,0)</f>
        <v>550</v>
      </c>
      <c r="AX155" s="7">
        <f>VLOOKUP(B:B,ДОП_ВСІ!B:AQ,42,0)</f>
        <v>649.6875</v>
      </c>
      <c r="AY155" s="7">
        <f>Таблица1[[#This Row],[Столбец47]]*30</f>
        <v>600</v>
      </c>
      <c r="AZ155" s="6">
        <f>((((Таблица1[[#This Row],[Столбец42]]/160)*Таблица1[[#This Row],[Столбец44]])*0.25)*0.35)+((((Таблица1[[#This Row],[Столбец42]]/160)*Таблица1[[#This Row],[Столбец44]])*0.5)*0.2)</f>
        <v>412.5</v>
      </c>
      <c r="BA155" s="38"/>
      <c r="BB155" s="47">
        <f>calcTS(Таблица1[[#This Row],[Столбец5]:[Столбец36]])</f>
        <v>0</v>
      </c>
    </row>
    <row r="156" spans="1:54" ht="42" x14ac:dyDescent="0.35">
      <c r="A156" s="37" t="s">
        <v>463</v>
      </c>
      <c r="B156" s="38" t="s">
        <v>464</v>
      </c>
      <c r="C156" s="39" t="s">
        <v>123</v>
      </c>
      <c r="D156" s="20" t="s">
        <v>2564</v>
      </c>
      <c r="E156" s="40" t="s">
        <v>2486</v>
      </c>
      <c r="F156" s="39" t="s">
        <v>2543</v>
      </c>
      <c r="G156" s="39" t="s">
        <v>2543</v>
      </c>
      <c r="H156" s="39" t="s">
        <v>2543</v>
      </c>
      <c r="I156" s="39" t="s">
        <v>2543</v>
      </c>
      <c r="J156" s="39" t="s">
        <v>2486</v>
      </c>
      <c r="K156" s="40" t="s">
        <v>2486</v>
      </c>
      <c r="L156" s="39" t="s">
        <v>2542</v>
      </c>
      <c r="M156" s="39" t="s">
        <v>2542</v>
      </c>
      <c r="N156" s="40" t="s">
        <v>2542</v>
      </c>
      <c r="O156" s="40" t="s">
        <v>2542</v>
      </c>
      <c r="P156" s="40" t="s">
        <v>2486</v>
      </c>
      <c r="Q156" s="40" t="s">
        <v>2486</v>
      </c>
      <c r="R156" s="39" t="s">
        <v>2543</v>
      </c>
      <c r="S156" s="39" t="s">
        <v>2543</v>
      </c>
      <c r="T156" s="39" t="s">
        <v>2543</v>
      </c>
      <c r="U156" s="39" t="s">
        <v>2594</v>
      </c>
      <c r="V156" s="39" t="s">
        <v>2486</v>
      </c>
      <c r="W156" s="39" t="s">
        <v>2486</v>
      </c>
      <c r="X156" s="39" t="s">
        <v>2542</v>
      </c>
      <c r="Y156" s="39" t="s">
        <v>2542</v>
      </c>
      <c r="Z156" s="39" t="s">
        <v>2542</v>
      </c>
      <c r="AA156" s="39" t="s">
        <v>2542</v>
      </c>
      <c r="AB156" s="39" t="s">
        <v>2486</v>
      </c>
      <c r="AC156" s="39" t="s">
        <v>2486</v>
      </c>
      <c r="AD156" s="39" t="s">
        <v>2543</v>
      </c>
      <c r="AE156" s="39" t="s">
        <v>2543</v>
      </c>
      <c r="AF156" s="39" t="s">
        <v>2543</v>
      </c>
      <c r="AG156" s="48" t="s">
        <v>2543</v>
      </c>
      <c r="AH156" s="48" t="s">
        <v>2486</v>
      </c>
      <c r="AI156" s="48" t="s">
        <v>2628</v>
      </c>
      <c r="AJ156" s="50" t="s">
        <v>2580</v>
      </c>
      <c r="AK156" s="51" t="s">
        <v>54</v>
      </c>
      <c r="AL156" s="39" t="s">
        <v>55</v>
      </c>
      <c r="AM156" s="41"/>
      <c r="AN156" s="42"/>
      <c r="AO156" s="38"/>
      <c r="AP156" s="7">
        <f>VLOOKUP(B:B,Table3[#All],4,0)</f>
        <v>5500</v>
      </c>
      <c r="AQ156" s="7">
        <f>calcShift1(Таблица1[[#This Row],[Столбец5]:[Столбец36]])</f>
        <v>92</v>
      </c>
      <c r="AR156" s="7">
        <f>calcShift2(Таблица1[[#This Row],[Столбец5]:[Столбец36]])</f>
        <v>64</v>
      </c>
      <c r="AS156" s="7">
        <f>calcShift3(Таблица1[[#This Row],[Столбец5]:[Столбец36]])</f>
        <v>0</v>
      </c>
      <c r="AT156" s="38"/>
      <c r="AU156" s="7">
        <f>calcYavka(Таблица1[[#This Row],[Столбец5]:[Столбец36]])</f>
        <v>20</v>
      </c>
      <c r="AV156" s="43"/>
      <c r="AW156" s="18">
        <f>VLOOKUP(B:B,ДОП_ВСІ!B:AS,44,0)</f>
        <v>0</v>
      </c>
      <c r="AX156" s="7">
        <f>VLOOKUP(B:B,ДОП_ВСІ!B:AQ,42,0)</f>
        <v>0</v>
      </c>
      <c r="AY156" s="7">
        <f>Таблица1[[#This Row],[Столбец47]]*30</f>
        <v>600</v>
      </c>
      <c r="AZ156" s="6">
        <f>((((Таблица1[[#This Row],[Столбец42]]/160)*Таблица1[[#This Row],[Столбец44]])*0.25)*0.35)+((((Таблица1[[#This Row],[Столбец42]]/160)*Таблица1[[#This Row],[Столбец44]])*0.5)*0.2)</f>
        <v>412.5</v>
      </c>
      <c r="BA156" s="38"/>
      <c r="BB156" s="47">
        <f>calcTS(Таблица1[[#This Row],[Столбец5]:[Столбец36]])</f>
        <v>0</v>
      </c>
    </row>
    <row r="157" spans="1:54" ht="42" x14ac:dyDescent="0.35">
      <c r="A157" s="37" t="s">
        <v>465</v>
      </c>
      <c r="B157" s="38" t="s">
        <v>466</v>
      </c>
      <c r="C157" s="39" t="s">
        <v>467</v>
      </c>
      <c r="D157" s="20" t="s">
        <v>2564</v>
      </c>
      <c r="E157" s="40" t="s">
        <v>141</v>
      </c>
      <c r="F157" s="39" t="s">
        <v>2486</v>
      </c>
      <c r="G157" s="39" t="s">
        <v>2486</v>
      </c>
      <c r="H157" s="39" t="s">
        <v>135</v>
      </c>
      <c r="I157" s="39" t="s">
        <v>135</v>
      </c>
      <c r="J157" s="39" t="s">
        <v>135</v>
      </c>
      <c r="K157" s="40" t="s">
        <v>135</v>
      </c>
      <c r="L157" s="39" t="s">
        <v>2486</v>
      </c>
      <c r="M157" s="39" t="s">
        <v>2486</v>
      </c>
      <c r="N157" s="40" t="s">
        <v>2543</v>
      </c>
      <c r="O157" s="40" t="s">
        <v>2543</v>
      </c>
      <c r="P157" s="40" t="s">
        <v>141</v>
      </c>
      <c r="Q157" s="40" t="s">
        <v>141</v>
      </c>
      <c r="R157" s="39" t="s">
        <v>2486</v>
      </c>
      <c r="S157" s="39" t="s">
        <v>2486</v>
      </c>
      <c r="T157" s="39" t="s">
        <v>2542</v>
      </c>
      <c r="U157" s="39" t="s">
        <v>2542</v>
      </c>
      <c r="V157" s="39" t="s">
        <v>2542</v>
      </c>
      <c r="W157" s="39" t="s">
        <v>2542</v>
      </c>
      <c r="X157" s="39" t="s">
        <v>2486</v>
      </c>
      <c r="Y157" s="39" t="s">
        <v>2486</v>
      </c>
      <c r="Z157" s="39" t="s">
        <v>2543</v>
      </c>
      <c r="AA157" s="39" t="s">
        <v>2543</v>
      </c>
      <c r="AB157" s="39" t="s">
        <v>2543</v>
      </c>
      <c r="AC157" s="39" t="s">
        <v>2543</v>
      </c>
      <c r="AD157" s="39" t="s">
        <v>2486</v>
      </c>
      <c r="AE157" s="39" t="s">
        <v>2486</v>
      </c>
      <c r="AF157" s="39" t="s">
        <v>2542</v>
      </c>
      <c r="AG157" s="48" t="s">
        <v>2542</v>
      </c>
      <c r="AH157" s="48" t="s">
        <v>2542</v>
      </c>
      <c r="AI157" s="48" t="s">
        <v>2580</v>
      </c>
      <c r="AJ157" s="50" t="s">
        <v>2580</v>
      </c>
      <c r="AK157" s="51" t="s">
        <v>54</v>
      </c>
      <c r="AL157" s="39" t="s">
        <v>55</v>
      </c>
      <c r="AM157" s="41"/>
      <c r="AN157" s="42"/>
      <c r="AO157" s="38"/>
      <c r="AP157" s="7">
        <f>VLOOKUP(B:B,Table3[#All],4,0)</f>
        <v>4800</v>
      </c>
      <c r="AQ157" s="7">
        <f>calcShift1(Таблица1[[#This Row],[Столбец5]:[Столбец36]])</f>
        <v>72</v>
      </c>
      <c r="AR157" s="7">
        <f>calcShift2(Таблица1[[#This Row],[Столбец5]:[Столбец36]])</f>
        <v>88</v>
      </c>
      <c r="AS157" s="7">
        <f>calcShift3(Таблица1[[#This Row],[Столбец5]:[Столбец36]])</f>
        <v>0</v>
      </c>
      <c r="AT157" s="38"/>
      <c r="AU157" s="7">
        <f>calcYavka(Таблица1[[#This Row],[Столбец5]:[Столбец36]])</f>
        <v>20</v>
      </c>
      <c r="AV157" s="43"/>
      <c r="AW157" s="18">
        <f>VLOOKUP(B:B,ДОП_ВСІ!B:AS,44,0)</f>
        <v>480</v>
      </c>
      <c r="AX157" s="7">
        <f>VLOOKUP(B:B,ДОП_ВСІ!B:AQ,42,0)</f>
        <v>0</v>
      </c>
      <c r="AY157" s="7"/>
      <c r="AZ157" s="6">
        <f>((((Таблица1[[#This Row],[Столбец42]]/160)*Таблица1[[#This Row],[Столбец44]])*0.25)*0.35)+((((Таблица1[[#This Row],[Столбец42]]/160)*Таблица1[[#This Row],[Столбец44]])*0.5)*0.2)</f>
        <v>495</v>
      </c>
      <c r="BA157" s="38"/>
      <c r="BB157" s="47">
        <f>calcTS(Таблица1[[#This Row],[Столбец5]:[Столбец36]])</f>
        <v>0</v>
      </c>
    </row>
    <row r="158" spans="1:54" x14ac:dyDescent="0.35">
      <c r="A158" s="37" t="s">
        <v>468</v>
      </c>
      <c r="B158" s="38" t="s">
        <v>469</v>
      </c>
      <c r="C158" s="39" t="s">
        <v>123</v>
      </c>
      <c r="D158" s="20" t="s">
        <v>2564</v>
      </c>
      <c r="E158" s="40" t="s">
        <v>141</v>
      </c>
      <c r="F158" s="39" t="s">
        <v>2486</v>
      </c>
      <c r="G158" s="39" t="s">
        <v>2486</v>
      </c>
      <c r="H158" s="39" t="s">
        <v>135</v>
      </c>
      <c r="I158" s="39" t="s">
        <v>135</v>
      </c>
      <c r="J158" s="39" t="s">
        <v>135</v>
      </c>
      <c r="K158" s="40" t="s">
        <v>2531</v>
      </c>
      <c r="L158" s="39" t="s">
        <v>2486</v>
      </c>
      <c r="M158" s="39" t="s">
        <v>2486</v>
      </c>
      <c r="N158" s="40" t="s">
        <v>2531</v>
      </c>
      <c r="O158" s="40" t="s">
        <v>2531</v>
      </c>
      <c r="P158" s="40" t="s">
        <v>141</v>
      </c>
      <c r="Q158" s="40" t="s">
        <v>141</v>
      </c>
      <c r="R158" s="39" t="s">
        <v>2486</v>
      </c>
      <c r="S158" s="39" t="s">
        <v>2486</v>
      </c>
      <c r="T158" s="39" t="s">
        <v>2542</v>
      </c>
      <c r="U158" s="39" t="s">
        <v>2542</v>
      </c>
      <c r="V158" s="39" t="s">
        <v>2542</v>
      </c>
      <c r="W158" s="39" t="s">
        <v>2542</v>
      </c>
      <c r="X158" s="39" t="s">
        <v>2486</v>
      </c>
      <c r="Y158" s="39" t="s">
        <v>2486</v>
      </c>
      <c r="Z158" s="39" t="s">
        <v>2543</v>
      </c>
      <c r="AA158" s="39" t="s">
        <v>2543</v>
      </c>
      <c r="AB158" s="39" t="s">
        <v>2543</v>
      </c>
      <c r="AC158" s="39" t="s">
        <v>2543</v>
      </c>
      <c r="AD158" s="39" t="s">
        <v>2486</v>
      </c>
      <c r="AE158" s="39" t="s">
        <v>2486</v>
      </c>
      <c r="AF158" s="39" t="s">
        <v>2542</v>
      </c>
      <c r="AG158" s="48" t="s">
        <v>2542</v>
      </c>
      <c r="AH158" s="48" t="s">
        <v>2542</v>
      </c>
      <c r="AI158" s="48" t="s">
        <v>2586</v>
      </c>
      <c r="AJ158" s="50" t="s">
        <v>2580</v>
      </c>
      <c r="AK158" s="51" t="s">
        <v>52</v>
      </c>
      <c r="AL158" s="39" t="s">
        <v>69</v>
      </c>
      <c r="AM158" s="41"/>
      <c r="AN158" s="42"/>
      <c r="AO158" s="38"/>
      <c r="AP158" s="7">
        <f>VLOOKUP(B:B,Table3[#All],4,0)</f>
        <v>5500</v>
      </c>
      <c r="AQ158" s="7">
        <f>calcShift1(Таблица1[[#This Row],[Столбец5]:[Столбец36]])</f>
        <v>55.999999999999993</v>
      </c>
      <c r="AR158" s="7">
        <f>calcShift2(Таблица1[[#This Row],[Столбец5]:[Столбец36]])</f>
        <v>80</v>
      </c>
      <c r="AS158" s="7">
        <f>calcShift3(Таблица1[[#This Row],[Столбец5]:[Столбец36]])</f>
        <v>0</v>
      </c>
      <c r="AT158" s="38"/>
      <c r="AU158" s="7">
        <f>calcYavka(Таблица1[[#This Row],[Столбец5]:[Столбец36]])</f>
        <v>17</v>
      </c>
      <c r="AV158" s="43"/>
      <c r="AW158" s="18">
        <f>VLOOKUP(B:B,ДОП_ВСІ!B:AS,44,0)</f>
        <v>0</v>
      </c>
      <c r="AX158" s="7">
        <f>VLOOKUP(B:B,ДОП_ВСІ!B:AQ,42,0)</f>
        <v>0</v>
      </c>
      <c r="AY158" s="7">
        <f>Таблица1[[#This Row],[Столбец47]]*30</f>
        <v>510</v>
      </c>
      <c r="AZ158" s="6">
        <f>((((Таблица1[[#This Row],[Столбец42]]/160)*Таблица1[[#This Row],[Столбец44]])*0.25)*0.35)+((((Таблица1[[#This Row],[Столбец42]]/160)*Таблица1[[#This Row],[Столбец44]])*0.5)*0.2)</f>
        <v>515.625</v>
      </c>
      <c r="BA158" s="38"/>
      <c r="BB158" s="47">
        <f>calcTS(Таблица1[[#This Row],[Столбец5]:[Столбец36]])</f>
        <v>0</v>
      </c>
    </row>
    <row r="159" spans="1:54" x14ac:dyDescent="0.35">
      <c r="A159" s="37" t="s">
        <v>470</v>
      </c>
      <c r="B159" s="38" t="s">
        <v>471</v>
      </c>
      <c r="C159" s="39" t="s">
        <v>123</v>
      </c>
      <c r="D159" s="20" t="s">
        <v>2564</v>
      </c>
      <c r="E159" s="40" t="s">
        <v>141</v>
      </c>
      <c r="F159" s="39" t="s">
        <v>2486</v>
      </c>
      <c r="G159" s="39" t="s">
        <v>2486</v>
      </c>
      <c r="H159" s="39" t="s">
        <v>135</v>
      </c>
      <c r="I159" s="39" t="s">
        <v>135</v>
      </c>
      <c r="J159" s="39" t="s">
        <v>135</v>
      </c>
      <c r="K159" s="40" t="s">
        <v>135</v>
      </c>
      <c r="L159" s="39" t="s">
        <v>2486</v>
      </c>
      <c r="M159" s="39" t="s">
        <v>2486</v>
      </c>
      <c r="N159" s="40" t="s">
        <v>141</v>
      </c>
      <c r="O159" s="40" t="s">
        <v>141</v>
      </c>
      <c r="P159" s="40" t="s">
        <v>141</v>
      </c>
      <c r="Q159" s="40" t="s">
        <v>141</v>
      </c>
      <c r="R159" s="39" t="s">
        <v>2486</v>
      </c>
      <c r="S159" s="39" t="s">
        <v>2486</v>
      </c>
      <c r="T159" s="39" t="s">
        <v>2542</v>
      </c>
      <c r="U159" s="39" t="s">
        <v>2542</v>
      </c>
      <c r="V159" s="39" t="s">
        <v>2542</v>
      </c>
      <c r="W159" s="39" t="s">
        <v>2542</v>
      </c>
      <c r="X159" s="39" t="s">
        <v>2486</v>
      </c>
      <c r="Y159" s="39" t="s">
        <v>2486</v>
      </c>
      <c r="Z159" s="39" t="s">
        <v>2543</v>
      </c>
      <c r="AA159" s="39" t="s">
        <v>2485</v>
      </c>
      <c r="AB159" s="39" t="s">
        <v>2485</v>
      </c>
      <c r="AC159" s="39" t="s">
        <v>2485</v>
      </c>
      <c r="AD159" s="39" t="s">
        <v>2486</v>
      </c>
      <c r="AE159" s="39" t="s">
        <v>2486</v>
      </c>
      <c r="AF159" s="39" t="s">
        <v>2542</v>
      </c>
      <c r="AG159" s="48" t="s">
        <v>2542</v>
      </c>
      <c r="AH159" s="48" t="s">
        <v>2542</v>
      </c>
      <c r="AI159" s="48" t="s">
        <v>2586</v>
      </c>
      <c r="AJ159" s="50" t="s">
        <v>2580</v>
      </c>
      <c r="AK159" s="51" t="s">
        <v>52</v>
      </c>
      <c r="AL159" s="39" t="s">
        <v>69</v>
      </c>
      <c r="AM159" s="41"/>
      <c r="AN159" s="42"/>
      <c r="AO159" s="38"/>
      <c r="AP159" s="7">
        <f>VLOOKUP(B:B,Table3[#All],4,0)</f>
        <v>5500</v>
      </c>
      <c r="AQ159" s="7">
        <f>calcShift1(Таблица1[[#This Row],[Столбец5]:[Столбец36]])</f>
        <v>47.999999999999993</v>
      </c>
      <c r="AR159" s="7">
        <f>calcShift2(Таблица1[[#This Row],[Столбец5]:[Столбец36]])</f>
        <v>88</v>
      </c>
      <c r="AS159" s="7">
        <f>calcShift3(Таблица1[[#This Row],[Столбец5]:[Столбец36]])</f>
        <v>0</v>
      </c>
      <c r="AT159" s="38"/>
      <c r="AU159" s="7">
        <f>calcYavka(Таблица1[[#This Row],[Столбец5]:[Столбец36]])</f>
        <v>17</v>
      </c>
      <c r="AV159" s="43"/>
      <c r="AW159" s="18">
        <f>VLOOKUP(B:B,ДОП_ВСІ!B:AS,44,0)</f>
        <v>0</v>
      </c>
      <c r="AX159" s="7">
        <f>VLOOKUP(B:B,ДОП_ВСІ!B:AQ,42,0)</f>
        <v>0</v>
      </c>
      <c r="AY159" s="7">
        <f>Таблица1[[#This Row],[Столбец47]]*30</f>
        <v>510</v>
      </c>
      <c r="AZ159" s="6">
        <f>((((Таблица1[[#This Row],[Столбец42]]/160)*Таблица1[[#This Row],[Столбец44]])*0.25)*0.35)+((((Таблица1[[#This Row],[Столбец42]]/160)*Таблица1[[#This Row],[Столбец44]])*0.5)*0.2)</f>
        <v>567.1875</v>
      </c>
      <c r="BA159" s="38"/>
      <c r="BB159" s="47">
        <f>calcTS(Таблица1[[#This Row],[Столбец5]:[Столбец36]])</f>
        <v>0</v>
      </c>
    </row>
    <row r="160" spans="1:54" x14ac:dyDescent="0.35">
      <c r="A160" s="37" t="s">
        <v>472</v>
      </c>
      <c r="B160" s="38" t="s">
        <v>473</v>
      </c>
      <c r="C160" s="39" t="s">
        <v>474</v>
      </c>
      <c r="D160" s="20" t="s">
        <v>2564</v>
      </c>
      <c r="E160" s="40" t="s">
        <v>141</v>
      </c>
      <c r="F160" s="39" t="s">
        <v>2486</v>
      </c>
      <c r="G160" s="39" t="s">
        <v>2486</v>
      </c>
      <c r="H160" s="39" t="s">
        <v>135</v>
      </c>
      <c r="I160" s="39" t="s">
        <v>135</v>
      </c>
      <c r="J160" s="39" t="s">
        <v>135</v>
      </c>
      <c r="K160" s="40" t="s">
        <v>135</v>
      </c>
      <c r="L160" s="39" t="s">
        <v>2486</v>
      </c>
      <c r="M160" s="39" t="s">
        <v>2486</v>
      </c>
      <c r="N160" s="40" t="s">
        <v>141</v>
      </c>
      <c r="O160" s="40" t="s">
        <v>141</v>
      </c>
      <c r="P160" s="40" t="s">
        <v>141</v>
      </c>
      <c r="Q160" s="40" t="s">
        <v>141</v>
      </c>
      <c r="R160" s="39" t="s">
        <v>2486</v>
      </c>
      <c r="S160" s="39" t="s">
        <v>2486</v>
      </c>
      <c r="T160" s="39" t="s">
        <v>2542</v>
      </c>
      <c r="U160" s="39" t="s">
        <v>2542</v>
      </c>
      <c r="V160" s="39" t="s">
        <v>2542</v>
      </c>
      <c r="W160" s="39" t="s">
        <v>2542</v>
      </c>
      <c r="X160" s="39" t="s">
        <v>2486</v>
      </c>
      <c r="Y160" s="39" t="s">
        <v>2486</v>
      </c>
      <c r="Z160" s="39" t="s">
        <v>2543</v>
      </c>
      <c r="AA160" s="39" t="s">
        <v>2543</v>
      </c>
      <c r="AB160" s="39" t="s">
        <v>2543</v>
      </c>
      <c r="AC160" s="39" t="s">
        <v>2543</v>
      </c>
      <c r="AD160" s="39" t="s">
        <v>2486</v>
      </c>
      <c r="AE160" s="39" t="s">
        <v>2486</v>
      </c>
      <c r="AF160" s="39" t="s">
        <v>2542</v>
      </c>
      <c r="AG160" s="48" t="s">
        <v>2542</v>
      </c>
      <c r="AH160" s="48" t="s">
        <v>2542</v>
      </c>
      <c r="AI160" s="48" t="s">
        <v>2580</v>
      </c>
      <c r="AJ160" s="50" t="s">
        <v>2580</v>
      </c>
      <c r="AK160" s="51" t="s">
        <v>54</v>
      </c>
      <c r="AL160" s="39" t="s">
        <v>55</v>
      </c>
      <c r="AM160" s="41"/>
      <c r="AN160" s="42"/>
      <c r="AO160" s="38"/>
      <c r="AP160" s="7">
        <f>VLOOKUP(B:B,Table3[#All],4,0)</f>
        <v>5500</v>
      </c>
      <c r="AQ160" s="7">
        <f>calcShift1(Таблица1[[#This Row],[Столбец5]:[Столбец36]])</f>
        <v>72</v>
      </c>
      <c r="AR160" s="7">
        <f>calcShift2(Таблица1[[#This Row],[Столбец5]:[Столбец36]])</f>
        <v>88</v>
      </c>
      <c r="AS160" s="7">
        <f>calcShift3(Таблица1[[#This Row],[Столбец5]:[Столбец36]])</f>
        <v>0</v>
      </c>
      <c r="AT160" s="38"/>
      <c r="AU160" s="7">
        <f>calcYavka(Таблица1[[#This Row],[Столбец5]:[Столбец36]])</f>
        <v>20</v>
      </c>
      <c r="AV160" s="43"/>
      <c r="AW160" s="18">
        <f>VLOOKUP(B:B,ДОП_ВСІ!B:AS,44,0)</f>
        <v>0</v>
      </c>
      <c r="AX160" s="7">
        <f>VLOOKUP(B:B,ДОП_ВСІ!B:AQ,42,0)</f>
        <v>0</v>
      </c>
      <c r="AY160" s="7">
        <f>Таблица1[[#This Row],[Столбец47]]*30</f>
        <v>600</v>
      </c>
      <c r="AZ160" s="6">
        <f>((((Таблица1[[#This Row],[Столбец42]]/160)*Таблица1[[#This Row],[Столбец44]])*0.25)*0.35)+((((Таблица1[[#This Row],[Столбец42]]/160)*Таблица1[[#This Row],[Столбец44]])*0.5)*0.2)</f>
        <v>567.1875</v>
      </c>
      <c r="BA160" s="38"/>
      <c r="BB160" s="47">
        <f>calcTS(Таблица1[[#This Row],[Столбец5]:[Столбец36]])</f>
        <v>0</v>
      </c>
    </row>
    <row r="161" spans="1:54" ht="42" x14ac:dyDescent="0.35">
      <c r="A161" s="37" t="s">
        <v>475</v>
      </c>
      <c r="B161" s="38" t="s">
        <v>476</v>
      </c>
      <c r="C161" s="39" t="s">
        <v>474</v>
      </c>
      <c r="D161" s="20" t="s">
        <v>2564</v>
      </c>
      <c r="E161" s="40" t="s">
        <v>141</v>
      </c>
      <c r="F161" s="39" t="s">
        <v>2486</v>
      </c>
      <c r="G161" s="39" t="s">
        <v>2486</v>
      </c>
      <c r="H161" s="39" t="s">
        <v>135</v>
      </c>
      <c r="I161" s="39" t="s">
        <v>135</v>
      </c>
      <c r="J161" s="39" t="s">
        <v>135</v>
      </c>
      <c r="K161" s="40" t="s">
        <v>135</v>
      </c>
      <c r="L161" s="39" t="s">
        <v>2486</v>
      </c>
      <c r="M161" s="39" t="s">
        <v>2486</v>
      </c>
      <c r="N161" s="40" t="s">
        <v>2543</v>
      </c>
      <c r="O161" s="40" t="s">
        <v>2531</v>
      </c>
      <c r="P161" s="40" t="s">
        <v>2531</v>
      </c>
      <c r="Q161" s="40" t="s">
        <v>2575</v>
      </c>
      <c r="R161" s="39" t="s">
        <v>2486</v>
      </c>
      <c r="S161" s="39" t="s">
        <v>2486</v>
      </c>
      <c r="T161" s="39" t="s">
        <v>2542</v>
      </c>
      <c r="U161" s="39" t="s">
        <v>2542</v>
      </c>
      <c r="V161" s="39" t="s">
        <v>2542</v>
      </c>
      <c r="W161" s="39" t="s">
        <v>2542</v>
      </c>
      <c r="X161" s="39" t="s">
        <v>2486</v>
      </c>
      <c r="Y161" s="39" t="s">
        <v>2486</v>
      </c>
      <c r="Z161" s="39" t="s">
        <v>141</v>
      </c>
      <c r="AA161" s="39" t="s">
        <v>141</v>
      </c>
      <c r="AB161" s="39" t="s">
        <v>2531</v>
      </c>
      <c r="AC161" s="39" t="s">
        <v>2594</v>
      </c>
      <c r="AD161" s="39" t="s">
        <v>2486</v>
      </c>
      <c r="AE161" s="39" t="s">
        <v>2486</v>
      </c>
      <c r="AF161" s="39" t="s">
        <v>2501</v>
      </c>
      <c r="AG161" s="48" t="s">
        <v>2501</v>
      </c>
      <c r="AH161" s="48" t="s">
        <v>2501</v>
      </c>
      <c r="AI161" s="48" t="s">
        <v>2629</v>
      </c>
      <c r="AJ161" s="50" t="s">
        <v>2580</v>
      </c>
      <c r="AK161" s="51" t="s">
        <v>74</v>
      </c>
      <c r="AL161" s="39" t="s">
        <v>76</v>
      </c>
      <c r="AM161" s="41"/>
      <c r="AN161" s="42"/>
      <c r="AO161" s="38"/>
      <c r="AP161" s="7">
        <f>VLOOKUP(B:B,Table3[#All],4,0)</f>
        <v>5500</v>
      </c>
      <c r="AQ161" s="7">
        <f>calcShift1(Таблица1[[#This Row],[Столбец5]:[Столбец36]])</f>
        <v>41</v>
      </c>
      <c r="AR161" s="7">
        <f>calcShift2(Таблица1[[#This Row],[Столбец5]:[Столбец36]])</f>
        <v>64</v>
      </c>
      <c r="AS161" s="7">
        <f>calcShift3(Таблица1[[#This Row],[Столбец5]:[Столбец36]])</f>
        <v>0</v>
      </c>
      <c r="AT161" s="38"/>
      <c r="AU161" s="7">
        <f>calcYavka(Таблица1[[#This Row],[Столбец5]:[Столбец36]])</f>
        <v>14</v>
      </c>
      <c r="AV161" s="43"/>
      <c r="AW161" s="18">
        <f>VLOOKUP(B:B,ДОП_ВСІ!B:AS,44,0)</f>
        <v>0</v>
      </c>
      <c r="AX161" s="7">
        <f>VLOOKUP(B:B,ДОП_ВСІ!B:AQ,42,0)</f>
        <v>0</v>
      </c>
      <c r="AY161" s="7">
        <f>Таблица1[[#This Row],[Столбец47]]*30</f>
        <v>420</v>
      </c>
      <c r="AZ161" s="6">
        <f>((((Таблица1[[#This Row],[Столбец42]]/160)*Таблица1[[#This Row],[Столбец44]])*0.25)*0.35)+((((Таблица1[[#This Row],[Столбец42]]/160)*Таблица1[[#This Row],[Столбец44]])*0.5)*0.2)</f>
        <v>412.5</v>
      </c>
      <c r="BA161" s="38"/>
      <c r="BB161" s="47">
        <f>calcTS(Таблица1[[#This Row],[Столбец5]:[Столбец36]])</f>
        <v>0</v>
      </c>
    </row>
    <row r="162" spans="1:54" ht="42" x14ac:dyDescent="0.35">
      <c r="A162" s="37" t="s">
        <v>477</v>
      </c>
      <c r="B162" s="38" t="s">
        <v>478</v>
      </c>
      <c r="C162" s="39" t="s">
        <v>123</v>
      </c>
      <c r="D162" s="20" t="s">
        <v>2564</v>
      </c>
      <c r="E162" s="40" t="s">
        <v>141</v>
      </c>
      <c r="F162" s="39" t="s">
        <v>2486</v>
      </c>
      <c r="G162" s="39" t="s">
        <v>2486</v>
      </c>
      <c r="H162" s="39" t="s">
        <v>2531</v>
      </c>
      <c r="I162" s="39" t="s">
        <v>135</v>
      </c>
      <c r="J162" s="39" t="s">
        <v>135</v>
      </c>
      <c r="K162" s="40" t="s">
        <v>135</v>
      </c>
      <c r="L162" s="39" t="s">
        <v>2486</v>
      </c>
      <c r="M162" s="39" t="s">
        <v>2486</v>
      </c>
      <c r="N162" s="40" t="s">
        <v>2543</v>
      </c>
      <c r="O162" s="40" t="s">
        <v>141</v>
      </c>
      <c r="P162" s="40" t="s">
        <v>141</v>
      </c>
      <c r="Q162" s="40" t="s">
        <v>141</v>
      </c>
      <c r="R162" s="39" t="s">
        <v>2486</v>
      </c>
      <c r="S162" s="39" t="s">
        <v>2486</v>
      </c>
      <c r="T162" s="39" t="s">
        <v>2542</v>
      </c>
      <c r="U162" s="39" t="s">
        <v>2542</v>
      </c>
      <c r="V162" s="39" t="s">
        <v>2542</v>
      </c>
      <c r="W162" s="39" t="s">
        <v>2542</v>
      </c>
      <c r="X162" s="39" t="s">
        <v>2486</v>
      </c>
      <c r="Y162" s="39" t="s">
        <v>2486</v>
      </c>
      <c r="Z162" s="39" t="s">
        <v>141</v>
      </c>
      <c r="AA162" s="39" t="s">
        <v>141</v>
      </c>
      <c r="AB162" s="39" t="s">
        <v>141</v>
      </c>
      <c r="AC162" s="39" t="s">
        <v>141</v>
      </c>
      <c r="AD162" s="39" t="s">
        <v>2486</v>
      </c>
      <c r="AE162" s="39" t="s">
        <v>2486</v>
      </c>
      <c r="AF162" s="39" t="s">
        <v>2542</v>
      </c>
      <c r="AG162" s="48" t="s">
        <v>2542</v>
      </c>
      <c r="AH162" s="48" t="s">
        <v>141</v>
      </c>
      <c r="AI162" s="48" t="s">
        <v>2597</v>
      </c>
      <c r="AJ162" s="50" t="s">
        <v>2580</v>
      </c>
      <c r="AK162" s="51" t="s">
        <v>72</v>
      </c>
      <c r="AL162" s="39" t="s">
        <v>71</v>
      </c>
      <c r="AM162" s="41"/>
      <c r="AN162" s="42"/>
      <c r="AO162" s="38"/>
      <c r="AP162" s="7">
        <f>VLOOKUP(B:B,Table3[#All],4,0)</f>
        <v>5500</v>
      </c>
      <c r="AQ162" s="7">
        <f>calcShift1(Таблица1[[#This Row],[Столбец5]:[Столбец36]])</f>
        <v>80</v>
      </c>
      <c r="AR162" s="7">
        <f>calcShift2(Таблица1[[#This Row],[Столбец5]:[Столбец36]])</f>
        <v>72</v>
      </c>
      <c r="AS162" s="7">
        <f>calcShift3(Таблица1[[#This Row],[Столбец5]:[Столбец36]])</f>
        <v>0</v>
      </c>
      <c r="AT162" s="38"/>
      <c r="AU162" s="7">
        <f>calcYavka(Таблица1[[#This Row],[Столбец5]:[Столбец36]])</f>
        <v>19</v>
      </c>
      <c r="AV162" s="43"/>
      <c r="AW162" s="18">
        <f>VLOOKUP(B:B,ДОП_ВСІ!B:AS,44,0)</f>
        <v>0</v>
      </c>
      <c r="AX162" s="7">
        <f>VLOOKUP(B:B,ДОП_ВСІ!B:AQ,42,0)</f>
        <v>1299.375</v>
      </c>
      <c r="AY162" s="7">
        <f>Таблица1[[#This Row],[Столбец47]]*30</f>
        <v>570</v>
      </c>
      <c r="AZ162" s="6">
        <f>((((Таблица1[[#This Row],[Столбец42]]/160)*Таблица1[[#This Row],[Столбец44]])*0.25)*0.35)+((((Таблица1[[#This Row],[Столбец42]]/160)*Таблица1[[#This Row],[Столбец44]])*0.5)*0.2)</f>
        <v>464.0625</v>
      </c>
      <c r="BA162" s="38"/>
      <c r="BB162" s="47">
        <f>calcTS(Таблица1[[#This Row],[Столбец5]:[Столбец36]])</f>
        <v>0</v>
      </c>
    </row>
    <row r="163" spans="1:54" ht="42" x14ac:dyDescent="0.35">
      <c r="A163" s="37" t="s">
        <v>479</v>
      </c>
      <c r="B163" s="38" t="s">
        <v>480</v>
      </c>
      <c r="C163" s="39" t="s">
        <v>123</v>
      </c>
      <c r="D163" s="20" t="s">
        <v>2564</v>
      </c>
      <c r="E163" s="40" t="s">
        <v>141</v>
      </c>
      <c r="F163" s="39" t="s">
        <v>2486</v>
      </c>
      <c r="G163" s="39" t="s">
        <v>2486</v>
      </c>
      <c r="H163" s="39" t="s">
        <v>2542</v>
      </c>
      <c r="I163" s="39" t="s">
        <v>2542</v>
      </c>
      <c r="J163" s="39" t="s">
        <v>2542</v>
      </c>
      <c r="K163" s="40" t="s">
        <v>2542</v>
      </c>
      <c r="L163" s="39" t="s">
        <v>2486</v>
      </c>
      <c r="M163" s="39" t="s">
        <v>2486</v>
      </c>
      <c r="N163" s="40" t="s">
        <v>2543</v>
      </c>
      <c r="O163" s="40" t="s">
        <v>2543</v>
      </c>
      <c r="P163" s="40" t="s">
        <v>2543</v>
      </c>
      <c r="Q163" s="40" t="s">
        <v>2543</v>
      </c>
      <c r="R163" s="39" t="s">
        <v>2486</v>
      </c>
      <c r="S163" s="39" t="s">
        <v>2486</v>
      </c>
      <c r="T163" s="39" t="s">
        <v>2501</v>
      </c>
      <c r="U163" s="39" t="s">
        <v>2501</v>
      </c>
      <c r="V163" s="39" t="s">
        <v>2501</v>
      </c>
      <c r="W163" s="39" t="s">
        <v>2501</v>
      </c>
      <c r="X163" s="39" t="s">
        <v>2501</v>
      </c>
      <c r="Y163" s="39" t="s">
        <v>2501</v>
      </c>
      <c r="Z163" s="39" t="s">
        <v>2501</v>
      </c>
      <c r="AA163" s="39" t="s">
        <v>2501</v>
      </c>
      <c r="AB163" s="39" t="s">
        <v>2501</v>
      </c>
      <c r="AC163" s="39" t="s">
        <v>2501</v>
      </c>
      <c r="AD163" s="39" t="s">
        <v>2501</v>
      </c>
      <c r="AE163" s="39" t="s">
        <v>2501</v>
      </c>
      <c r="AF163" s="39" t="s">
        <v>2501</v>
      </c>
      <c r="AG163" s="48" t="s">
        <v>2501</v>
      </c>
      <c r="AH163" s="48" t="s">
        <v>2501</v>
      </c>
      <c r="AI163" s="48" t="s">
        <v>2584</v>
      </c>
      <c r="AJ163" s="50" t="s">
        <v>2580</v>
      </c>
      <c r="AK163" s="51" t="s">
        <v>2585</v>
      </c>
      <c r="AL163" s="39" t="s">
        <v>53</v>
      </c>
      <c r="AM163" s="41"/>
      <c r="AN163" s="42"/>
      <c r="AO163" s="38"/>
      <c r="AP163" s="7">
        <f>VLOOKUP(B:B,Table3[#All],4,0)</f>
        <v>5500</v>
      </c>
      <c r="AQ163" s="7">
        <f>calcShift1(Таблица1[[#This Row],[Столбец5]:[Столбец36]])</f>
        <v>40</v>
      </c>
      <c r="AR163" s="7">
        <f>calcShift2(Таблица1[[#This Row],[Столбец5]:[Столбец36]])</f>
        <v>32</v>
      </c>
      <c r="AS163" s="7">
        <f>calcShift3(Таблица1[[#This Row],[Столбец5]:[Столбец36]])</f>
        <v>0</v>
      </c>
      <c r="AT163" s="38"/>
      <c r="AU163" s="7">
        <f>calcYavka(Таблица1[[#This Row],[Столбец5]:[Столбец36]])</f>
        <v>9</v>
      </c>
      <c r="AV163" s="43"/>
      <c r="AW163" s="18">
        <f>VLOOKUP(B:B,ДОП_ВСІ!B:AS,44,0)</f>
        <v>0</v>
      </c>
      <c r="AX163" s="7">
        <f>VLOOKUP(B:B,ДОП_ВСІ!B:AQ,42,0)</f>
        <v>0</v>
      </c>
      <c r="AY163" s="7">
        <f>Таблица1[[#This Row],[Столбец47]]*30</f>
        <v>270</v>
      </c>
      <c r="AZ163" s="6">
        <f>((((Таблица1[[#This Row],[Столбец42]]/160)*Таблица1[[#This Row],[Столбец44]])*0.25)*0.35)+((((Таблица1[[#This Row],[Столбец42]]/160)*Таблица1[[#This Row],[Столбец44]])*0.5)*0.2)</f>
        <v>206.25</v>
      </c>
      <c r="BA163" s="38"/>
      <c r="BB163" s="47">
        <f>calcTS(Таблица1[[#This Row],[Столбец5]:[Столбец36]])</f>
        <v>0</v>
      </c>
    </row>
    <row r="164" spans="1:54" x14ac:dyDescent="0.35">
      <c r="A164" s="37" t="s">
        <v>481</v>
      </c>
      <c r="B164" s="38" t="s">
        <v>482</v>
      </c>
      <c r="C164" s="39" t="s">
        <v>123</v>
      </c>
      <c r="D164" s="20" t="s">
        <v>2564</v>
      </c>
      <c r="E164" s="40" t="s">
        <v>135</v>
      </c>
      <c r="F164" s="39" t="s">
        <v>135</v>
      </c>
      <c r="G164" s="39" t="s">
        <v>135</v>
      </c>
      <c r="H164" s="39" t="s">
        <v>2486</v>
      </c>
      <c r="I164" s="39" t="s">
        <v>2486</v>
      </c>
      <c r="J164" s="39" t="s">
        <v>2543</v>
      </c>
      <c r="K164" s="40" t="s">
        <v>2531</v>
      </c>
      <c r="L164" s="39" t="s">
        <v>2543</v>
      </c>
      <c r="M164" s="39" t="s">
        <v>2543</v>
      </c>
      <c r="N164" s="40" t="s">
        <v>2486</v>
      </c>
      <c r="O164" s="40" t="s">
        <v>2486</v>
      </c>
      <c r="P164" s="40" t="s">
        <v>135</v>
      </c>
      <c r="Q164" s="40" t="s">
        <v>2531</v>
      </c>
      <c r="R164" s="39" t="s">
        <v>135</v>
      </c>
      <c r="S164" s="39" t="s">
        <v>135</v>
      </c>
      <c r="T164" s="39" t="s">
        <v>2486</v>
      </c>
      <c r="U164" s="39" t="s">
        <v>2486</v>
      </c>
      <c r="V164" s="39" t="s">
        <v>2531</v>
      </c>
      <c r="W164" s="39" t="s">
        <v>2543</v>
      </c>
      <c r="X164" s="39" t="s">
        <v>2543</v>
      </c>
      <c r="Y164" s="39" t="s">
        <v>2543</v>
      </c>
      <c r="Z164" s="39" t="s">
        <v>2486</v>
      </c>
      <c r="AA164" s="39" t="s">
        <v>2486</v>
      </c>
      <c r="AB164" s="39" t="s">
        <v>2542</v>
      </c>
      <c r="AC164" s="39" t="s">
        <v>2542</v>
      </c>
      <c r="AD164" s="39" t="s">
        <v>2542</v>
      </c>
      <c r="AE164" s="39" t="s">
        <v>2542</v>
      </c>
      <c r="AF164" s="39" t="s">
        <v>2486</v>
      </c>
      <c r="AG164" s="48" t="s">
        <v>2486</v>
      </c>
      <c r="AH164" s="48" t="s">
        <v>141</v>
      </c>
      <c r="AI164" s="48" t="s">
        <v>2586</v>
      </c>
      <c r="AJ164" s="50" t="s">
        <v>2580</v>
      </c>
      <c r="AK164" s="51" t="s">
        <v>52</v>
      </c>
      <c r="AL164" s="39" t="s">
        <v>69</v>
      </c>
      <c r="AM164" s="41"/>
      <c r="AN164" s="42"/>
      <c r="AO164" s="38"/>
      <c r="AP164" s="7">
        <f>VLOOKUP(B:B,Table3[#All],4,0)</f>
        <v>5500</v>
      </c>
      <c r="AQ164" s="7">
        <f>calcShift1(Таблица1[[#This Row],[Столбец5]:[Столбец36]])</f>
        <v>55.999999999999993</v>
      </c>
      <c r="AR164" s="7">
        <f>calcShift2(Таблица1[[#This Row],[Столбец5]:[Столбец36]])</f>
        <v>80</v>
      </c>
      <c r="AS164" s="7">
        <f>calcShift3(Таблица1[[#This Row],[Столбец5]:[Столбец36]])</f>
        <v>0</v>
      </c>
      <c r="AT164" s="38"/>
      <c r="AU164" s="7">
        <f>calcYavka(Таблица1[[#This Row],[Столбец5]:[Столбец36]])</f>
        <v>17</v>
      </c>
      <c r="AV164" s="43"/>
      <c r="AW164" s="18">
        <f>VLOOKUP(B:B,ДОП_ВСІ!B:AS,44,0)</f>
        <v>0</v>
      </c>
      <c r="AX164" s="7">
        <f>VLOOKUP(B:B,ДОП_ВСІ!B:AQ,42,0)</f>
        <v>649.6875</v>
      </c>
      <c r="AY164" s="7">
        <f>Таблица1[[#This Row],[Столбец47]]*30</f>
        <v>510</v>
      </c>
      <c r="AZ164" s="6">
        <f>((((Таблица1[[#This Row],[Столбец42]]/160)*Таблица1[[#This Row],[Столбец44]])*0.25)*0.35)+((((Таблица1[[#This Row],[Столбец42]]/160)*Таблица1[[#This Row],[Столбец44]])*0.5)*0.2)</f>
        <v>515.625</v>
      </c>
      <c r="BA164" s="38"/>
      <c r="BB164" s="47">
        <f>calcTS(Таблица1[[#This Row],[Столбец5]:[Столбец36]])</f>
        <v>0</v>
      </c>
    </row>
    <row r="165" spans="1:54" ht="42" x14ac:dyDescent="0.35">
      <c r="A165" s="37" t="s">
        <v>483</v>
      </c>
      <c r="B165" s="38" t="s">
        <v>484</v>
      </c>
      <c r="C165" s="39" t="s">
        <v>123</v>
      </c>
      <c r="D165" s="20" t="s">
        <v>2564</v>
      </c>
      <c r="E165" s="40" t="s">
        <v>135</v>
      </c>
      <c r="F165" s="39" t="s">
        <v>135</v>
      </c>
      <c r="G165" s="39" t="s">
        <v>135</v>
      </c>
      <c r="H165" s="39" t="s">
        <v>2486</v>
      </c>
      <c r="I165" s="39" t="s">
        <v>2486</v>
      </c>
      <c r="J165" s="39" t="s">
        <v>2543</v>
      </c>
      <c r="K165" s="40" t="s">
        <v>2543</v>
      </c>
      <c r="L165" s="39" t="s">
        <v>2543</v>
      </c>
      <c r="M165" s="39" t="s">
        <v>2543</v>
      </c>
      <c r="N165" s="40" t="s">
        <v>2486</v>
      </c>
      <c r="O165" s="40" t="s">
        <v>2486</v>
      </c>
      <c r="P165" s="40" t="s">
        <v>135</v>
      </c>
      <c r="Q165" s="40" t="s">
        <v>135</v>
      </c>
      <c r="R165" s="39" t="s">
        <v>135</v>
      </c>
      <c r="S165" s="39" t="s">
        <v>135</v>
      </c>
      <c r="T165" s="39" t="s">
        <v>2486</v>
      </c>
      <c r="U165" s="39" t="s">
        <v>2486</v>
      </c>
      <c r="V165" s="39" t="s">
        <v>2543</v>
      </c>
      <c r="W165" s="39" t="s">
        <v>2543</v>
      </c>
      <c r="X165" s="39" t="s">
        <v>2543</v>
      </c>
      <c r="Y165" s="39" t="s">
        <v>2543</v>
      </c>
      <c r="Z165" s="39" t="s">
        <v>2486</v>
      </c>
      <c r="AA165" s="39" t="s">
        <v>2486</v>
      </c>
      <c r="AB165" s="39" t="s">
        <v>2542</v>
      </c>
      <c r="AC165" s="39" t="s">
        <v>2542</v>
      </c>
      <c r="AD165" s="39" t="s">
        <v>2542</v>
      </c>
      <c r="AE165" s="39" t="s">
        <v>2542</v>
      </c>
      <c r="AF165" s="39" t="s">
        <v>2486</v>
      </c>
      <c r="AG165" s="48" t="s">
        <v>2486</v>
      </c>
      <c r="AH165" s="48" t="s">
        <v>141</v>
      </c>
      <c r="AI165" s="48" t="s">
        <v>2580</v>
      </c>
      <c r="AJ165" s="50" t="s">
        <v>2580</v>
      </c>
      <c r="AK165" s="51" t="s">
        <v>54</v>
      </c>
      <c r="AL165" s="39" t="s">
        <v>55</v>
      </c>
      <c r="AM165" s="41"/>
      <c r="AN165" s="42"/>
      <c r="AO165" s="38"/>
      <c r="AP165" s="7">
        <f>VLOOKUP(B:B,Table3[#All],4,0)</f>
        <v>5500</v>
      </c>
      <c r="AQ165" s="7">
        <f>calcShift1(Таблица1[[#This Row],[Столбец5]:[Столбец36]])</f>
        <v>72</v>
      </c>
      <c r="AR165" s="7">
        <f>calcShift2(Таблица1[[#This Row],[Столбец5]:[Столбец36]])</f>
        <v>88</v>
      </c>
      <c r="AS165" s="7">
        <f>calcShift3(Таблица1[[#This Row],[Столбец5]:[Столбец36]])</f>
        <v>0</v>
      </c>
      <c r="AT165" s="38"/>
      <c r="AU165" s="7">
        <f>calcYavka(Таблица1[[#This Row],[Столбец5]:[Столбец36]])</f>
        <v>20</v>
      </c>
      <c r="AV165" s="43"/>
      <c r="AW165" s="18">
        <f>VLOOKUP(B:B,ДОП_ВСІ!B:AS,44,0)</f>
        <v>0</v>
      </c>
      <c r="AX165" s="7">
        <f>VLOOKUP(B:B,ДОП_ВСІ!B:AQ,42,0)</f>
        <v>0</v>
      </c>
      <c r="AY165" s="7">
        <f>Таблица1[[#This Row],[Столбец47]]*30</f>
        <v>600</v>
      </c>
      <c r="AZ165" s="6">
        <f>((((Таблица1[[#This Row],[Столбец42]]/160)*Таблица1[[#This Row],[Столбец44]])*0.25)*0.35)+((((Таблица1[[#This Row],[Столбец42]]/160)*Таблица1[[#This Row],[Столбец44]])*0.5)*0.2)</f>
        <v>567.1875</v>
      </c>
      <c r="BA165" s="38"/>
      <c r="BB165" s="47">
        <f>calcTS(Таблица1[[#This Row],[Столбец5]:[Столбец36]])</f>
        <v>0</v>
      </c>
    </row>
    <row r="166" spans="1:54" ht="42" x14ac:dyDescent="0.35">
      <c r="A166" s="37" t="s">
        <v>485</v>
      </c>
      <c r="B166" s="38" t="s">
        <v>486</v>
      </c>
      <c r="C166" s="39" t="s">
        <v>123</v>
      </c>
      <c r="D166" s="20" t="s">
        <v>2564</v>
      </c>
      <c r="E166" s="40" t="s">
        <v>135</v>
      </c>
      <c r="F166" s="39" t="s">
        <v>135</v>
      </c>
      <c r="G166" s="39" t="s">
        <v>135</v>
      </c>
      <c r="H166" s="39" t="s">
        <v>2486</v>
      </c>
      <c r="I166" s="39" t="s">
        <v>2486</v>
      </c>
      <c r="J166" s="39" t="s">
        <v>2543</v>
      </c>
      <c r="K166" s="40" t="s">
        <v>2543</v>
      </c>
      <c r="L166" s="39" t="s">
        <v>2543</v>
      </c>
      <c r="M166" s="39" t="s">
        <v>2543</v>
      </c>
      <c r="N166" s="40" t="s">
        <v>2486</v>
      </c>
      <c r="O166" s="40" t="s">
        <v>2486</v>
      </c>
      <c r="P166" s="40" t="s">
        <v>135</v>
      </c>
      <c r="Q166" s="40" t="s">
        <v>135</v>
      </c>
      <c r="R166" s="39" t="s">
        <v>135</v>
      </c>
      <c r="S166" s="39" t="s">
        <v>135</v>
      </c>
      <c r="T166" s="39" t="s">
        <v>2486</v>
      </c>
      <c r="U166" s="39" t="s">
        <v>2486</v>
      </c>
      <c r="V166" s="39" t="s">
        <v>2543</v>
      </c>
      <c r="W166" s="39" t="s">
        <v>2543</v>
      </c>
      <c r="X166" s="39" t="s">
        <v>2543</v>
      </c>
      <c r="Y166" s="39" t="s">
        <v>2543</v>
      </c>
      <c r="Z166" s="39" t="s">
        <v>2486</v>
      </c>
      <c r="AA166" s="39" t="s">
        <v>2486</v>
      </c>
      <c r="AB166" s="39" t="s">
        <v>2542</v>
      </c>
      <c r="AC166" s="39" t="s">
        <v>2542</v>
      </c>
      <c r="AD166" s="39" t="s">
        <v>2542</v>
      </c>
      <c r="AE166" s="39" t="s">
        <v>2542</v>
      </c>
      <c r="AF166" s="39" t="s">
        <v>2486</v>
      </c>
      <c r="AG166" s="48" t="s">
        <v>2486</v>
      </c>
      <c r="AH166" s="48" t="s">
        <v>141</v>
      </c>
      <c r="AI166" s="48" t="s">
        <v>2580</v>
      </c>
      <c r="AJ166" s="50" t="s">
        <v>2580</v>
      </c>
      <c r="AK166" s="51" t="s">
        <v>54</v>
      </c>
      <c r="AL166" s="39" t="s">
        <v>55</v>
      </c>
      <c r="AM166" s="41"/>
      <c r="AN166" s="42"/>
      <c r="AO166" s="38"/>
      <c r="AP166" s="7">
        <f>VLOOKUP(B:B,Table3[#All],4,0)</f>
        <v>5500</v>
      </c>
      <c r="AQ166" s="7">
        <f>calcShift1(Таблица1[[#This Row],[Столбец5]:[Столбец36]])</f>
        <v>72</v>
      </c>
      <c r="AR166" s="7">
        <f>calcShift2(Таблица1[[#This Row],[Столбец5]:[Столбец36]])</f>
        <v>88</v>
      </c>
      <c r="AS166" s="7">
        <f>calcShift3(Таблица1[[#This Row],[Столбец5]:[Столбец36]])</f>
        <v>0</v>
      </c>
      <c r="AT166" s="38"/>
      <c r="AU166" s="7">
        <f>calcYavka(Таблица1[[#This Row],[Столбец5]:[Столбец36]])</f>
        <v>20</v>
      </c>
      <c r="AV166" s="43"/>
      <c r="AW166" s="18">
        <f>VLOOKUP(B:B,ДОП_ВСІ!B:AS,44,0)</f>
        <v>275</v>
      </c>
      <c r="AX166" s="7">
        <f>VLOOKUP(B:B,ДОП_ВСІ!B:AQ,42,0)</f>
        <v>0</v>
      </c>
      <c r="AY166" s="7">
        <f>Таблица1[[#This Row],[Столбец47]]*30</f>
        <v>600</v>
      </c>
      <c r="AZ166" s="6">
        <f>((((Таблица1[[#This Row],[Столбец42]]/160)*Таблица1[[#This Row],[Столбец44]])*0.25)*0.35)+((((Таблица1[[#This Row],[Столбец42]]/160)*Таблица1[[#This Row],[Столбец44]])*0.5)*0.2)</f>
        <v>567.1875</v>
      </c>
      <c r="BA166" s="38"/>
      <c r="BB166" s="47">
        <f>calcTS(Таблица1[[#This Row],[Столбец5]:[Столбец36]])</f>
        <v>0</v>
      </c>
    </row>
    <row r="167" spans="1:54" ht="42" x14ac:dyDescent="0.35">
      <c r="A167" s="37" t="s">
        <v>487</v>
      </c>
      <c r="B167" s="38" t="s">
        <v>488</v>
      </c>
      <c r="C167" s="39" t="s">
        <v>489</v>
      </c>
      <c r="D167" s="20" t="s">
        <v>2564</v>
      </c>
      <c r="E167" s="40" t="s">
        <v>135</v>
      </c>
      <c r="F167" s="39" t="s">
        <v>135</v>
      </c>
      <c r="G167" s="39" t="s">
        <v>135</v>
      </c>
      <c r="H167" s="39" t="s">
        <v>2486</v>
      </c>
      <c r="I167" s="39" t="s">
        <v>2486</v>
      </c>
      <c r="J167" s="39" t="s">
        <v>2543</v>
      </c>
      <c r="K167" s="40" t="s">
        <v>2543</v>
      </c>
      <c r="L167" s="39" t="s">
        <v>2543</v>
      </c>
      <c r="M167" s="39" t="s">
        <v>2543</v>
      </c>
      <c r="N167" s="40" t="s">
        <v>2486</v>
      </c>
      <c r="O167" s="40" t="s">
        <v>2486</v>
      </c>
      <c r="P167" s="40" t="s">
        <v>135</v>
      </c>
      <c r="Q167" s="40" t="s">
        <v>135</v>
      </c>
      <c r="R167" s="39" t="s">
        <v>135</v>
      </c>
      <c r="S167" s="39" t="s">
        <v>135</v>
      </c>
      <c r="T167" s="39" t="s">
        <v>2486</v>
      </c>
      <c r="U167" s="39" t="s">
        <v>2486</v>
      </c>
      <c r="V167" s="39" t="s">
        <v>2543</v>
      </c>
      <c r="W167" s="39" t="s">
        <v>2543</v>
      </c>
      <c r="X167" s="39" t="s">
        <v>2543</v>
      </c>
      <c r="Y167" s="39" t="s">
        <v>2543</v>
      </c>
      <c r="Z167" s="39" t="s">
        <v>2486</v>
      </c>
      <c r="AA167" s="39" t="s">
        <v>2486</v>
      </c>
      <c r="AB167" s="39" t="s">
        <v>2531</v>
      </c>
      <c r="AC167" s="39" t="s">
        <v>2542</v>
      </c>
      <c r="AD167" s="39" t="s">
        <v>2542</v>
      </c>
      <c r="AE167" s="39" t="s">
        <v>2542</v>
      </c>
      <c r="AF167" s="39" t="s">
        <v>2486</v>
      </c>
      <c r="AG167" s="48" t="s">
        <v>2486</v>
      </c>
      <c r="AH167" s="48" t="s">
        <v>141</v>
      </c>
      <c r="AI167" s="48" t="s">
        <v>2597</v>
      </c>
      <c r="AJ167" s="50" t="s">
        <v>2580</v>
      </c>
      <c r="AK167" s="51" t="s">
        <v>72</v>
      </c>
      <c r="AL167" s="39" t="s">
        <v>71</v>
      </c>
      <c r="AM167" s="41"/>
      <c r="AN167" s="42"/>
      <c r="AO167" s="38"/>
      <c r="AP167" s="7">
        <f>VLOOKUP(B:B,Table3[#All],4,0)</f>
        <v>4800</v>
      </c>
      <c r="AQ167" s="7">
        <f>calcShift1(Таблица1[[#This Row],[Столбец5]:[Столбец36]])</f>
        <v>72</v>
      </c>
      <c r="AR167" s="7">
        <f>calcShift2(Таблица1[[#This Row],[Столбец5]:[Столбец36]])</f>
        <v>80</v>
      </c>
      <c r="AS167" s="7">
        <f>calcShift3(Таблица1[[#This Row],[Столбец5]:[Столбец36]])</f>
        <v>0</v>
      </c>
      <c r="AT167" s="38"/>
      <c r="AU167" s="7">
        <f>calcYavka(Таблица1[[#This Row],[Столбец5]:[Столбец36]])</f>
        <v>19</v>
      </c>
      <c r="AV167" s="43"/>
      <c r="AW167" s="18">
        <f>VLOOKUP(B:B,ДОП_ВСІ!B:AS,44,0)</f>
        <v>0</v>
      </c>
      <c r="AX167" s="7">
        <f>VLOOKUP(B:B,ДОП_ВСІ!B:AQ,42,0)</f>
        <v>0</v>
      </c>
      <c r="AY167" s="7"/>
      <c r="AZ167" s="6">
        <f>((((Таблица1[[#This Row],[Столбец42]]/160)*Таблица1[[#This Row],[Столбец44]])*0.25)*0.35)+((((Таблица1[[#This Row],[Столбец42]]/160)*Таблица1[[#This Row],[Столбец44]])*0.5)*0.2)</f>
        <v>450</v>
      </c>
      <c r="BA167" s="38"/>
      <c r="BB167" s="47">
        <f>calcTS(Таблица1[[#This Row],[Столбец5]:[Столбец36]])</f>
        <v>0</v>
      </c>
    </row>
    <row r="168" spans="1:54" ht="42" x14ac:dyDescent="0.35">
      <c r="A168" s="37" t="s">
        <v>490</v>
      </c>
      <c r="B168" s="38" t="s">
        <v>491</v>
      </c>
      <c r="C168" s="39" t="s">
        <v>474</v>
      </c>
      <c r="D168" s="20" t="s">
        <v>2564</v>
      </c>
      <c r="E168" s="40" t="s">
        <v>135</v>
      </c>
      <c r="F168" s="39" t="s">
        <v>135</v>
      </c>
      <c r="G168" s="39" t="s">
        <v>1882</v>
      </c>
      <c r="H168" s="39" t="s">
        <v>2486</v>
      </c>
      <c r="I168" s="39" t="s">
        <v>2486</v>
      </c>
      <c r="J168" s="39" t="s">
        <v>2543</v>
      </c>
      <c r="K168" s="40" t="s">
        <v>2543</v>
      </c>
      <c r="L168" s="39" t="s">
        <v>2531</v>
      </c>
      <c r="M168" s="39" t="s">
        <v>2543</v>
      </c>
      <c r="N168" s="40" t="s">
        <v>2486</v>
      </c>
      <c r="O168" s="40" t="s">
        <v>2486</v>
      </c>
      <c r="P168" s="40" t="s">
        <v>135</v>
      </c>
      <c r="Q168" s="40" t="s">
        <v>135</v>
      </c>
      <c r="R168" s="39" t="s">
        <v>2531</v>
      </c>
      <c r="S168" s="39" t="s">
        <v>2531</v>
      </c>
      <c r="T168" s="39" t="s">
        <v>2486</v>
      </c>
      <c r="U168" s="39" t="s">
        <v>2486</v>
      </c>
      <c r="V168" s="39" t="s">
        <v>2619</v>
      </c>
      <c r="W168" s="39" t="s">
        <v>2543</v>
      </c>
      <c r="X168" s="39" t="s">
        <v>2543</v>
      </c>
      <c r="Y168" s="39" t="s">
        <v>2543</v>
      </c>
      <c r="Z168" s="39" t="s">
        <v>2486</v>
      </c>
      <c r="AA168" s="39" t="s">
        <v>2486</v>
      </c>
      <c r="AB168" s="39" t="s">
        <v>2542</v>
      </c>
      <c r="AC168" s="39" t="s">
        <v>2542</v>
      </c>
      <c r="AD168" s="39" t="s">
        <v>2542</v>
      </c>
      <c r="AE168" s="39" t="s">
        <v>2542</v>
      </c>
      <c r="AF168" s="39" t="s">
        <v>2486</v>
      </c>
      <c r="AG168" s="48" t="s">
        <v>2486</v>
      </c>
      <c r="AH168" s="48" t="s">
        <v>141</v>
      </c>
      <c r="AI168" s="48" t="s">
        <v>2630</v>
      </c>
      <c r="AJ168" s="50" t="s">
        <v>2580</v>
      </c>
      <c r="AK168" s="51" t="s">
        <v>52</v>
      </c>
      <c r="AL168" s="39" t="s">
        <v>69</v>
      </c>
      <c r="AM168" s="41"/>
      <c r="AN168" s="42"/>
      <c r="AO168" s="38"/>
      <c r="AP168" s="7">
        <f>VLOOKUP(B:B,Table3[#All],4,0)</f>
        <v>5500</v>
      </c>
      <c r="AQ168" s="7">
        <f>calcShift1(Таблица1[[#This Row],[Столбец5]:[Столбец36]])</f>
        <v>58</v>
      </c>
      <c r="AR168" s="7">
        <f>calcShift2(Таблица1[[#This Row],[Столбец5]:[Столбец36]])</f>
        <v>71</v>
      </c>
      <c r="AS168" s="7">
        <f>calcShift3(Таблица1[[#This Row],[Столбец5]:[Столбец36]])</f>
        <v>0</v>
      </c>
      <c r="AT168" s="38"/>
      <c r="AU168" s="7">
        <f>calcYavka(Таблица1[[#This Row],[Столбец5]:[Столбец36]])</f>
        <v>17</v>
      </c>
      <c r="AV168" s="43"/>
      <c r="AW168" s="18">
        <f>VLOOKUP(B:B,ДОП_ВСІ!B:AS,44,0)</f>
        <v>0</v>
      </c>
      <c r="AX168" s="7">
        <f>VLOOKUP(B:B,ДОП_ВСІ!B:AQ,42,0)</f>
        <v>649.6875</v>
      </c>
      <c r="AY168" s="7">
        <f>Таблица1[[#This Row],[Столбец47]]*30</f>
        <v>510</v>
      </c>
      <c r="AZ168" s="6">
        <f>((((Таблица1[[#This Row],[Столбец42]]/160)*Таблица1[[#This Row],[Столбец44]])*0.25)*0.35)+((((Таблица1[[#This Row],[Столбец42]]/160)*Таблица1[[#This Row],[Столбец44]])*0.5)*0.2)</f>
        <v>457.6171875</v>
      </c>
      <c r="BA168" s="38"/>
      <c r="BB168" s="47">
        <f>calcTS(Таблица1[[#This Row],[Столбец5]:[Столбец36]])</f>
        <v>0</v>
      </c>
    </row>
    <row r="169" spans="1:54" ht="42" x14ac:dyDescent="0.35">
      <c r="A169" s="37" t="s">
        <v>492</v>
      </c>
      <c r="B169" s="38" t="s">
        <v>493</v>
      </c>
      <c r="C169" s="39" t="s">
        <v>123</v>
      </c>
      <c r="D169" s="20" t="s">
        <v>2564</v>
      </c>
      <c r="E169" s="40" t="s">
        <v>135</v>
      </c>
      <c r="F169" s="39" t="s">
        <v>135</v>
      </c>
      <c r="G169" s="39" t="s">
        <v>135</v>
      </c>
      <c r="H169" s="39" t="s">
        <v>2486</v>
      </c>
      <c r="I169" s="39" t="s">
        <v>2486</v>
      </c>
      <c r="J169" s="39" t="s">
        <v>2543</v>
      </c>
      <c r="K169" s="40" t="s">
        <v>2543</v>
      </c>
      <c r="L169" s="39" t="s">
        <v>2543</v>
      </c>
      <c r="M169" s="39" t="s">
        <v>2543</v>
      </c>
      <c r="N169" s="40" t="s">
        <v>2486</v>
      </c>
      <c r="O169" s="40" t="s">
        <v>2486</v>
      </c>
      <c r="P169" s="40" t="s">
        <v>135</v>
      </c>
      <c r="Q169" s="40" t="s">
        <v>135</v>
      </c>
      <c r="R169" s="39" t="s">
        <v>135</v>
      </c>
      <c r="S169" s="39" t="s">
        <v>135</v>
      </c>
      <c r="T169" s="39" t="s">
        <v>2486</v>
      </c>
      <c r="U169" s="39" t="s">
        <v>2486</v>
      </c>
      <c r="V169" s="39" t="s">
        <v>2543</v>
      </c>
      <c r="W169" s="39" t="s">
        <v>141</v>
      </c>
      <c r="X169" s="39" t="s">
        <v>141</v>
      </c>
      <c r="Y169" s="39" t="s">
        <v>141</v>
      </c>
      <c r="Z169" s="39" t="s">
        <v>2486</v>
      </c>
      <c r="AA169" s="39" t="s">
        <v>2486</v>
      </c>
      <c r="AB169" s="39" t="s">
        <v>2542</v>
      </c>
      <c r="AC169" s="39" t="s">
        <v>2542</v>
      </c>
      <c r="AD169" s="39" t="s">
        <v>2542</v>
      </c>
      <c r="AE169" s="39" t="s">
        <v>2542</v>
      </c>
      <c r="AF169" s="39" t="s">
        <v>2486</v>
      </c>
      <c r="AG169" s="48" t="s">
        <v>2486</v>
      </c>
      <c r="AH169" s="48" t="s">
        <v>141</v>
      </c>
      <c r="AI169" s="48" t="s">
        <v>2580</v>
      </c>
      <c r="AJ169" s="50" t="s">
        <v>2580</v>
      </c>
      <c r="AK169" s="51" t="s">
        <v>54</v>
      </c>
      <c r="AL169" s="39" t="s">
        <v>55</v>
      </c>
      <c r="AM169" s="41"/>
      <c r="AN169" s="42"/>
      <c r="AO169" s="38"/>
      <c r="AP169" s="7">
        <f>VLOOKUP(B:B,Table3[#All],4,0)</f>
        <v>5500</v>
      </c>
      <c r="AQ169" s="7">
        <f>calcShift1(Таблица1[[#This Row],[Столбец5]:[Столбец36]])</f>
        <v>72</v>
      </c>
      <c r="AR169" s="7">
        <f>calcShift2(Таблица1[[#This Row],[Столбец5]:[Столбец36]])</f>
        <v>88</v>
      </c>
      <c r="AS169" s="7">
        <f>calcShift3(Таблица1[[#This Row],[Столбец5]:[Столбец36]])</f>
        <v>0</v>
      </c>
      <c r="AT169" s="38"/>
      <c r="AU169" s="7">
        <f>calcYavka(Таблица1[[#This Row],[Столбец5]:[Столбец36]])</f>
        <v>20</v>
      </c>
      <c r="AV169" s="43"/>
      <c r="AW169" s="18">
        <f>VLOOKUP(B:B,ДОП_ВСІ!B:AS,44,0)</f>
        <v>0</v>
      </c>
      <c r="AX169" s="7">
        <f>VLOOKUP(B:B,ДОП_ВСІ!B:AQ,42,0)</f>
        <v>1949.0625</v>
      </c>
      <c r="AY169" s="7">
        <f>Таблица1[[#This Row],[Столбец47]]*30</f>
        <v>600</v>
      </c>
      <c r="AZ169" s="6">
        <f>((((Таблица1[[#This Row],[Столбец42]]/160)*Таблица1[[#This Row],[Столбец44]])*0.25)*0.35)+((((Таблица1[[#This Row],[Столбец42]]/160)*Таблица1[[#This Row],[Столбец44]])*0.5)*0.2)</f>
        <v>567.1875</v>
      </c>
      <c r="BA169" s="38"/>
      <c r="BB169" s="47">
        <f>calcTS(Таблица1[[#This Row],[Столбец5]:[Столбец36]])</f>
        <v>0</v>
      </c>
    </row>
    <row r="170" spans="1:54" ht="42" x14ac:dyDescent="0.35">
      <c r="A170" s="46" t="s">
        <v>494</v>
      </c>
      <c r="B170" s="47" t="s">
        <v>495</v>
      </c>
      <c r="C170" s="48" t="s">
        <v>474</v>
      </c>
      <c r="D170" s="20" t="s">
        <v>2564</v>
      </c>
      <c r="E170" s="49" t="s">
        <v>2542</v>
      </c>
      <c r="F170" s="48" t="s">
        <v>2542</v>
      </c>
      <c r="G170" s="48" t="s">
        <v>2542</v>
      </c>
      <c r="H170" s="48" t="s">
        <v>2486</v>
      </c>
      <c r="I170" s="48" t="s">
        <v>2486</v>
      </c>
      <c r="J170" s="48" t="s">
        <v>141</v>
      </c>
      <c r="K170" s="49" t="s">
        <v>141</v>
      </c>
      <c r="L170" s="48" t="s">
        <v>141</v>
      </c>
      <c r="M170" s="48" t="s">
        <v>141</v>
      </c>
      <c r="N170" s="49" t="s">
        <v>2486</v>
      </c>
      <c r="O170" s="49" t="s">
        <v>2486</v>
      </c>
      <c r="P170" s="49" t="s">
        <v>2542</v>
      </c>
      <c r="Q170" s="49" t="s">
        <v>2542</v>
      </c>
      <c r="R170" s="48" t="s">
        <v>2542</v>
      </c>
      <c r="S170" s="48" t="s">
        <v>2542</v>
      </c>
      <c r="T170" s="48" t="s">
        <v>2486</v>
      </c>
      <c r="U170" s="48" t="s">
        <v>2486</v>
      </c>
      <c r="V170" s="48" t="s">
        <v>141</v>
      </c>
      <c r="W170" s="48" t="s">
        <v>2543</v>
      </c>
      <c r="X170" s="48" t="s">
        <v>2543</v>
      </c>
      <c r="Y170" s="48" t="s">
        <v>2575</v>
      </c>
      <c r="Z170" s="48" t="s">
        <v>2486</v>
      </c>
      <c r="AA170" s="48" t="s">
        <v>2486</v>
      </c>
      <c r="AB170" s="48" t="s">
        <v>2542</v>
      </c>
      <c r="AC170" s="48" t="s">
        <v>2542</v>
      </c>
      <c r="AD170" s="48" t="s">
        <v>2542</v>
      </c>
      <c r="AE170" s="48" t="s">
        <v>2542</v>
      </c>
      <c r="AF170" s="48" t="s">
        <v>2486</v>
      </c>
      <c r="AG170" s="48" t="s">
        <v>2486</v>
      </c>
      <c r="AH170" s="48" t="s">
        <v>141</v>
      </c>
      <c r="AI170" s="48" t="s">
        <v>2608</v>
      </c>
      <c r="AJ170" s="50" t="s">
        <v>2580</v>
      </c>
      <c r="AK170" s="51" t="s">
        <v>54</v>
      </c>
      <c r="AL170" s="48" t="s">
        <v>55</v>
      </c>
      <c r="AM170" s="50"/>
      <c r="AN170" s="51"/>
      <c r="AO170" s="47"/>
      <c r="AP170" s="7">
        <f>VLOOKUP(B:B,Table3[#All],4,0)</f>
        <v>5500</v>
      </c>
      <c r="AQ170" s="7">
        <f>calcShift1(Таблица1[[#This Row],[Столбец5]:[Столбец36]])</f>
        <v>69</v>
      </c>
      <c r="AR170" s="7">
        <f>calcShift2(Таблица1[[#This Row],[Столбец5]:[Столбец36]])</f>
        <v>88</v>
      </c>
      <c r="AS170" s="7">
        <f>calcShift3(Таблица1[[#This Row],[Столбец5]:[Столбец36]])</f>
        <v>0</v>
      </c>
      <c r="AT170" s="47"/>
      <c r="AU170" s="7">
        <f>calcYavka(Таблица1[[#This Row],[Столбец5]:[Столбец36]])</f>
        <v>20</v>
      </c>
      <c r="AV170" s="52"/>
      <c r="AW170" s="18">
        <f>VLOOKUP(B:B,ДОП_ВСІ!B:AS,44,0)</f>
        <v>0</v>
      </c>
      <c r="AX170" s="7">
        <f>VLOOKUP(B:B,ДОП_ВСІ!B:AQ,42,0)</f>
        <v>0</v>
      </c>
      <c r="AY170" s="7">
        <f>Таблица1[[#This Row],[Столбец47]]*30</f>
        <v>600</v>
      </c>
      <c r="AZ170" s="6">
        <f>((((Таблица1[[#This Row],[Столбец42]]/160)*Таблица1[[#This Row],[Столбец44]])*0.25)*0.35)+((((Таблица1[[#This Row],[Столбец42]]/160)*Таблица1[[#This Row],[Столбец44]])*0.5)*0.2)</f>
        <v>567.1875</v>
      </c>
      <c r="BA170" s="47"/>
      <c r="BB170" s="47">
        <f>calcTS(Таблица1[[#This Row],[Столбец5]:[Столбец36]])</f>
        <v>0</v>
      </c>
    </row>
    <row r="171" spans="1:54" ht="42" x14ac:dyDescent="0.35">
      <c r="A171" s="46" t="s">
        <v>121</v>
      </c>
      <c r="B171" s="47" t="s">
        <v>122</v>
      </c>
      <c r="C171" s="48" t="s">
        <v>474</v>
      </c>
      <c r="D171" s="20" t="s">
        <v>2564</v>
      </c>
      <c r="E171" s="49" t="s">
        <v>2543</v>
      </c>
      <c r="F171" s="48" t="s">
        <v>2486</v>
      </c>
      <c r="G171" s="48" t="s">
        <v>2486</v>
      </c>
      <c r="H171" s="48" t="s">
        <v>2542</v>
      </c>
      <c r="I171" s="48" t="s">
        <v>2542</v>
      </c>
      <c r="J171" s="48" t="s">
        <v>2542</v>
      </c>
      <c r="K171" s="49" t="s">
        <v>2542</v>
      </c>
      <c r="L171" s="48" t="s">
        <v>2486</v>
      </c>
      <c r="M171" s="48" t="s">
        <v>2486</v>
      </c>
      <c r="N171" s="49" t="s">
        <v>2543</v>
      </c>
      <c r="O171" s="49" t="s">
        <v>2543</v>
      </c>
      <c r="P171" s="49" t="s">
        <v>2543</v>
      </c>
      <c r="Q171" s="49" t="s">
        <v>2485</v>
      </c>
      <c r="R171" s="48" t="s">
        <v>2486</v>
      </c>
      <c r="S171" s="48" t="s">
        <v>2486</v>
      </c>
      <c r="T171" s="48" t="s">
        <v>2542</v>
      </c>
      <c r="U171" s="48" t="s">
        <v>2542</v>
      </c>
      <c r="V171" s="48" t="s">
        <v>2542</v>
      </c>
      <c r="W171" s="48" t="s">
        <v>2485</v>
      </c>
      <c r="X171" s="48" t="s">
        <v>2486</v>
      </c>
      <c r="Y171" s="48" t="s">
        <v>2486</v>
      </c>
      <c r="Z171" s="48" t="s">
        <v>341</v>
      </c>
      <c r="AA171" s="48" t="s">
        <v>2543</v>
      </c>
      <c r="AB171" s="48" t="s">
        <v>2543</v>
      </c>
      <c r="AC171" s="48" t="s">
        <v>2543</v>
      </c>
      <c r="AD171" s="48" t="s">
        <v>2486</v>
      </c>
      <c r="AE171" s="48" t="s">
        <v>2486</v>
      </c>
      <c r="AF171" s="48" t="s">
        <v>2542</v>
      </c>
      <c r="AG171" s="48" t="s">
        <v>2542</v>
      </c>
      <c r="AH171" s="48" t="s">
        <v>2542</v>
      </c>
      <c r="AI171" s="48" t="s">
        <v>2631</v>
      </c>
      <c r="AJ171" s="50" t="s">
        <v>2580</v>
      </c>
      <c r="AK171" s="51" t="s">
        <v>52</v>
      </c>
      <c r="AL171" s="48" t="s">
        <v>69</v>
      </c>
      <c r="AM171" s="50"/>
      <c r="AN171" s="51"/>
      <c r="AO171" s="47"/>
      <c r="AP171" s="7">
        <f>VLOOKUP(B:B,Table3[#All],4,0)</f>
        <v>5500</v>
      </c>
      <c r="AQ171" s="7">
        <f>calcShift1(Таблица1[[#This Row],[Столбец5]:[Столбец36]])</f>
        <v>60</v>
      </c>
      <c r="AR171" s="7">
        <f>calcShift2(Таблица1[[#This Row],[Столбец5]:[Столбец36]])</f>
        <v>80</v>
      </c>
      <c r="AS171" s="7">
        <f>calcShift3(Таблица1[[#This Row],[Столбец5]:[Столбец36]])</f>
        <v>0</v>
      </c>
      <c r="AT171" s="47"/>
      <c r="AU171" s="7">
        <f>calcYavka(Таблица1[[#This Row],[Столбец5]:[Столбец36]])</f>
        <v>18</v>
      </c>
      <c r="AV171" s="52"/>
      <c r="AW171" s="18">
        <f>VLOOKUP(B:B,ДОП_ВСІ!B:AS,44,0)</f>
        <v>275</v>
      </c>
      <c r="AX171" s="7">
        <f>VLOOKUP(B:B,ДОП_ВСІ!B:AQ,42,0)</f>
        <v>0</v>
      </c>
      <c r="AY171" s="7">
        <f>Таблица1[[#This Row],[Столбец47]]*30</f>
        <v>540</v>
      </c>
      <c r="AZ171" s="6">
        <f>((((Таблица1[[#This Row],[Столбец42]]/160)*Таблица1[[#This Row],[Столбец44]])*0.25)*0.35)+((((Таблица1[[#This Row],[Столбец42]]/160)*Таблица1[[#This Row],[Столбец44]])*0.5)*0.2)</f>
        <v>515.625</v>
      </c>
      <c r="BA171" s="47"/>
      <c r="BB171" s="47">
        <f>calcTS(Таблица1[[#This Row],[Столбец5]:[Столбец36]])</f>
        <v>0</v>
      </c>
    </row>
    <row r="172" spans="1:54" ht="42" x14ac:dyDescent="0.35">
      <c r="A172" s="46" t="s">
        <v>496</v>
      </c>
      <c r="B172" s="47" t="s">
        <v>497</v>
      </c>
      <c r="C172" s="48" t="s">
        <v>474</v>
      </c>
      <c r="D172" s="20" t="s">
        <v>2564</v>
      </c>
      <c r="E172" s="49" t="s">
        <v>2542</v>
      </c>
      <c r="F172" s="48" t="s">
        <v>2542</v>
      </c>
      <c r="G172" s="48" t="s">
        <v>2542</v>
      </c>
      <c r="H172" s="48" t="s">
        <v>2486</v>
      </c>
      <c r="I172" s="48" t="s">
        <v>2486</v>
      </c>
      <c r="J172" s="48" t="s">
        <v>2543</v>
      </c>
      <c r="K172" s="49" t="s">
        <v>141</v>
      </c>
      <c r="L172" s="48" t="s">
        <v>2531</v>
      </c>
      <c r="M172" s="48" t="s">
        <v>2531</v>
      </c>
      <c r="N172" s="49" t="s">
        <v>2531</v>
      </c>
      <c r="O172" s="49" t="s">
        <v>2531</v>
      </c>
      <c r="P172" s="49" t="s">
        <v>2531</v>
      </c>
      <c r="Q172" s="49" t="s">
        <v>2531</v>
      </c>
      <c r="R172" s="48" t="s">
        <v>2531</v>
      </c>
      <c r="S172" s="48" t="s">
        <v>2531</v>
      </c>
      <c r="T172" s="48" t="s">
        <v>2486</v>
      </c>
      <c r="U172" s="48" t="s">
        <v>2486</v>
      </c>
      <c r="V172" s="48" t="s">
        <v>2485</v>
      </c>
      <c r="W172" s="48" t="s">
        <v>2485</v>
      </c>
      <c r="X172" s="48" t="s">
        <v>2485</v>
      </c>
      <c r="Y172" s="48" t="s">
        <v>2501</v>
      </c>
      <c r="Z172" s="48" t="s">
        <v>2501</v>
      </c>
      <c r="AA172" s="48" t="s">
        <v>2501</v>
      </c>
      <c r="AB172" s="48" t="s">
        <v>2501</v>
      </c>
      <c r="AC172" s="48" t="s">
        <v>2501</v>
      </c>
      <c r="AD172" s="48" t="s">
        <v>2501</v>
      </c>
      <c r="AE172" s="48" t="s">
        <v>2501</v>
      </c>
      <c r="AF172" s="48" t="s">
        <v>2501</v>
      </c>
      <c r="AG172" s="48" t="s">
        <v>2501</v>
      </c>
      <c r="AH172" s="48" t="s">
        <v>2501</v>
      </c>
      <c r="AI172" s="48" t="s">
        <v>2590</v>
      </c>
      <c r="AJ172" s="50" t="s">
        <v>2580</v>
      </c>
      <c r="AK172" s="51" t="s">
        <v>2591</v>
      </c>
      <c r="AL172" s="48" t="s">
        <v>90</v>
      </c>
      <c r="AM172" s="50"/>
      <c r="AN172" s="51"/>
      <c r="AO172" s="47"/>
      <c r="AP172" s="7">
        <f>VLOOKUP(B:B,Table3[#All],4,0)</f>
        <v>5500</v>
      </c>
      <c r="AQ172" s="7">
        <f>calcShift1(Таблица1[[#This Row],[Столбец5]:[Столбец36]])</f>
        <v>16</v>
      </c>
      <c r="AR172" s="7">
        <f>calcShift2(Таблица1[[#This Row],[Столбец5]:[Столбец36]])</f>
        <v>24</v>
      </c>
      <c r="AS172" s="7">
        <f>calcShift3(Таблица1[[#This Row],[Столбец5]:[Столбец36]])</f>
        <v>0</v>
      </c>
      <c r="AT172" s="47"/>
      <c r="AU172" s="7">
        <f>calcYavka(Таблица1[[#This Row],[Столбец5]:[Столбец36]])</f>
        <v>5</v>
      </c>
      <c r="AV172" s="52"/>
      <c r="AW172" s="18">
        <f>VLOOKUP(B:B,ДОП_ВСІ!B:AS,44,0)</f>
        <v>0</v>
      </c>
      <c r="AX172" s="7">
        <f>VLOOKUP(B:B,ДОП_ВСІ!B:AQ,42,0)</f>
        <v>0</v>
      </c>
      <c r="AY172" s="7">
        <f>Таблица1[[#This Row],[Столбец47]]*30</f>
        <v>150</v>
      </c>
      <c r="AZ172" s="6">
        <f>((((Таблица1[[#This Row],[Столбец42]]/160)*Таблица1[[#This Row],[Столбец44]])*0.25)*0.35)+((((Таблица1[[#This Row],[Столбец42]]/160)*Таблица1[[#This Row],[Столбец44]])*0.5)*0.2)</f>
        <v>154.6875</v>
      </c>
      <c r="BA172" s="47"/>
      <c r="BB172" s="47">
        <f>calcTS(Таблица1[[#This Row],[Столбец5]:[Столбец36]])</f>
        <v>0</v>
      </c>
    </row>
    <row r="173" spans="1:54" ht="42" x14ac:dyDescent="0.35">
      <c r="A173" s="46" t="s">
        <v>498</v>
      </c>
      <c r="B173" s="47" t="s">
        <v>499</v>
      </c>
      <c r="C173" s="48" t="s">
        <v>474</v>
      </c>
      <c r="D173" s="20" t="s">
        <v>2564</v>
      </c>
      <c r="E173" s="49" t="s">
        <v>2501</v>
      </c>
      <c r="F173" s="48" t="s">
        <v>2501</v>
      </c>
      <c r="G173" s="48" t="s">
        <v>2501</v>
      </c>
      <c r="H173" s="48" t="s">
        <v>2501</v>
      </c>
      <c r="I173" s="48" t="s">
        <v>2501</v>
      </c>
      <c r="J173" s="48" t="s">
        <v>2501</v>
      </c>
      <c r="K173" s="49" t="s">
        <v>2501</v>
      </c>
      <c r="L173" s="48" t="s">
        <v>2501</v>
      </c>
      <c r="M173" s="48" t="s">
        <v>2501</v>
      </c>
      <c r="N173" s="49" t="s">
        <v>2501</v>
      </c>
      <c r="O173" s="49" t="s">
        <v>2542</v>
      </c>
      <c r="P173" s="49" t="s">
        <v>2486</v>
      </c>
      <c r="Q173" s="49" t="s">
        <v>2486</v>
      </c>
      <c r="R173" s="48" t="s">
        <v>2543</v>
      </c>
      <c r="S173" s="48" t="s">
        <v>2543</v>
      </c>
      <c r="T173" s="48" t="s">
        <v>2543</v>
      </c>
      <c r="U173" s="48" t="s">
        <v>2543</v>
      </c>
      <c r="V173" s="48" t="s">
        <v>2486</v>
      </c>
      <c r="W173" s="48" t="s">
        <v>2486</v>
      </c>
      <c r="X173" s="48" t="s">
        <v>2613</v>
      </c>
      <c r="Y173" s="48" t="s">
        <v>2575</v>
      </c>
      <c r="Z173" s="48" t="s">
        <v>2485</v>
      </c>
      <c r="AA173" s="48" t="s">
        <v>2542</v>
      </c>
      <c r="AB173" s="48" t="s">
        <v>2486</v>
      </c>
      <c r="AC173" s="48" t="s">
        <v>2486</v>
      </c>
      <c r="AD173" s="48" t="s">
        <v>2543</v>
      </c>
      <c r="AE173" s="48" t="s">
        <v>2543</v>
      </c>
      <c r="AF173" s="48" t="s">
        <v>2543</v>
      </c>
      <c r="AG173" s="48" t="s">
        <v>2543</v>
      </c>
      <c r="AH173" s="48" t="s">
        <v>2486</v>
      </c>
      <c r="AI173" s="48" t="s">
        <v>2632</v>
      </c>
      <c r="AJ173" s="50" t="s">
        <v>2580</v>
      </c>
      <c r="AK173" s="51" t="s">
        <v>73</v>
      </c>
      <c r="AL173" s="48" t="s">
        <v>70</v>
      </c>
      <c r="AM173" s="50"/>
      <c r="AN173" s="51"/>
      <c r="AO173" s="47"/>
      <c r="AP173" s="7">
        <f>VLOOKUP(B:B,Table3[#All],4,0)</f>
        <v>5500</v>
      </c>
      <c r="AQ173" s="7">
        <f>calcShift1(Таблица1[[#This Row],[Столбец5]:[Столбец36]])</f>
        <v>69</v>
      </c>
      <c r="AR173" s="7">
        <f>calcShift2(Таблица1[[#This Row],[Столбец5]:[Столбец36]])</f>
        <v>21.999999999999996</v>
      </c>
      <c r="AS173" s="7">
        <f>calcShift3(Таблица1[[#This Row],[Столбец5]:[Столбец36]])</f>
        <v>0</v>
      </c>
      <c r="AT173" s="47"/>
      <c r="AU173" s="7">
        <f>calcYavka(Таблица1[[#This Row],[Столбец5]:[Столбец36]])</f>
        <v>12</v>
      </c>
      <c r="AV173" s="52"/>
      <c r="AW173" s="18">
        <f>VLOOKUP(B:B,ДОП_ВСІ!B:AS,44,0)</f>
        <v>0</v>
      </c>
      <c r="AX173" s="7">
        <f>VLOOKUP(B:B,ДОП_ВСІ!B:AQ,42,0)</f>
        <v>0</v>
      </c>
      <c r="AY173" s="7">
        <f>Таблица1[[#This Row],[Столбец47]]*30</f>
        <v>360</v>
      </c>
      <c r="AZ173" s="6">
        <f>((((Таблица1[[#This Row],[Столбец42]]/160)*Таблица1[[#This Row],[Столбец44]])*0.25)*0.35)+((((Таблица1[[#This Row],[Столбец42]]/160)*Таблица1[[#This Row],[Столбец44]])*0.5)*0.2)</f>
        <v>141.79687499999997</v>
      </c>
      <c r="BA173" s="47"/>
      <c r="BB173" s="47">
        <f>calcTS(Таблица1[[#This Row],[Столбец5]:[Столбец36]])</f>
        <v>0</v>
      </c>
    </row>
    <row r="174" spans="1:54" x14ac:dyDescent="0.35">
      <c r="A174" s="46" t="s">
        <v>500</v>
      </c>
      <c r="B174" s="47" t="s">
        <v>501</v>
      </c>
      <c r="C174" s="48" t="s">
        <v>474</v>
      </c>
      <c r="D174" s="20" t="s">
        <v>2564</v>
      </c>
      <c r="E174" s="49" t="s">
        <v>141</v>
      </c>
      <c r="F174" s="48" t="s">
        <v>2486</v>
      </c>
      <c r="G174" s="48" t="s">
        <v>2486</v>
      </c>
      <c r="H174" s="48" t="s">
        <v>2501</v>
      </c>
      <c r="I174" s="48" t="s">
        <v>2501</v>
      </c>
      <c r="J174" s="48" t="s">
        <v>2501</v>
      </c>
      <c r="K174" s="49" t="s">
        <v>2501</v>
      </c>
      <c r="L174" s="48" t="s">
        <v>2501</v>
      </c>
      <c r="M174" s="48" t="s">
        <v>2501</v>
      </c>
      <c r="N174" s="49" t="s">
        <v>2501</v>
      </c>
      <c r="O174" s="49" t="s">
        <v>2501</v>
      </c>
      <c r="P174" s="49" t="s">
        <v>2501</v>
      </c>
      <c r="Q174" s="49" t="s">
        <v>2501</v>
      </c>
      <c r="R174" s="48" t="s">
        <v>2486</v>
      </c>
      <c r="S174" s="48" t="s">
        <v>2486</v>
      </c>
      <c r="T174" s="48" t="s">
        <v>135</v>
      </c>
      <c r="U174" s="48" t="s">
        <v>135</v>
      </c>
      <c r="V174" s="48" t="s">
        <v>135</v>
      </c>
      <c r="W174" s="48" t="s">
        <v>135</v>
      </c>
      <c r="X174" s="48" t="s">
        <v>2486</v>
      </c>
      <c r="Y174" s="48" t="s">
        <v>2486</v>
      </c>
      <c r="Z174" s="48" t="s">
        <v>341</v>
      </c>
      <c r="AA174" s="48" t="s">
        <v>141</v>
      </c>
      <c r="AB174" s="48" t="s">
        <v>141</v>
      </c>
      <c r="AC174" s="48" t="s">
        <v>141</v>
      </c>
      <c r="AD174" s="48" t="s">
        <v>2486</v>
      </c>
      <c r="AE174" s="48" t="s">
        <v>2486</v>
      </c>
      <c r="AF174" s="48" t="s">
        <v>135</v>
      </c>
      <c r="AG174" s="48" t="s">
        <v>135</v>
      </c>
      <c r="AH174" s="48" t="s">
        <v>135</v>
      </c>
      <c r="AI174" s="48" t="s">
        <v>2587</v>
      </c>
      <c r="AJ174" s="50" t="s">
        <v>2580</v>
      </c>
      <c r="AK174" s="51" t="s">
        <v>71</v>
      </c>
      <c r="AL174" s="48" t="s">
        <v>72</v>
      </c>
      <c r="AM174" s="50"/>
      <c r="AN174" s="51"/>
      <c r="AO174" s="47"/>
      <c r="AP174" s="7">
        <f>VLOOKUP(B:B,Table3[#All],4,0)</f>
        <v>5500</v>
      </c>
      <c r="AQ174" s="7">
        <f>calcShift1(Таблица1[[#This Row],[Столбец5]:[Столбец36]])</f>
        <v>35.999999999999993</v>
      </c>
      <c r="AR174" s="7">
        <f>calcShift2(Таблица1[[#This Row],[Столбец5]:[Столбец36]])</f>
        <v>55.999999999999993</v>
      </c>
      <c r="AS174" s="7">
        <f>calcShift3(Таблица1[[#This Row],[Столбец5]:[Столбец36]])</f>
        <v>0</v>
      </c>
      <c r="AT174" s="47"/>
      <c r="AU174" s="7">
        <f>calcYavka(Таблица1[[#This Row],[Столбец5]:[Столбец36]])</f>
        <v>12</v>
      </c>
      <c r="AV174" s="52"/>
      <c r="AW174" s="18">
        <f>VLOOKUP(B:B,ДОП_ВСІ!B:AS,44,0)</f>
        <v>0</v>
      </c>
      <c r="AX174" s="7">
        <f>VLOOKUP(B:B,ДОП_ВСІ!B:AQ,42,0)</f>
        <v>0</v>
      </c>
      <c r="AY174" s="7">
        <f>Таблица1[[#This Row],[Столбец47]]*30</f>
        <v>360</v>
      </c>
      <c r="AZ174" s="6">
        <f>((((Таблица1[[#This Row],[Столбец42]]/160)*Таблица1[[#This Row],[Столбец44]])*0.25)*0.35)+((((Таблица1[[#This Row],[Столбец42]]/160)*Таблица1[[#This Row],[Столбец44]])*0.5)*0.2)</f>
        <v>360.9375</v>
      </c>
      <c r="BA174" s="47"/>
      <c r="BB174" s="47">
        <f>calcTS(Таблица1[[#This Row],[Столбец5]:[Столбец36]])</f>
        <v>0</v>
      </c>
    </row>
    <row r="175" spans="1:54" ht="42" x14ac:dyDescent="0.35">
      <c r="A175" s="46" t="s">
        <v>502</v>
      </c>
      <c r="B175" s="47" t="s">
        <v>503</v>
      </c>
      <c r="C175" s="48" t="s">
        <v>474</v>
      </c>
      <c r="D175" s="20" t="s">
        <v>2564</v>
      </c>
      <c r="E175" s="49" t="s">
        <v>2486</v>
      </c>
      <c r="F175" s="48" t="s">
        <v>2543</v>
      </c>
      <c r="G175" s="48" t="s">
        <v>141</v>
      </c>
      <c r="H175" s="48" t="s">
        <v>141</v>
      </c>
      <c r="I175" s="48" t="s">
        <v>2543</v>
      </c>
      <c r="J175" s="48" t="s">
        <v>2486</v>
      </c>
      <c r="K175" s="49" t="s">
        <v>2486</v>
      </c>
      <c r="L175" s="48" t="s">
        <v>2542</v>
      </c>
      <c r="M175" s="48" t="s">
        <v>2542</v>
      </c>
      <c r="N175" s="49" t="s">
        <v>2542</v>
      </c>
      <c r="O175" s="49" t="s">
        <v>2542</v>
      </c>
      <c r="P175" s="49" t="s">
        <v>2486</v>
      </c>
      <c r="Q175" s="49" t="s">
        <v>2486</v>
      </c>
      <c r="R175" s="48" t="s">
        <v>2543</v>
      </c>
      <c r="S175" s="48" t="s">
        <v>141</v>
      </c>
      <c r="T175" s="48" t="s">
        <v>2594</v>
      </c>
      <c r="U175" s="48" t="s">
        <v>2543</v>
      </c>
      <c r="V175" s="48" t="s">
        <v>2486</v>
      </c>
      <c r="W175" s="48" t="s">
        <v>2486</v>
      </c>
      <c r="X175" s="48" t="s">
        <v>2542</v>
      </c>
      <c r="Y175" s="48" t="s">
        <v>2543</v>
      </c>
      <c r="Z175" s="48" t="s">
        <v>2485</v>
      </c>
      <c r="AA175" s="48" t="s">
        <v>2543</v>
      </c>
      <c r="AB175" s="48" t="s">
        <v>2486</v>
      </c>
      <c r="AC175" s="48" t="s">
        <v>2486</v>
      </c>
      <c r="AD175" s="48" t="s">
        <v>2543</v>
      </c>
      <c r="AE175" s="48" t="s">
        <v>2543</v>
      </c>
      <c r="AF175" s="48" t="s">
        <v>2543</v>
      </c>
      <c r="AG175" s="48" t="s">
        <v>2543</v>
      </c>
      <c r="AH175" s="48" t="s">
        <v>2486</v>
      </c>
      <c r="AI175" s="48" t="s">
        <v>2633</v>
      </c>
      <c r="AJ175" s="50" t="s">
        <v>2580</v>
      </c>
      <c r="AK175" s="51" t="s">
        <v>72</v>
      </c>
      <c r="AL175" s="48" t="s">
        <v>71</v>
      </c>
      <c r="AM175" s="50"/>
      <c r="AN175" s="51"/>
      <c r="AO175" s="47"/>
      <c r="AP175" s="7">
        <f>VLOOKUP(B:B,Table3[#All],4,0)</f>
        <v>5500</v>
      </c>
      <c r="AQ175" s="7">
        <f>calcShift1(Таблица1[[#This Row],[Столбец5]:[Столбец36]])</f>
        <v>108</v>
      </c>
      <c r="AR175" s="7">
        <f>calcShift2(Таблица1[[#This Row],[Столбец5]:[Столбец36]])</f>
        <v>40</v>
      </c>
      <c r="AS175" s="7">
        <f>calcShift3(Таблица1[[#This Row],[Столбец5]:[Столбец36]])</f>
        <v>0</v>
      </c>
      <c r="AT175" s="47"/>
      <c r="AU175" s="7">
        <f>calcYavka(Таблица1[[#This Row],[Столбец5]:[Столбец36]])</f>
        <v>19</v>
      </c>
      <c r="AV175" s="52"/>
      <c r="AW175" s="18">
        <f>VLOOKUP(B:B,ДОП_ВСІ!B:AS,44,0)</f>
        <v>0</v>
      </c>
      <c r="AX175" s="7">
        <f>VLOOKUP(B:B,ДОП_ВСІ!B:AQ,42,0)</f>
        <v>0</v>
      </c>
      <c r="AY175" s="7">
        <f>Таблица1[[#This Row],[Столбец47]]*30</f>
        <v>570</v>
      </c>
      <c r="AZ175" s="6">
        <f>((((Таблица1[[#This Row],[Столбец42]]/160)*Таблица1[[#This Row],[Столбец44]])*0.25)*0.35)+((((Таблица1[[#This Row],[Столбец42]]/160)*Таблица1[[#This Row],[Столбец44]])*0.5)*0.2)</f>
        <v>257.8125</v>
      </c>
      <c r="BA175" s="47"/>
      <c r="BB175" s="47">
        <f>calcTS(Таблица1[[#This Row],[Столбец5]:[Столбец36]])</f>
        <v>0</v>
      </c>
    </row>
    <row r="176" spans="1:54" ht="42" x14ac:dyDescent="0.35">
      <c r="A176" s="46" t="s">
        <v>504</v>
      </c>
      <c r="B176" s="47" t="s">
        <v>505</v>
      </c>
      <c r="C176" s="48" t="s">
        <v>474</v>
      </c>
      <c r="D176" s="20" t="s">
        <v>2564</v>
      </c>
      <c r="E176" s="49" t="s">
        <v>2543</v>
      </c>
      <c r="F176" s="48" t="s">
        <v>2486</v>
      </c>
      <c r="G176" s="48" t="s">
        <v>2486</v>
      </c>
      <c r="H176" s="48" t="s">
        <v>2542</v>
      </c>
      <c r="I176" s="48" t="s">
        <v>2542</v>
      </c>
      <c r="J176" s="48" t="s">
        <v>2542</v>
      </c>
      <c r="K176" s="49" t="s">
        <v>2542</v>
      </c>
      <c r="L176" s="48" t="s">
        <v>2486</v>
      </c>
      <c r="M176" s="48" t="s">
        <v>2486</v>
      </c>
      <c r="N176" s="49" t="s">
        <v>2594</v>
      </c>
      <c r="O176" s="49" t="s">
        <v>2594</v>
      </c>
      <c r="P176" s="49" t="s">
        <v>2594</v>
      </c>
      <c r="Q176" s="49" t="s">
        <v>2495</v>
      </c>
      <c r="R176" s="48" t="s">
        <v>2495</v>
      </c>
      <c r="S176" s="48" t="s">
        <v>2495</v>
      </c>
      <c r="T176" s="48" t="s">
        <v>2495</v>
      </c>
      <c r="U176" s="48" t="s">
        <v>2495</v>
      </c>
      <c r="V176" s="48" t="s">
        <v>2495</v>
      </c>
      <c r="W176" s="48" t="s">
        <v>2495</v>
      </c>
      <c r="X176" s="48" t="s">
        <v>2495</v>
      </c>
      <c r="Y176" s="48" t="s">
        <v>2495</v>
      </c>
      <c r="Z176" s="48" t="s">
        <v>2495</v>
      </c>
      <c r="AA176" s="48" t="s">
        <v>2543</v>
      </c>
      <c r="AB176" s="48" t="s">
        <v>2543</v>
      </c>
      <c r="AC176" s="48" t="s">
        <v>141</v>
      </c>
      <c r="AD176" s="48" t="s">
        <v>2486</v>
      </c>
      <c r="AE176" s="48" t="s">
        <v>2486</v>
      </c>
      <c r="AF176" s="48" t="s">
        <v>2542</v>
      </c>
      <c r="AG176" s="48" t="s">
        <v>2542</v>
      </c>
      <c r="AH176" s="48" t="s">
        <v>2542</v>
      </c>
      <c r="AI176" s="48" t="s">
        <v>2634</v>
      </c>
      <c r="AJ176" s="50" t="s">
        <v>2580</v>
      </c>
      <c r="AK176" s="51" t="s">
        <v>69</v>
      </c>
      <c r="AL176" s="48" t="s">
        <v>52</v>
      </c>
      <c r="AM176" s="50"/>
      <c r="AN176" s="51"/>
      <c r="AO176" s="47"/>
      <c r="AP176" s="7">
        <f>VLOOKUP(B:B,Table3[#All],4,0)</f>
        <v>5500</v>
      </c>
      <c r="AQ176" s="7">
        <f>calcShift1(Таблица1[[#This Row],[Столбец5]:[Столбец36]])</f>
        <v>43.999999999999993</v>
      </c>
      <c r="AR176" s="7">
        <f>calcShift2(Таблица1[[#This Row],[Столбец5]:[Столбец36]])</f>
        <v>55.999999999999993</v>
      </c>
      <c r="AS176" s="7">
        <f>calcShift3(Таблица1[[#This Row],[Столбец5]:[Столбец36]])</f>
        <v>0</v>
      </c>
      <c r="AT176" s="47"/>
      <c r="AU176" s="7">
        <f>calcYavka(Таблица1[[#This Row],[Столбец5]:[Столбец36]])</f>
        <v>14</v>
      </c>
      <c r="AV176" s="52"/>
      <c r="AW176" s="18">
        <f>VLOOKUP(B:B,ДОП_ВСІ!B:AS,44,0)</f>
        <v>0</v>
      </c>
      <c r="AX176" s="7">
        <f>VLOOKUP(B:B,ДОП_ВСІ!B:AQ,42,0)</f>
        <v>0</v>
      </c>
      <c r="AY176" s="7">
        <f>Таблица1[[#This Row],[Столбец47]]*30</f>
        <v>420</v>
      </c>
      <c r="AZ176" s="6">
        <f>((((Таблица1[[#This Row],[Столбец42]]/160)*Таблица1[[#This Row],[Столбец44]])*0.25)*0.35)+((((Таблица1[[#This Row],[Столбец42]]/160)*Таблица1[[#This Row],[Столбец44]])*0.5)*0.2)</f>
        <v>360.9375</v>
      </c>
      <c r="BA176" s="47"/>
      <c r="BB176" s="47">
        <f>calcTS(Таблица1[[#This Row],[Столбец5]:[Столбец36]])</f>
        <v>0</v>
      </c>
    </row>
    <row r="177" spans="1:54" ht="42" x14ac:dyDescent="0.35">
      <c r="A177" s="46" t="s">
        <v>321</v>
      </c>
      <c r="B177" s="47" t="s">
        <v>322</v>
      </c>
      <c r="C177" s="48" t="s">
        <v>318</v>
      </c>
      <c r="D177" s="20" t="s">
        <v>2564</v>
      </c>
      <c r="E177" s="49" t="s">
        <v>141</v>
      </c>
      <c r="F177" s="48" t="s">
        <v>2486</v>
      </c>
      <c r="G177" s="48" t="s">
        <v>2486</v>
      </c>
      <c r="H177" s="48" t="s">
        <v>141</v>
      </c>
      <c r="I177" s="48" t="s">
        <v>141</v>
      </c>
      <c r="J177" s="48" t="s">
        <v>141</v>
      </c>
      <c r="K177" s="49" t="s">
        <v>141</v>
      </c>
      <c r="L177" s="48" t="s">
        <v>141</v>
      </c>
      <c r="M177" s="48" t="s">
        <v>2486</v>
      </c>
      <c r="N177" s="49" t="s">
        <v>2486</v>
      </c>
      <c r="O177" s="49" t="s">
        <v>2543</v>
      </c>
      <c r="P177" s="49" t="s">
        <v>2543</v>
      </c>
      <c r="Q177" s="49" t="s">
        <v>2543</v>
      </c>
      <c r="R177" s="48" t="s">
        <v>2543</v>
      </c>
      <c r="S177" s="48" t="s">
        <v>2543</v>
      </c>
      <c r="T177" s="48" t="s">
        <v>2486</v>
      </c>
      <c r="U177" s="48" t="s">
        <v>2486</v>
      </c>
      <c r="V177" s="48" t="s">
        <v>2543</v>
      </c>
      <c r="W177" s="48" t="s">
        <v>2543</v>
      </c>
      <c r="X177" s="48" t="s">
        <v>2543</v>
      </c>
      <c r="Y177" s="48" t="s">
        <v>2543</v>
      </c>
      <c r="Z177" s="48" t="s">
        <v>2543</v>
      </c>
      <c r="AA177" s="48" t="s">
        <v>2543</v>
      </c>
      <c r="AB177" s="48" t="s">
        <v>2486</v>
      </c>
      <c r="AC177" s="48" t="s">
        <v>2543</v>
      </c>
      <c r="AD177" s="48" t="s">
        <v>2543</v>
      </c>
      <c r="AE177" s="48" t="s">
        <v>2570</v>
      </c>
      <c r="AF177" s="48" t="s">
        <v>2486</v>
      </c>
      <c r="AG177" s="48" t="s">
        <v>2486</v>
      </c>
      <c r="AH177" s="48" t="s">
        <v>2486</v>
      </c>
      <c r="AI177" s="48" t="s">
        <v>2567</v>
      </c>
      <c r="AJ177" s="50" t="s">
        <v>2567</v>
      </c>
      <c r="AK177" s="51" t="s">
        <v>54</v>
      </c>
      <c r="AL177" s="48" t="s">
        <v>55</v>
      </c>
      <c r="AM177" s="50"/>
      <c r="AN177" s="51"/>
      <c r="AO177" s="47"/>
      <c r="AP177" s="7">
        <f>VLOOKUP(B:B,Table3[#All],4,0)</f>
        <v>10000</v>
      </c>
      <c r="AQ177" s="7">
        <f>calcShift1(Таблица1[[#This Row],[Столбец5]:[Столбец36]])</f>
        <v>158.99999999999994</v>
      </c>
      <c r="AR177" s="7">
        <f>calcShift2(Таблица1[[#This Row],[Столбец5]:[Столбец36]])</f>
        <v>0</v>
      </c>
      <c r="AS177" s="7">
        <f>calcShift3(Таблица1[[#This Row],[Столбец5]:[Столбец36]])</f>
        <v>0</v>
      </c>
      <c r="AT177" s="47"/>
      <c r="AU177" s="7">
        <f>calcYavka(Таблица1[[#This Row],[Столбец5]:[Столбец36]])</f>
        <v>20</v>
      </c>
      <c r="AV177" s="52"/>
      <c r="AW177" s="18">
        <f>VLOOKUP(B:B,ДОП_ВСІ!B:AS,44,0)</f>
        <v>1875</v>
      </c>
      <c r="AX177" s="7">
        <f>VLOOKUP(B:B,ДОП_ВСІ!B:AQ,42,0)</f>
        <v>0</v>
      </c>
      <c r="AY177" s="7"/>
      <c r="AZ177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77" s="47"/>
      <c r="BB177" s="47">
        <f>calcTS(Таблица1[[#This Row],[Столбец5]:[Столбец36]])</f>
        <v>0</v>
      </c>
    </row>
    <row r="178" spans="1:54" ht="42" x14ac:dyDescent="0.35">
      <c r="A178" s="46" t="s">
        <v>328</v>
      </c>
      <c r="B178" s="47" t="s">
        <v>329</v>
      </c>
      <c r="C178" s="48" t="s">
        <v>318</v>
      </c>
      <c r="D178" s="20" t="s">
        <v>2564</v>
      </c>
      <c r="E178" s="49" t="s">
        <v>141</v>
      </c>
      <c r="F178" s="48" t="s">
        <v>2486</v>
      </c>
      <c r="G178" s="48" t="s">
        <v>2486</v>
      </c>
      <c r="H178" s="48" t="s">
        <v>141</v>
      </c>
      <c r="I178" s="48" t="s">
        <v>141</v>
      </c>
      <c r="J178" s="48" t="s">
        <v>141</v>
      </c>
      <c r="K178" s="49" t="s">
        <v>141</v>
      </c>
      <c r="L178" s="48" t="s">
        <v>141</v>
      </c>
      <c r="M178" s="48" t="s">
        <v>2486</v>
      </c>
      <c r="N178" s="49" t="s">
        <v>2486</v>
      </c>
      <c r="O178" s="49" t="s">
        <v>2543</v>
      </c>
      <c r="P178" s="49" t="s">
        <v>2543</v>
      </c>
      <c r="Q178" s="49" t="s">
        <v>2543</v>
      </c>
      <c r="R178" s="48" t="s">
        <v>2543</v>
      </c>
      <c r="S178" s="48" t="s">
        <v>2543</v>
      </c>
      <c r="T178" s="48" t="s">
        <v>2486</v>
      </c>
      <c r="U178" s="48" t="s">
        <v>2486</v>
      </c>
      <c r="V178" s="48" t="s">
        <v>2543</v>
      </c>
      <c r="W178" s="48" t="s">
        <v>2543</v>
      </c>
      <c r="X178" s="48" t="s">
        <v>2543</v>
      </c>
      <c r="Y178" s="48" t="s">
        <v>2543</v>
      </c>
      <c r="Z178" s="48" t="s">
        <v>2543</v>
      </c>
      <c r="AA178" s="48" t="s">
        <v>2543</v>
      </c>
      <c r="AB178" s="48" t="s">
        <v>2486</v>
      </c>
      <c r="AC178" s="48" t="s">
        <v>2543</v>
      </c>
      <c r="AD178" s="48" t="s">
        <v>2543</v>
      </c>
      <c r="AE178" s="48" t="s">
        <v>2570</v>
      </c>
      <c r="AF178" s="48" t="s">
        <v>2486</v>
      </c>
      <c r="AG178" s="48" t="s">
        <v>2486</v>
      </c>
      <c r="AH178" s="48" t="s">
        <v>2486</v>
      </c>
      <c r="AI178" s="48" t="s">
        <v>2567</v>
      </c>
      <c r="AJ178" s="50" t="s">
        <v>2567</v>
      </c>
      <c r="AK178" s="51" t="s">
        <v>54</v>
      </c>
      <c r="AL178" s="48" t="s">
        <v>55</v>
      </c>
      <c r="AM178" s="50"/>
      <c r="AN178" s="51"/>
      <c r="AO178" s="47"/>
      <c r="AP178" s="7">
        <f>VLOOKUP(B:B,Table3[#All],4,0)</f>
        <v>9000</v>
      </c>
      <c r="AQ178" s="7">
        <f>calcShift1(Таблица1[[#This Row],[Столбец5]:[Столбец36]])</f>
        <v>158.99999999999994</v>
      </c>
      <c r="AR178" s="7">
        <f>calcShift2(Таблица1[[#This Row],[Столбец5]:[Столбец36]])</f>
        <v>0</v>
      </c>
      <c r="AS178" s="7">
        <f>calcShift3(Таблица1[[#This Row],[Столбец5]:[Столбец36]])</f>
        <v>0</v>
      </c>
      <c r="AT178" s="47"/>
      <c r="AU178" s="7">
        <f>calcYavka(Таблица1[[#This Row],[Столбец5]:[Столбец36]])</f>
        <v>20</v>
      </c>
      <c r="AV178" s="52"/>
      <c r="AW178" s="18">
        <f>VLOOKUP(B:B,ДОП_ВСІ!B:AS,44,0)</f>
        <v>4499.9999999999991</v>
      </c>
      <c r="AX178" s="7">
        <f>VLOOKUP(B:B,ДОП_ВСІ!B:AQ,42,0)</f>
        <v>0</v>
      </c>
      <c r="AY178" s="7"/>
      <c r="AZ178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78" s="47"/>
      <c r="BB178" s="47">
        <f>calcTS(Таблица1[[#This Row],[Столбец5]:[Столбец36]])</f>
        <v>0</v>
      </c>
    </row>
    <row r="179" spans="1:54" ht="42" x14ac:dyDescent="0.35">
      <c r="A179" s="55" t="s">
        <v>333</v>
      </c>
      <c r="B179" s="56" t="s">
        <v>334</v>
      </c>
      <c r="C179" s="57" t="s">
        <v>318</v>
      </c>
      <c r="D179" s="20" t="s">
        <v>2564</v>
      </c>
      <c r="E179" s="58" t="s">
        <v>141</v>
      </c>
      <c r="F179" s="57" t="s">
        <v>2486</v>
      </c>
      <c r="G179" s="57" t="s">
        <v>2486</v>
      </c>
      <c r="H179" s="57" t="s">
        <v>141</v>
      </c>
      <c r="I179" s="57" t="s">
        <v>141</v>
      </c>
      <c r="J179" s="57" t="s">
        <v>141</v>
      </c>
      <c r="K179" s="58" t="s">
        <v>141</v>
      </c>
      <c r="L179" s="57" t="s">
        <v>141</v>
      </c>
      <c r="M179" s="57" t="s">
        <v>2486</v>
      </c>
      <c r="N179" s="58" t="s">
        <v>2486</v>
      </c>
      <c r="O179" s="58" t="s">
        <v>2543</v>
      </c>
      <c r="P179" s="58" t="s">
        <v>2543</v>
      </c>
      <c r="Q179" s="58" t="s">
        <v>2543</v>
      </c>
      <c r="R179" s="57" t="s">
        <v>2543</v>
      </c>
      <c r="S179" s="57" t="s">
        <v>2543</v>
      </c>
      <c r="T179" s="57" t="s">
        <v>2486</v>
      </c>
      <c r="U179" s="57" t="s">
        <v>2486</v>
      </c>
      <c r="V179" s="57" t="s">
        <v>2543</v>
      </c>
      <c r="W179" s="57" t="s">
        <v>2543</v>
      </c>
      <c r="X179" s="57" t="s">
        <v>2543</v>
      </c>
      <c r="Y179" s="57" t="s">
        <v>2543</v>
      </c>
      <c r="Z179" s="57" t="s">
        <v>2543</v>
      </c>
      <c r="AA179" s="57" t="s">
        <v>2543</v>
      </c>
      <c r="AB179" s="57" t="s">
        <v>2486</v>
      </c>
      <c r="AC179" s="57" t="s">
        <v>2543</v>
      </c>
      <c r="AD179" s="57" t="s">
        <v>2543</v>
      </c>
      <c r="AE179" s="57" t="s">
        <v>2570</v>
      </c>
      <c r="AF179" s="57" t="s">
        <v>2486</v>
      </c>
      <c r="AG179" s="57" t="s">
        <v>2486</v>
      </c>
      <c r="AH179" s="57" t="s">
        <v>2486</v>
      </c>
      <c r="AI179" s="57" t="s">
        <v>2567</v>
      </c>
      <c r="AJ179" s="59" t="s">
        <v>2567</v>
      </c>
      <c r="AK179" s="60" t="s">
        <v>54</v>
      </c>
      <c r="AL179" s="57" t="s">
        <v>55</v>
      </c>
      <c r="AM179" s="59"/>
      <c r="AN179" s="60"/>
      <c r="AO179" s="56"/>
      <c r="AP179" s="7">
        <f>VLOOKUP(B:B,Table3[#All],4,0)</f>
        <v>9000</v>
      </c>
      <c r="AQ179" s="7">
        <f>calcShift1(Таблица1[[#This Row],[Столбец5]:[Столбец36]])</f>
        <v>158.99999999999994</v>
      </c>
      <c r="AR179" s="7">
        <f>calcShift2(Таблица1[[#This Row],[Столбец5]:[Столбец36]])</f>
        <v>0</v>
      </c>
      <c r="AS179" s="7">
        <f>calcShift3(Таблица1[[#This Row],[Столбец5]:[Столбец36]])</f>
        <v>0</v>
      </c>
      <c r="AT179" s="56"/>
      <c r="AU179" s="7">
        <f>calcYavka(Таблица1[[#This Row],[Столбец5]:[Столбец36]])</f>
        <v>20</v>
      </c>
      <c r="AV179" s="61"/>
      <c r="AW179" s="18">
        <f>VLOOKUP(B:B,ДОП_ВСІ!B:AS,44,0)</f>
        <v>4500</v>
      </c>
      <c r="AX179" s="7">
        <f>VLOOKUP(B:B,ДОП_ВСІ!B:AQ,42,0)</f>
        <v>0</v>
      </c>
      <c r="AY179" s="7"/>
      <c r="AZ179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79" s="56"/>
      <c r="BB179" s="47">
        <f>calcTS(Таблица1[[#This Row],[Столбец5]:[Столбец36]])</f>
        <v>0</v>
      </c>
    </row>
    <row r="180" spans="1:54" ht="42" x14ac:dyDescent="0.35">
      <c r="A180" s="55" t="s">
        <v>316</v>
      </c>
      <c r="B180" s="56" t="s">
        <v>317</v>
      </c>
      <c r="C180" s="57" t="s">
        <v>318</v>
      </c>
      <c r="D180" s="20" t="s">
        <v>2564</v>
      </c>
      <c r="E180" s="58" t="s">
        <v>2543</v>
      </c>
      <c r="F180" s="57" t="s">
        <v>2486</v>
      </c>
      <c r="G180" s="57" t="s">
        <v>2486</v>
      </c>
      <c r="H180" s="57" t="s">
        <v>2543</v>
      </c>
      <c r="I180" s="57" t="s">
        <v>2543</v>
      </c>
      <c r="J180" s="57" t="s">
        <v>2543</v>
      </c>
      <c r="K180" s="58" t="s">
        <v>2543</v>
      </c>
      <c r="L180" s="57" t="s">
        <v>2543</v>
      </c>
      <c r="M180" s="57" t="s">
        <v>2486</v>
      </c>
      <c r="N180" s="58" t="s">
        <v>2486</v>
      </c>
      <c r="O180" s="58" t="s">
        <v>2543</v>
      </c>
      <c r="P180" s="58" t="s">
        <v>2543</v>
      </c>
      <c r="Q180" s="58" t="s">
        <v>2543</v>
      </c>
      <c r="R180" s="57" t="s">
        <v>2543</v>
      </c>
      <c r="S180" s="57" t="s">
        <v>2485</v>
      </c>
      <c r="T180" s="57" t="s">
        <v>2486</v>
      </c>
      <c r="U180" s="57" t="s">
        <v>2486</v>
      </c>
      <c r="V180" s="57" t="s">
        <v>2543</v>
      </c>
      <c r="W180" s="57" t="s">
        <v>2543</v>
      </c>
      <c r="X180" s="57" t="s">
        <v>2485</v>
      </c>
      <c r="Y180" s="57" t="s">
        <v>2485</v>
      </c>
      <c r="Z180" s="57" t="s">
        <v>2485</v>
      </c>
      <c r="AA180" s="57" t="s">
        <v>2485</v>
      </c>
      <c r="AB180" s="57" t="s">
        <v>2486</v>
      </c>
      <c r="AC180" s="57" t="s">
        <v>2485</v>
      </c>
      <c r="AD180" s="57" t="s">
        <v>2485</v>
      </c>
      <c r="AE180" s="57" t="s">
        <v>2485</v>
      </c>
      <c r="AF180" s="57" t="s">
        <v>2486</v>
      </c>
      <c r="AG180" s="57" t="s">
        <v>2486</v>
      </c>
      <c r="AH180" s="57" t="s">
        <v>2486</v>
      </c>
      <c r="AI180" s="57" t="s">
        <v>2567</v>
      </c>
      <c r="AJ180" s="59" t="s">
        <v>2567</v>
      </c>
      <c r="AK180" s="60" t="s">
        <v>54</v>
      </c>
      <c r="AL180" s="56" t="s">
        <v>55</v>
      </c>
      <c r="AM180" s="56"/>
      <c r="AN180" s="56"/>
      <c r="AO180" s="56"/>
      <c r="AP180" s="7">
        <f>VLOOKUP(B:B,Table3[#All],4,0)</f>
        <v>10000</v>
      </c>
      <c r="AQ180" s="7">
        <f>calcShift1(Таблица1[[#This Row],[Столбец5]:[Столбец36]])</f>
        <v>96</v>
      </c>
      <c r="AR180" s="7">
        <f>calcShift2(Таблица1[[#This Row],[Столбец5]:[Столбец36]])</f>
        <v>0</v>
      </c>
      <c r="AS180" s="7">
        <f>calcShift3(Таблица1[[#This Row],[Столбец5]:[Столбец36]])</f>
        <v>0</v>
      </c>
      <c r="AT180" s="56"/>
      <c r="AU180" s="7">
        <f>calcYavka(Таблица1[[#This Row],[Столбец5]:[Столбец36]])</f>
        <v>12</v>
      </c>
      <c r="AV180" s="61"/>
      <c r="AW180" s="18">
        <f>VLOOKUP(B:B,ДОП_ВСІ!B:AS,44,0)</f>
        <v>0</v>
      </c>
      <c r="AX180" s="7">
        <f>VLOOKUP(B:B,ДОП_ВСІ!B:AQ,42,0)</f>
        <v>0</v>
      </c>
      <c r="AY180" s="7"/>
      <c r="AZ180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80" s="56"/>
      <c r="BB180" s="47">
        <f>calcTS(Таблица1[[#This Row],[Столбец5]:[Столбец36]])</f>
        <v>0</v>
      </c>
    </row>
    <row r="181" spans="1:54" ht="42" x14ac:dyDescent="0.35">
      <c r="A181" s="55" t="s">
        <v>319</v>
      </c>
      <c r="B181" s="56" t="s">
        <v>320</v>
      </c>
      <c r="C181" s="57" t="s">
        <v>318</v>
      </c>
      <c r="D181" s="20" t="s">
        <v>2564</v>
      </c>
      <c r="E181" s="58" t="s">
        <v>2543</v>
      </c>
      <c r="F181" s="57" t="s">
        <v>2486</v>
      </c>
      <c r="G181" s="57" t="s">
        <v>2486</v>
      </c>
      <c r="H181" s="57" t="s">
        <v>2542</v>
      </c>
      <c r="I181" s="57" t="s">
        <v>2542</v>
      </c>
      <c r="J181" s="57" t="s">
        <v>2542</v>
      </c>
      <c r="K181" s="58" t="s">
        <v>2542</v>
      </c>
      <c r="L181" s="57" t="s">
        <v>2486</v>
      </c>
      <c r="M181" s="57" t="s">
        <v>2486</v>
      </c>
      <c r="N181" s="58" t="s">
        <v>2543</v>
      </c>
      <c r="O181" s="58" t="s">
        <v>2543</v>
      </c>
      <c r="P181" s="58" t="s">
        <v>2543</v>
      </c>
      <c r="Q181" s="58" t="s">
        <v>2543</v>
      </c>
      <c r="R181" s="57" t="s">
        <v>2486</v>
      </c>
      <c r="S181" s="57" t="s">
        <v>2486</v>
      </c>
      <c r="T181" s="57" t="s">
        <v>2542</v>
      </c>
      <c r="U181" s="57" t="s">
        <v>2542</v>
      </c>
      <c r="V181" s="57" t="s">
        <v>2542</v>
      </c>
      <c r="W181" s="57" t="s">
        <v>2542</v>
      </c>
      <c r="X181" s="57" t="s">
        <v>2486</v>
      </c>
      <c r="Y181" s="57" t="s">
        <v>2486</v>
      </c>
      <c r="Z181" s="57" t="s">
        <v>2543</v>
      </c>
      <c r="AA181" s="57" t="s">
        <v>2543</v>
      </c>
      <c r="AB181" s="57" t="s">
        <v>2543</v>
      </c>
      <c r="AC181" s="57" t="s">
        <v>2543</v>
      </c>
      <c r="AD181" s="57" t="s">
        <v>2486</v>
      </c>
      <c r="AE181" s="57" t="s">
        <v>2486</v>
      </c>
      <c r="AF181" s="57" t="s">
        <v>2542</v>
      </c>
      <c r="AG181" s="57" t="s">
        <v>2542</v>
      </c>
      <c r="AH181" s="57" t="s">
        <v>2542</v>
      </c>
      <c r="AI181" s="57" t="s">
        <v>2580</v>
      </c>
      <c r="AJ181" s="59" t="s">
        <v>2580</v>
      </c>
      <c r="AK181" s="60" t="s">
        <v>54</v>
      </c>
      <c r="AL181" s="56" t="s">
        <v>55</v>
      </c>
      <c r="AM181" s="56"/>
      <c r="AN181" s="56"/>
      <c r="AO181" s="56"/>
      <c r="AP181" s="7">
        <f>VLOOKUP(B:B,Table3[#All],4,0)</f>
        <v>10000</v>
      </c>
      <c r="AQ181" s="7">
        <f>calcShift1(Таблица1[[#This Row],[Столбец5]:[Столбец36]])</f>
        <v>72</v>
      </c>
      <c r="AR181" s="7">
        <f>calcShift2(Таблица1[[#This Row],[Столбец5]:[Столбец36]])</f>
        <v>88</v>
      </c>
      <c r="AS181" s="7">
        <f>calcShift3(Таблица1[[#This Row],[Столбец5]:[Столбец36]])</f>
        <v>0</v>
      </c>
      <c r="AT181" s="56"/>
      <c r="AU181" s="7">
        <f>calcYavka(Таблица1[[#This Row],[Столбец5]:[Столбец36]])</f>
        <v>20</v>
      </c>
      <c r="AV181" s="61"/>
      <c r="AW181" s="18">
        <f>VLOOKUP(B:B,ДОП_ВСІ!B:AS,44,0)</f>
        <v>3000</v>
      </c>
      <c r="AX181" s="7">
        <f>VLOOKUP(B:B,ДОП_ВСІ!B:AQ,42,0)</f>
        <v>0</v>
      </c>
      <c r="AY181" s="7"/>
      <c r="AZ181" s="6">
        <f>((((Таблица1[[#This Row],[Столбец42]]/160)*Таблица1[[#This Row],[Столбец44]])*0.25)*0.35)+((((Таблица1[[#This Row],[Столбец42]]/160)*Таблица1[[#This Row],[Столбец44]])*0.5)*0.2)</f>
        <v>1031.25</v>
      </c>
      <c r="BA181" s="56"/>
      <c r="BB181" s="47">
        <f>calcTS(Таблица1[[#This Row],[Столбец5]:[Столбец36]])</f>
        <v>0</v>
      </c>
    </row>
    <row r="182" spans="1:54" ht="42" x14ac:dyDescent="0.35">
      <c r="A182" s="55" t="s">
        <v>2635</v>
      </c>
      <c r="B182" s="56" t="s">
        <v>137</v>
      </c>
      <c r="C182" s="57" t="s">
        <v>318</v>
      </c>
      <c r="D182" s="20" t="s">
        <v>2564</v>
      </c>
      <c r="E182" s="58" t="s">
        <v>2542</v>
      </c>
      <c r="F182" s="57" t="s">
        <v>2542</v>
      </c>
      <c r="G182" s="57" t="s">
        <v>2542</v>
      </c>
      <c r="H182" s="57" t="s">
        <v>2486</v>
      </c>
      <c r="I182" s="57" t="s">
        <v>2486</v>
      </c>
      <c r="J182" s="57" t="s">
        <v>141</v>
      </c>
      <c r="K182" s="58" t="s">
        <v>141</v>
      </c>
      <c r="L182" s="57" t="s">
        <v>141</v>
      </c>
      <c r="M182" s="57" t="s">
        <v>141</v>
      </c>
      <c r="N182" s="58" t="s">
        <v>2486</v>
      </c>
      <c r="O182" s="58" t="s">
        <v>2486</v>
      </c>
      <c r="P182" s="58" t="s">
        <v>135</v>
      </c>
      <c r="Q182" s="58" t="s">
        <v>135</v>
      </c>
      <c r="R182" s="57" t="s">
        <v>135</v>
      </c>
      <c r="S182" s="57" t="s">
        <v>135</v>
      </c>
      <c r="T182" s="57" t="s">
        <v>2486</v>
      </c>
      <c r="U182" s="57" t="s">
        <v>2486</v>
      </c>
      <c r="V182" s="57" t="s">
        <v>2543</v>
      </c>
      <c r="W182" s="57" t="s">
        <v>141</v>
      </c>
      <c r="X182" s="57" t="s">
        <v>141</v>
      </c>
      <c r="Y182" s="57" t="s">
        <v>2543</v>
      </c>
      <c r="Z182" s="57" t="s">
        <v>2486</v>
      </c>
      <c r="AA182" s="57" t="s">
        <v>2486</v>
      </c>
      <c r="AB182" s="57" t="s">
        <v>2542</v>
      </c>
      <c r="AC182" s="57" t="s">
        <v>135</v>
      </c>
      <c r="AD182" s="57" t="s">
        <v>135</v>
      </c>
      <c r="AE182" s="57" t="s">
        <v>2542</v>
      </c>
      <c r="AF182" s="57" t="s">
        <v>2486</v>
      </c>
      <c r="AG182" s="57" t="s">
        <v>2486</v>
      </c>
      <c r="AH182" s="57" t="s">
        <v>2543</v>
      </c>
      <c r="AI182" s="57" t="s">
        <v>2580</v>
      </c>
      <c r="AJ182" s="59" t="s">
        <v>2580</v>
      </c>
      <c r="AK182" s="60" t="s">
        <v>54</v>
      </c>
      <c r="AL182" s="56" t="s">
        <v>55</v>
      </c>
      <c r="AM182" s="56"/>
      <c r="AN182" s="56"/>
      <c r="AO182" s="56"/>
      <c r="AP182" s="7">
        <f>VLOOKUP(B:B,Table3[#All],4,0)</f>
        <v>10000</v>
      </c>
      <c r="AQ182" s="7">
        <f>calcShift1(Таблица1[[#This Row],[Столбец5]:[Столбец36]])</f>
        <v>72</v>
      </c>
      <c r="AR182" s="7">
        <f>calcShift2(Таблица1[[#This Row],[Столбец5]:[Столбец36]])</f>
        <v>88</v>
      </c>
      <c r="AS182" s="7">
        <f>calcShift3(Таблица1[[#This Row],[Столбец5]:[Столбец36]])</f>
        <v>0</v>
      </c>
      <c r="AT182" s="56"/>
      <c r="AU182" s="7">
        <f>calcYavka(Таблица1[[#This Row],[Столбец5]:[Столбец36]])</f>
        <v>20</v>
      </c>
      <c r="AV182" s="61"/>
      <c r="AW182" s="18">
        <f>VLOOKUP(B:B,ДОП_ВСІ!B:AS,44,0)</f>
        <v>5250</v>
      </c>
      <c r="AX182" s="7">
        <f>VLOOKUP(B:B,ДОП_ВСІ!B:AQ,42,0)</f>
        <v>0</v>
      </c>
      <c r="AY182" s="7"/>
      <c r="AZ182" s="6">
        <f>((((Таблица1[[#This Row],[Столбец42]]/160)*Таблица1[[#This Row],[Столбец44]])*0.25)*0.35)+((((Таблица1[[#This Row],[Столбец42]]/160)*Таблица1[[#This Row],[Столбец44]])*0.5)*0.2)</f>
        <v>1031.25</v>
      </c>
      <c r="BA182" s="56"/>
      <c r="BB182" s="47">
        <f>calcTS(Таблица1[[#This Row],[Столбец5]:[Столбец36]])</f>
        <v>0</v>
      </c>
    </row>
    <row r="183" spans="1:54" x14ac:dyDescent="0.35">
      <c r="A183" s="55" t="s">
        <v>335</v>
      </c>
      <c r="B183" s="56" t="s">
        <v>336</v>
      </c>
      <c r="C183" s="57" t="s">
        <v>318</v>
      </c>
      <c r="D183" s="20" t="s">
        <v>2564</v>
      </c>
      <c r="E183" s="58" t="s">
        <v>2486</v>
      </c>
      <c r="F183" s="57" t="s">
        <v>2542</v>
      </c>
      <c r="G183" s="57" t="s">
        <v>2542</v>
      </c>
      <c r="H183" s="57" t="s">
        <v>2542</v>
      </c>
      <c r="I183" s="57" t="s">
        <v>2542</v>
      </c>
      <c r="J183" s="57" t="s">
        <v>2486</v>
      </c>
      <c r="K183" s="58" t="s">
        <v>2486</v>
      </c>
      <c r="L183" s="57" t="s">
        <v>135</v>
      </c>
      <c r="M183" s="57" t="s">
        <v>135</v>
      </c>
      <c r="N183" s="58" t="s">
        <v>135</v>
      </c>
      <c r="O183" s="58" t="s">
        <v>135</v>
      </c>
      <c r="P183" s="58" t="s">
        <v>2486</v>
      </c>
      <c r="Q183" s="58" t="s">
        <v>2486</v>
      </c>
      <c r="R183" s="57" t="s">
        <v>2543</v>
      </c>
      <c r="S183" s="57" t="s">
        <v>2543</v>
      </c>
      <c r="T183" s="57" t="s">
        <v>2543</v>
      </c>
      <c r="U183" s="57" t="s">
        <v>2543</v>
      </c>
      <c r="V183" s="57" t="s">
        <v>2486</v>
      </c>
      <c r="W183" s="57" t="s">
        <v>2486</v>
      </c>
      <c r="X183" s="57" t="s">
        <v>2542</v>
      </c>
      <c r="Y183" s="57" t="s">
        <v>2542</v>
      </c>
      <c r="Z183" s="57" t="s">
        <v>2542</v>
      </c>
      <c r="AA183" s="57" t="s">
        <v>2542</v>
      </c>
      <c r="AB183" s="57" t="s">
        <v>2486</v>
      </c>
      <c r="AC183" s="57" t="s">
        <v>2486</v>
      </c>
      <c r="AD183" s="57" t="s">
        <v>2543</v>
      </c>
      <c r="AE183" s="57" t="s">
        <v>2543</v>
      </c>
      <c r="AF183" s="57" t="s">
        <v>2543</v>
      </c>
      <c r="AG183" s="57" t="s">
        <v>2543</v>
      </c>
      <c r="AH183" s="57" t="s">
        <v>2486</v>
      </c>
      <c r="AI183" s="57" t="s">
        <v>2580</v>
      </c>
      <c r="AJ183" s="59" t="s">
        <v>2580</v>
      </c>
      <c r="AK183" s="60" t="s">
        <v>54</v>
      </c>
      <c r="AL183" s="56" t="s">
        <v>55</v>
      </c>
      <c r="AM183" s="56"/>
      <c r="AN183" s="56"/>
      <c r="AO183" s="56"/>
      <c r="AP183" s="7">
        <f>VLOOKUP(B:B,Table3[#All],4,0)</f>
        <v>10000</v>
      </c>
      <c r="AQ183" s="7">
        <f>calcShift1(Таблица1[[#This Row],[Столбец5]:[Столбец36]])</f>
        <v>64</v>
      </c>
      <c r="AR183" s="7">
        <f>calcShift2(Таблица1[[#This Row],[Столбец5]:[Столбец36]])</f>
        <v>96</v>
      </c>
      <c r="AS183" s="7">
        <f>calcShift3(Таблица1[[#This Row],[Столбец5]:[Столбец36]])</f>
        <v>0</v>
      </c>
      <c r="AT183" s="56"/>
      <c r="AU183" s="7">
        <f>calcYavka(Таблица1[[#This Row],[Столбец5]:[Столбец36]])</f>
        <v>20</v>
      </c>
      <c r="AV183" s="61"/>
      <c r="AW183" s="18">
        <f>VLOOKUP(B:B,ДОП_ВСІ!B:AS,44,0)</f>
        <v>3124.9999999999995</v>
      </c>
      <c r="AX183" s="7">
        <f>VLOOKUP(B:B,ДОП_ВСІ!B:AQ,42,0)</f>
        <v>1181.25</v>
      </c>
      <c r="AY183" s="7"/>
      <c r="AZ183" s="6">
        <f>((((Таблица1[[#This Row],[Столбец42]]/160)*Таблица1[[#This Row],[Столбец44]])*0.25)*0.35)+((((Таблица1[[#This Row],[Столбец42]]/160)*Таблица1[[#This Row],[Столбец44]])*0.5)*0.2)</f>
        <v>1125</v>
      </c>
      <c r="BA183" s="56"/>
      <c r="BB183" s="47">
        <f>calcTS(Таблица1[[#This Row],[Столбец5]:[Столбец36]])</f>
        <v>0</v>
      </c>
    </row>
    <row r="184" spans="1:54" x14ac:dyDescent="0.35">
      <c r="A184" s="55" t="s">
        <v>128</v>
      </c>
      <c r="B184" s="56" t="s">
        <v>129</v>
      </c>
      <c r="C184" s="57" t="s">
        <v>318</v>
      </c>
      <c r="D184" s="20" t="s">
        <v>2564</v>
      </c>
      <c r="E184" s="58" t="s">
        <v>2486</v>
      </c>
      <c r="F184" s="57" t="s">
        <v>2543</v>
      </c>
      <c r="G184" s="57" t="s">
        <v>2543</v>
      </c>
      <c r="H184" s="57" t="s">
        <v>2543</v>
      </c>
      <c r="I184" s="57" t="s">
        <v>2543</v>
      </c>
      <c r="J184" s="57" t="s">
        <v>2486</v>
      </c>
      <c r="K184" s="58" t="s">
        <v>2486</v>
      </c>
      <c r="L184" s="57" t="s">
        <v>135</v>
      </c>
      <c r="M184" s="57" t="s">
        <v>135</v>
      </c>
      <c r="N184" s="58" t="s">
        <v>135</v>
      </c>
      <c r="O184" s="58" t="s">
        <v>135</v>
      </c>
      <c r="P184" s="58" t="s">
        <v>2486</v>
      </c>
      <c r="Q184" s="58" t="s">
        <v>2486</v>
      </c>
      <c r="R184" s="57" t="s">
        <v>2543</v>
      </c>
      <c r="S184" s="57" t="s">
        <v>2543</v>
      </c>
      <c r="T184" s="57" t="s">
        <v>2543</v>
      </c>
      <c r="U184" s="57" t="s">
        <v>2543</v>
      </c>
      <c r="V184" s="57" t="s">
        <v>2486</v>
      </c>
      <c r="W184" s="57" t="s">
        <v>2486</v>
      </c>
      <c r="X184" s="57" t="s">
        <v>2542</v>
      </c>
      <c r="Y184" s="57" t="s">
        <v>2543</v>
      </c>
      <c r="Z184" s="57" t="s">
        <v>2486</v>
      </c>
      <c r="AA184" s="57" t="s">
        <v>2542</v>
      </c>
      <c r="AB184" s="57" t="s">
        <v>2486</v>
      </c>
      <c r="AC184" s="57" t="s">
        <v>2486</v>
      </c>
      <c r="AD184" s="57" t="s">
        <v>2543</v>
      </c>
      <c r="AE184" s="57" t="s">
        <v>2543</v>
      </c>
      <c r="AF184" s="57" t="s">
        <v>2543</v>
      </c>
      <c r="AG184" s="57" t="s">
        <v>2543</v>
      </c>
      <c r="AH184" s="57" t="s">
        <v>2486</v>
      </c>
      <c r="AI184" s="57" t="s">
        <v>2597</v>
      </c>
      <c r="AJ184" s="59" t="s">
        <v>2597</v>
      </c>
      <c r="AK184" s="60" t="s">
        <v>72</v>
      </c>
      <c r="AL184" s="56" t="s">
        <v>71</v>
      </c>
      <c r="AM184" s="56"/>
      <c r="AN184" s="56"/>
      <c r="AO184" s="56"/>
      <c r="AP184" s="7">
        <f>VLOOKUP(B:B,Table3[#All],4,0)</f>
        <v>10000</v>
      </c>
      <c r="AQ184" s="7">
        <f>calcShift1(Таблица1[[#This Row],[Столбец5]:[Столбец36]])</f>
        <v>104</v>
      </c>
      <c r="AR184" s="7">
        <f>calcShift2(Таблица1[[#This Row],[Столбец5]:[Столбец36]])</f>
        <v>47.999999999999993</v>
      </c>
      <c r="AS184" s="7">
        <f>calcShift3(Таблица1[[#This Row],[Столбец5]:[Столбец36]])</f>
        <v>0</v>
      </c>
      <c r="AT184" s="56"/>
      <c r="AU184" s="7">
        <f>calcYavka(Таблица1[[#This Row],[Столбец5]:[Столбец36]])</f>
        <v>19</v>
      </c>
      <c r="AV184" s="61"/>
      <c r="AW184" s="18">
        <f>VLOOKUP(B:B,ДОП_ВСІ!B:AS,44,0)</f>
        <v>0</v>
      </c>
      <c r="AX184" s="7">
        <f>VLOOKUP(B:B,ДОП_ВСІ!B:AQ,42,0)</f>
        <v>0</v>
      </c>
      <c r="AY184" s="7"/>
      <c r="AZ184" s="6">
        <f>((((Таблица1[[#This Row],[Столбец42]]/160)*Таблица1[[#This Row],[Столбец44]])*0.25)*0.35)+((((Таблица1[[#This Row],[Столбец42]]/160)*Таблица1[[#This Row],[Столбец44]])*0.5)*0.2)</f>
        <v>562.49999999999989</v>
      </c>
      <c r="BA184" s="56"/>
      <c r="BB184" s="47">
        <f>calcTS(Таблица1[[#This Row],[Столбец5]:[Столбец36]])</f>
        <v>0</v>
      </c>
    </row>
    <row r="185" spans="1:54" x14ac:dyDescent="0.35">
      <c r="A185" s="55" t="s">
        <v>337</v>
      </c>
      <c r="B185" s="56" t="s">
        <v>338</v>
      </c>
      <c r="C185" s="57" t="s">
        <v>318</v>
      </c>
      <c r="D185" s="20" t="s">
        <v>2564</v>
      </c>
      <c r="E185" s="58" t="s">
        <v>2486</v>
      </c>
      <c r="F185" s="57" t="s">
        <v>2542</v>
      </c>
      <c r="G185" s="57" t="s">
        <v>2542</v>
      </c>
      <c r="H185" s="57" t="s">
        <v>2542</v>
      </c>
      <c r="I185" s="57" t="s">
        <v>2542</v>
      </c>
      <c r="J185" s="57" t="s">
        <v>2486</v>
      </c>
      <c r="K185" s="58" t="s">
        <v>2486</v>
      </c>
      <c r="L185" s="57" t="s">
        <v>135</v>
      </c>
      <c r="M185" s="57" t="s">
        <v>135</v>
      </c>
      <c r="N185" s="58" t="s">
        <v>135</v>
      </c>
      <c r="O185" s="58" t="s">
        <v>2501</v>
      </c>
      <c r="P185" s="58" t="s">
        <v>2501</v>
      </c>
      <c r="Q185" s="58" t="s">
        <v>2501</v>
      </c>
      <c r="R185" s="57" t="s">
        <v>2501</v>
      </c>
      <c r="S185" s="57" t="s">
        <v>2501</v>
      </c>
      <c r="T185" s="57" t="s">
        <v>2501</v>
      </c>
      <c r="U185" s="57" t="s">
        <v>2501</v>
      </c>
      <c r="V185" s="57" t="s">
        <v>2501</v>
      </c>
      <c r="W185" s="57" t="s">
        <v>2501</v>
      </c>
      <c r="X185" s="57" t="s">
        <v>2501</v>
      </c>
      <c r="Y185" s="57" t="s">
        <v>2501</v>
      </c>
      <c r="Z185" s="57" t="s">
        <v>2501</v>
      </c>
      <c r="AA185" s="57" t="s">
        <v>2501</v>
      </c>
      <c r="AB185" s="57" t="s">
        <v>2501</v>
      </c>
      <c r="AC185" s="57" t="s">
        <v>2486</v>
      </c>
      <c r="AD185" s="57" t="s">
        <v>2543</v>
      </c>
      <c r="AE185" s="57" t="s">
        <v>2543</v>
      </c>
      <c r="AF185" s="57" t="s">
        <v>2543</v>
      </c>
      <c r="AG185" s="57" t="s">
        <v>2543</v>
      </c>
      <c r="AH185" s="57" t="s">
        <v>2486</v>
      </c>
      <c r="AI185" s="57" t="s">
        <v>2587</v>
      </c>
      <c r="AJ185" s="59" t="s">
        <v>2580</v>
      </c>
      <c r="AK185" s="60" t="s">
        <v>71</v>
      </c>
      <c r="AL185" s="56" t="s">
        <v>72</v>
      </c>
      <c r="AM185" s="56"/>
      <c r="AN185" s="56"/>
      <c r="AO185" s="56"/>
      <c r="AP185" s="7">
        <f>VLOOKUP(B:B,Table3[#All],4,0)</f>
        <v>7500</v>
      </c>
      <c r="AQ185" s="7">
        <f>calcShift1(Таблица1[[#This Row],[Столбец5]:[Столбец36]])</f>
        <v>32</v>
      </c>
      <c r="AR185" s="7">
        <f>calcShift2(Таблица1[[#This Row],[Столбец5]:[Столбец36]])</f>
        <v>55.999999999999993</v>
      </c>
      <c r="AS185" s="7">
        <f>calcShift3(Таблица1[[#This Row],[Столбец5]:[Столбец36]])</f>
        <v>0</v>
      </c>
      <c r="AT185" s="56"/>
      <c r="AU185" s="7">
        <f>calcYavka(Таблица1[[#This Row],[Столбец5]:[Столбец36]])</f>
        <v>11</v>
      </c>
      <c r="AV185" s="61"/>
      <c r="AW185" s="18">
        <f>VLOOKUP(B:B,ДОП_ВСІ!B:AS,44,0)</f>
        <v>0</v>
      </c>
      <c r="AX185" s="7">
        <f>VLOOKUP(B:B,ДОП_ВСІ!B:AQ,42,0)</f>
        <v>885.93750000000011</v>
      </c>
      <c r="AY185" s="7"/>
      <c r="AZ185" s="6">
        <f>((((Таблица1[[#This Row],[Столбец42]]/160)*Таблица1[[#This Row],[Столбец44]])*0.25)*0.35)+((((Таблица1[[#This Row],[Столбец42]]/160)*Таблица1[[#This Row],[Столбец44]])*0.5)*0.2)</f>
        <v>492.18749999999989</v>
      </c>
      <c r="BA185" s="56"/>
      <c r="BB185" s="47">
        <f>calcTS(Таблица1[[#This Row],[Столбец5]:[Столбец36]])</f>
        <v>0</v>
      </c>
    </row>
    <row r="186" spans="1:54" ht="42" x14ac:dyDescent="0.35">
      <c r="A186" s="55" t="s">
        <v>339</v>
      </c>
      <c r="B186" s="56" t="s">
        <v>340</v>
      </c>
      <c r="C186" s="57" t="s">
        <v>318</v>
      </c>
      <c r="D186" s="20" t="s">
        <v>2564</v>
      </c>
      <c r="E186" s="58" t="s">
        <v>2543</v>
      </c>
      <c r="F186" s="57" t="s">
        <v>2486</v>
      </c>
      <c r="G186" s="57" t="s">
        <v>2486</v>
      </c>
      <c r="H186" s="57" t="s">
        <v>2542</v>
      </c>
      <c r="I186" s="57" t="s">
        <v>2542</v>
      </c>
      <c r="J186" s="57" t="s">
        <v>2542</v>
      </c>
      <c r="K186" s="58" t="s">
        <v>2542</v>
      </c>
      <c r="L186" s="57" t="s">
        <v>2486</v>
      </c>
      <c r="M186" s="57" t="s">
        <v>2486</v>
      </c>
      <c r="N186" s="58" t="s">
        <v>2543</v>
      </c>
      <c r="O186" s="58" t="s">
        <v>2543</v>
      </c>
      <c r="P186" s="58" t="s">
        <v>2543</v>
      </c>
      <c r="Q186" s="58" t="s">
        <v>2543</v>
      </c>
      <c r="R186" s="57" t="s">
        <v>2486</v>
      </c>
      <c r="S186" s="57" t="s">
        <v>2486</v>
      </c>
      <c r="T186" s="57" t="s">
        <v>2542</v>
      </c>
      <c r="U186" s="57" t="s">
        <v>2542</v>
      </c>
      <c r="V186" s="57" t="s">
        <v>2542</v>
      </c>
      <c r="W186" s="57" t="s">
        <v>2542</v>
      </c>
      <c r="X186" s="57" t="s">
        <v>2486</v>
      </c>
      <c r="Y186" s="57" t="s">
        <v>2486</v>
      </c>
      <c r="Z186" s="57" t="s">
        <v>2543</v>
      </c>
      <c r="AA186" s="57" t="s">
        <v>2543</v>
      </c>
      <c r="AB186" s="57" t="s">
        <v>2543</v>
      </c>
      <c r="AC186" s="57" t="s">
        <v>2543</v>
      </c>
      <c r="AD186" s="57" t="s">
        <v>2486</v>
      </c>
      <c r="AE186" s="57" t="s">
        <v>2486</v>
      </c>
      <c r="AF186" s="57" t="s">
        <v>2542</v>
      </c>
      <c r="AG186" s="57" t="s">
        <v>2542</v>
      </c>
      <c r="AH186" s="57" t="s">
        <v>2542</v>
      </c>
      <c r="AI186" s="57" t="s">
        <v>2580</v>
      </c>
      <c r="AJ186" s="59" t="s">
        <v>2580</v>
      </c>
      <c r="AK186" s="60" t="s">
        <v>54</v>
      </c>
      <c r="AL186" s="56" t="s">
        <v>55</v>
      </c>
      <c r="AM186" s="56"/>
      <c r="AN186" s="56"/>
      <c r="AO186" s="56"/>
      <c r="AP186" s="7">
        <f>VLOOKUP(B:B,Table3[#All],4,0)</f>
        <v>10000</v>
      </c>
      <c r="AQ186" s="7">
        <f>calcShift1(Таблица1[[#This Row],[Столбец5]:[Столбец36]])</f>
        <v>72</v>
      </c>
      <c r="AR186" s="7">
        <f>calcShift2(Таблица1[[#This Row],[Столбец5]:[Столбец36]])</f>
        <v>88</v>
      </c>
      <c r="AS186" s="7">
        <f>calcShift3(Таблица1[[#This Row],[Столбец5]:[Столбец36]])</f>
        <v>0</v>
      </c>
      <c r="AT186" s="56"/>
      <c r="AU186" s="7">
        <f>calcYavka(Таблица1[[#This Row],[Столбец5]:[Столбец36]])</f>
        <v>20</v>
      </c>
      <c r="AV186" s="61"/>
      <c r="AW186" s="18">
        <f>VLOOKUP(B:B,ДОП_ВСІ!B:AS,44,0)</f>
        <v>500</v>
      </c>
      <c r="AX186" s="7">
        <f>VLOOKUP(B:B,ДОП_ВСІ!B:AQ,42,0)</f>
        <v>0</v>
      </c>
      <c r="AY186" s="7"/>
      <c r="AZ186" s="6">
        <f>((((Таблица1[[#This Row],[Столбец42]]/160)*Таблица1[[#This Row],[Столбец44]])*0.25)*0.35)+((((Таблица1[[#This Row],[Столбец42]]/160)*Таблица1[[#This Row],[Столбец44]])*0.5)*0.2)</f>
        <v>1031.25</v>
      </c>
      <c r="BA186" s="56"/>
      <c r="BB186" s="47">
        <f>calcTS(Таблица1[[#This Row],[Столбец5]:[Столбец36]])</f>
        <v>0</v>
      </c>
    </row>
    <row r="187" spans="1:54" ht="42" x14ac:dyDescent="0.35">
      <c r="A187" s="55" t="s">
        <v>342</v>
      </c>
      <c r="B187" s="56" t="s">
        <v>343</v>
      </c>
      <c r="C187" s="57" t="s">
        <v>318</v>
      </c>
      <c r="D187" s="20" t="s">
        <v>2564</v>
      </c>
      <c r="E187" s="58" t="s">
        <v>2542</v>
      </c>
      <c r="F187" s="57" t="s">
        <v>2542</v>
      </c>
      <c r="G187" s="57" t="s">
        <v>2542</v>
      </c>
      <c r="H187" s="57" t="s">
        <v>2486</v>
      </c>
      <c r="I187" s="57" t="s">
        <v>2486</v>
      </c>
      <c r="J187" s="57" t="s">
        <v>2543</v>
      </c>
      <c r="K187" s="58" t="s">
        <v>2543</v>
      </c>
      <c r="L187" s="57" t="s">
        <v>2543</v>
      </c>
      <c r="M187" s="57" t="s">
        <v>2543</v>
      </c>
      <c r="N187" s="58" t="s">
        <v>2486</v>
      </c>
      <c r="O187" s="58" t="s">
        <v>2486</v>
      </c>
      <c r="P187" s="58" t="s">
        <v>135</v>
      </c>
      <c r="Q187" s="58" t="s">
        <v>135</v>
      </c>
      <c r="R187" s="57" t="s">
        <v>135</v>
      </c>
      <c r="S187" s="57" t="s">
        <v>135</v>
      </c>
      <c r="T187" s="57" t="s">
        <v>2486</v>
      </c>
      <c r="U187" s="57" t="s">
        <v>2486</v>
      </c>
      <c r="V187" s="57" t="s">
        <v>2543</v>
      </c>
      <c r="W187" s="57" t="s">
        <v>2543</v>
      </c>
      <c r="X187" s="57" t="s">
        <v>2543</v>
      </c>
      <c r="Y187" s="57" t="s">
        <v>2543</v>
      </c>
      <c r="Z187" s="57" t="s">
        <v>2486</v>
      </c>
      <c r="AA187" s="57" t="s">
        <v>2486</v>
      </c>
      <c r="AB187" s="57" t="s">
        <v>2542</v>
      </c>
      <c r="AC187" s="57" t="s">
        <v>2542</v>
      </c>
      <c r="AD187" s="57" t="s">
        <v>2542</v>
      </c>
      <c r="AE187" s="57" t="s">
        <v>2542</v>
      </c>
      <c r="AF187" s="57" t="s">
        <v>2486</v>
      </c>
      <c r="AG187" s="57" t="s">
        <v>2486</v>
      </c>
      <c r="AH187" s="57" t="s">
        <v>2543</v>
      </c>
      <c r="AI187" s="57" t="s">
        <v>2580</v>
      </c>
      <c r="AJ187" s="59" t="s">
        <v>2580</v>
      </c>
      <c r="AK187" s="60" t="s">
        <v>54</v>
      </c>
      <c r="AL187" s="56" t="s">
        <v>55</v>
      </c>
      <c r="AM187" s="56"/>
      <c r="AN187" s="56"/>
      <c r="AO187" s="56"/>
      <c r="AP187" s="7">
        <f>VLOOKUP(B:B,Table3[#All],4,0)</f>
        <v>10000</v>
      </c>
      <c r="AQ187" s="7">
        <f>calcShift1(Таблица1[[#This Row],[Столбец5]:[Столбец36]])</f>
        <v>72</v>
      </c>
      <c r="AR187" s="7">
        <f>calcShift2(Таблица1[[#This Row],[Столбец5]:[Столбец36]])</f>
        <v>88</v>
      </c>
      <c r="AS187" s="7">
        <f>calcShift3(Таблица1[[#This Row],[Столбец5]:[Столбец36]])</f>
        <v>0</v>
      </c>
      <c r="AT187" s="56"/>
      <c r="AU187" s="7">
        <f>calcYavka(Таблица1[[#This Row],[Столбец5]:[Столбец36]])</f>
        <v>20</v>
      </c>
      <c r="AV187" s="61"/>
      <c r="AW187" s="18">
        <f>VLOOKUP(B:B,ДОП_ВСІ!B:AS,44,0)</f>
        <v>2624.9999999999995</v>
      </c>
      <c r="AX187" s="7">
        <f>VLOOKUP(B:B,ДОП_ВСІ!B:AQ,42,0)</f>
        <v>5906.25</v>
      </c>
      <c r="AY187" s="7"/>
      <c r="AZ187" s="6">
        <f>((((Таблица1[[#This Row],[Столбец42]]/160)*Таблица1[[#This Row],[Столбец44]])*0.25)*0.35)+((((Таблица1[[#This Row],[Столбец42]]/160)*Таблица1[[#This Row],[Столбец44]])*0.5)*0.2)</f>
        <v>1031.25</v>
      </c>
      <c r="BA187" s="56"/>
      <c r="BB187" s="47">
        <f>calcTS(Таблица1[[#This Row],[Столбец5]:[Столбец36]])</f>
        <v>0</v>
      </c>
    </row>
    <row r="188" spans="1:54" x14ac:dyDescent="0.35">
      <c r="A188" s="55" t="s">
        <v>250</v>
      </c>
      <c r="B188" s="56" t="s">
        <v>251</v>
      </c>
      <c r="C188" s="57" t="s">
        <v>252</v>
      </c>
      <c r="D188" s="20" t="s">
        <v>2564</v>
      </c>
      <c r="E188" s="58" t="s">
        <v>2486</v>
      </c>
      <c r="F188" s="57" t="s">
        <v>2486</v>
      </c>
      <c r="G188" s="57" t="s">
        <v>2486</v>
      </c>
      <c r="H188" s="57" t="s">
        <v>2486</v>
      </c>
      <c r="I188" s="57" t="s">
        <v>2486</v>
      </c>
      <c r="J188" s="57" t="s">
        <v>2486</v>
      </c>
      <c r="K188" s="58" t="s">
        <v>2486</v>
      </c>
      <c r="L188" s="57" t="s">
        <v>2486</v>
      </c>
      <c r="M188" s="57" t="s">
        <v>2486</v>
      </c>
      <c r="N188" s="58" t="s">
        <v>2486</v>
      </c>
      <c r="O188" s="58" t="s">
        <v>2486</v>
      </c>
      <c r="P188" s="58" t="s">
        <v>2486</v>
      </c>
      <c r="Q188" s="58" t="s">
        <v>2486</v>
      </c>
      <c r="R188" s="57" t="s">
        <v>2486</v>
      </c>
      <c r="S188" s="57" t="s">
        <v>141</v>
      </c>
      <c r="T188" s="57" t="s">
        <v>2486</v>
      </c>
      <c r="U188" s="57" t="s">
        <v>2486</v>
      </c>
      <c r="V188" s="57" t="s">
        <v>141</v>
      </c>
      <c r="W188" s="57" t="s">
        <v>141</v>
      </c>
      <c r="X188" s="57" t="s">
        <v>141</v>
      </c>
      <c r="Y188" s="57" t="s">
        <v>141</v>
      </c>
      <c r="Z188" s="57" t="s">
        <v>141</v>
      </c>
      <c r="AA188" s="57" t="s">
        <v>141</v>
      </c>
      <c r="AB188" s="57" t="s">
        <v>2486</v>
      </c>
      <c r="AC188" s="57" t="s">
        <v>141</v>
      </c>
      <c r="AD188" s="57" t="s">
        <v>141</v>
      </c>
      <c r="AE188" s="57" t="s">
        <v>2570</v>
      </c>
      <c r="AF188" s="57" t="s">
        <v>2486</v>
      </c>
      <c r="AG188" s="57" t="s">
        <v>2486</v>
      </c>
      <c r="AH188" s="57" t="s">
        <v>2486</v>
      </c>
      <c r="AI188" s="57" t="s">
        <v>2589</v>
      </c>
      <c r="AJ188" s="59" t="s">
        <v>2589</v>
      </c>
      <c r="AK188" s="60" t="s">
        <v>55</v>
      </c>
      <c r="AL188" s="56" t="s">
        <v>54</v>
      </c>
      <c r="AM188" s="56"/>
      <c r="AN188" s="56"/>
      <c r="AO188" s="56"/>
      <c r="AP188" s="7">
        <f>VLOOKUP(B:B,Table3[#All],4,0)</f>
        <v>6500</v>
      </c>
      <c r="AQ188" s="7">
        <f>calcShift1(Таблица1[[#This Row],[Столбец5]:[Столбец36]])</f>
        <v>79</v>
      </c>
      <c r="AR188" s="7">
        <f>calcShift2(Таблица1[[#This Row],[Столбец5]:[Столбец36]])</f>
        <v>0</v>
      </c>
      <c r="AS188" s="7">
        <f>calcShift3(Таблица1[[#This Row],[Столбец5]:[Столбец36]])</f>
        <v>0</v>
      </c>
      <c r="AT188" s="56"/>
      <c r="AU188" s="7">
        <f>calcYavka(Таблица1[[#This Row],[Столбец5]:[Столбец36]])</f>
        <v>10</v>
      </c>
      <c r="AV188" s="61"/>
      <c r="AW188" s="18">
        <f>VLOOKUP(B:B,ДОП_ВСІ!B:AS,44,0)</f>
        <v>0</v>
      </c>
      <c r="AX188" s="7">
        <f>VLOOKUP(B:B,ДОП_ВСІ!B:AQ,42,0)</f>
        <v>0</v>
      </c>
      <c r="AY188" s="7"/>
      <c r="AZ188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88" s="56"/>
      <c r="BB188" s="47">
        <f>calcTS(Таблица1[[#This Row],[Столбец5]:[Столбец36]])</f>
        <v>0</v>
      </c>
    </row>
    <row r="189" spans="1:54" ht="42" x14ac:dyDescent="0.35">
      <c r="A189" s="55" t="s">
        <v>253</v>
      </c>
      <c r="B189" s="56" t="s">
        <v>254</v>
      </c>
      <c r="C189" s="57" t="s">
        <v>255</v>
      </c>
      <c r="D189" s="20" t="s">
        <v>2564</v>
      </c>
      <c r="E189" s="58" t="s">
        <v>2543</v>
      </c>
      <c r="F189" s="57" t="s">
        <v>2486</v>
      </c>
      <c r="G189" s="57" t="s">
        <v>2486</v>
      </c>
      <c r="H189" s="57" t="s">
        <v>2543</v>
      </c>
      <c r="I189" s="57" t="s">
        <v>2543</v>
      </c>
      <c r="J189" s="57" t="s">
        <v>2543</v>
      </c>
      <c r="K189" s="58" t="s">
        <v>2543</v>
      </c>
      <c r="L189" s="57" t="s">
        <v>2543</v>
      </c>
      <c r="M189" s="57" t="s">
        <v>2486</v>
      </c>
      <c r="N189" s="58" t="s">
        <v>2486</v>
      </c>
      <c r="O189" s="58" t="s">
        <v>2543</v>
      </c>
      <c r="P189" s="58" t="s">
        <v>2543</v>
      </c>
      <c r="Q189" s="58" t="s">
        <v>2543</v>
      </c>
      <c r="R189" s="57" t="s">
        <v>2543</v>
      </c>
      <c r="S189" s="57" t="s">
        <v>2543</v>
      </c>
      <c r="T189" s="57" t="s">
        <v>2486</v>
      </c>
      <c r="U189" s="57" t="s">
        <v>2486</v>
      </c>
      <c r="V189" s="57" t="s">
        <v>141</v>
      </c>
      <c r="W189" s="57" t="s">
        <v>141</v>
      </c>
      <c r="X189" s="57" t="s">
        <v>141</v>
      </c>
      <c r="Y189" s="57" t="s">
        <v>2485</v>
      </c>
      <c r="Z189" s="57" t="s">
        <v>2485</v>
      </c>
      <c r="AA189" s="57" t="s">
        <v>2485</v>
      </c>
      <c r="AB189" s="57" t="s">
        <v>2486</v>
      </c>
      <c r="AC189" s="57" t="s">
        <v>2485</v>
      </c>
      <c r="AD189" s="57" t="s">
        <v>2485</v>
      </c>
      <c r="AE189" s="57" t="s">
        <v>2485</v>
      </c>
      <c r="AF189" s="57" t="s">
        <v>2486</v>
      </c>
      <c r="AG189" s="57" t="s">
        <v>2486</v>
      </c>
      <c r="AH189" s="57" t="s">
        <v>2486</v>
      </c>
      <c r="AI189" s="57" t="s">
        <v>2583</v>
      </c>
      <c r="AJ189" s="59" t="s">
        <v>2567</v>
      </c>
      <c r="AK189" s="60" t="s">
        <v>74</v>
      </c>
      <c r="AL189" s="56" t="s">
        <v>76</v>
      </c>
      <c r="AM189" s="56"/>
      <c r="AN189" s="56"/>
      <c r="AO189" s="56"/>
      <c r="AP189" s="7">
        <f>VLOOKUP(B:B,Table3[#All],4,0)</f>
        <v>4800</v>
      </c>
      <c r="AQ189" s="7">
        <f>calcShift1(Таблица1[[#This Row],[Столбец5]:[Столбец36]])</f>
        <v>111.99999999999999</v>
      </c>
      <c r="AR189" s="7">
        <f>calcShift2(Таблица1[[#This Row],[Столбец5]:[Столбец36]])</f>
        <v>0</v>
      </c>
      <c r="AS189" s="7">
        <f>calcShift3(Таблица1[[#This Row],[Столбец5]:[Столбец36]])</f>
        <v>0</v>
      </c>
      <c r="AT189" s="56"/>
      <c r="AU189" s="7">
        <f>calcYavka(Таблица1[[#This Row],[Столбец5]:[Столбец36]])</f>
        <v>14</v>
      </c>
      <c r="AV189" s="61"/>
      <c r="AW189" s="18">
        <f>VLOOKUP(B:B,ДОП_ВСІ!B:AS,44,0)</f>
        <v>0</v>
      </c>
      <c r="AX189" s="7">
        <f>VLOOKUP(B:B,ДОП_ВСІ!B:AQ,42,0)</f>
        <v>0</v>
      </c>
      <c r="AY189" s="7">
        <f>Таблица1[[#This Row],[Столбец47]]*30</f>
        <v>420</v>
      </c>
      <c r="AZ189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89" s="56"/>
      <c r="BB189" s="47">
        <f>calcTS(Таблица1[[#This Row],[Столбец5]:[Столбец36]])</f>
        <v>0</v>
      </c>
    </row>
    <row r="190" spans="1:54" ht="42" x14ac:dyDescent="0.35">
      <c r="A190" s="55" t="s">
        <v>256</v>
      </c>
      <c r="B190" s="56" t="s">
        <v>257</v>
      </c>
      <c r="C190" s="57" t="s">
        <v>258</v>
      </c>
      <c r="D190" s="20" t="s">
        <v>2564</v>
      </c>
      <c r="E190" s="58" t="s">
        <v>2543</v>
      </c>
      <c r="F190" s="57" t="s">
        <v>2486</v>
      </c>
      <c r="G190" s="57" t="s">
        <v>2486</v>
      </c>
      <c r="H190" s="57" t="s">
        <v>2543</v>
      </c>
      <c r="I190" s="57" t="s">
        <v>2543</v>
      </c>
      <c r="J190" s="57" t="s">
        <v>2543</v>
      </c>
      <c r="K190" s="58" t="s">
        <v>2543</v>
      </c>
      <c r="L190" s="57" t="s">
        <v>2543</v>
      </c>
      <c r="M190" s="57" t="s">
        <v>2486</v>
      </c>
      <c r="N190" s="58" t="s">
        <v>2486</v>
      </c>
      <c r="O190" s="58" t="s">
        <v>2543</v>
      </c>
      <c r="P190" s="58" t="s">
        <v>2543</v>
      </c>
      <c r="Q190" s="58" t="s">
        <v>2543</v>
      </c>
      <c r="R190" s="57" t="s">
        <v>2543</v>
      </c>
      <c r="S190" s="57" t="s">
        <v>2543</v>
      </c>
      <c r="T190" s="57" t="s">
        <v>2486</v>
      </c>
      <c r="U190" s="57" t="s">
        <v>2486</v>
      </c>
      <c r="V190" s="57" t="s">
        <v>141</v>
      </c>
      <c r="W190" s="57" t="s">
        <v>141</v>
      </c>
      <c r="X190" s="57" t="s">
        <v>141</v>
      </c>
      <c r="Y190" s="57" t="s">
        <v>141</v>
      </c>
      <c r="Z190" s="57" t="s">
        <v>141</v>
      </c>
      <c r="AA190" s="57" t="s">
        <v>141</v>
      </c>
      <c r="AB190" s="57" t="s">
        <v>2486</v>
      </c>
      <c r="AC190" s="57" t="s">
        <v>2543</v>
      </c>
      <c r="AD190" s="57" t="s">
        <v>2570</v>
      </c>
      <c r="AE190" s="57" t="s">
        <v>2570</v>
      </c>
      <c r="AF190" s="57" t="s">
        <v>2486</v>
      </c>
      <c r="AG190" s="57" t="s">
        <v>2486</v>
      </c>
      <c r="AH190" s="57" t="s">
        <v>2486</v>
      </c>
      <c r="AI190" s="57" t="s">
        <v>2567</v>
      </c>
      <c r="AJ190" s="59" t="s">
        <v>2567</v>
      </c>
      <c r="AK190" s="60" t="s">
        <v>54</v>
      </c>
      <c r="AL190" s="56" t="s">
        <v>55</v>
      </c>
      <c r="AM190" s="56"/>
      <c r="AN190" s="56"/>
      <c r="AO190" s="56"/>
      <c r="AP190" s="7">
        <f>VLOOKUP(B:B,Table3[#All],4,0)</f>
        <v>15000</v>
      </c>
      <c r="AQ190" s="7">
        <f>calcShift1(Таблица1[[#This Row],[Столбец5]:[Столбец36]])</f>
        <v>157.99999999999997</v>
      </c>
      <c r="AR190" s="7">
        <f>calcShift2(Таблица1[[#This Row],[Столбец5]:[Столбец36]])</f>
        <v>0</v>
      </c>
      <c r="AS190" s="7">
        <f>calcShift3(Таблица1[[#This Row],[Столбец5]:[Столбец36]])</f>
        <v>0</v>
      </c>
      <c r="AT190" s="56"/>
      <c r="AU190" s="7">
        <f>calcYavka(Таблица1[[#This Row],[Столбец5]:[Столбец36]])</f>
        <v>20</v>
      </c>
      <c r="AV190" s="61"/>
      <c r="AW190" s="18">
        <f>VLOOKUP(B:B,ДОП_ВСІ!B:AS,44,0)</f>
        <v>1312.5</v>
      </c>
      <c r="AX190" s="7">
        <f>VLOOKUP(B:B,ДОП_ВСІ!B:AQ,42,0)</f>
        <v>0</v>
      </c>
      <c r="AY190" s="7"/>
      <c r="AZ190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90" s="56"/>
      <c r="BB190" s="47">
        <f>calcTS(Таблица1[[#This Row],[Столбец5]:[Столбец36]])</f>
        <v>0</v>
      </c>
    </row>
    <row r="191" spans="1:54" ht="42" x14ac:dyDescent="0.35">
      <c r="A191" s="46" t="s">
        <v>259</v>
      </c>
      <c r="B191" s="47" t="s">
        <v>260</v>
      </c>
      <c r="C191" s="48" t="s">
        <v>261</v>
      </c>
      <c r="D191" s="20" t="s">
        <v>2564</v>
      </c>
      <c r="E191" s="49" t="s">
        <v>2543</v>
      </c>
      <c r="F191" s="48" t="s">
        <v>2486</v>
      </c>
      <c r="G191" s="48" t="s">
        <v>2486</v>
      </c>
      <c r="H191" s="48" t="s">
        <v>2543</v>
      </c>
      <c r="I191" s="48" t="s">
        <v>2543</v>
      </c>
      <c r="J191" s="48" t="s">
        <v>2543</v>
      </c>
      <c r="K191" s="49" t="s">
        <v>2543</v>
      </c>
      <c r="L191" s="48" t="s">
        <v>2543</v>
      </c>
      <c r="M191" s="48" t="s">
        <v>2486</v>
      </c>
      <c r="N191" s="49" t="s">
        <v>2486</v>
      </c>
      <c r="O191" s="49" t="s">
        <v>2543</v>
      </c>
      <c r="P191" s="49" t="s">
        <v>2543</v>
      </c>
      <c r="Q191" s="49" t="s">
        <v>2543</v>
      </c>
      <c r="R191" s="48" t="s">
        <v>2543</v>
      </c>
      <c r="S191" s="48" t="s">
        <v>2543</v>
      </c>
      <c r="T191" s="48" t="s">
        <v>2486</v>
      </c>
      <c r="U191" s="48" t="s">
        <v>2486</v>
      </c>
      <c r="V191" s="48" t="s">
        <v>141</v>
      </c>
      <c r="W191" s="48" t="s">
        <v>141</v>
      </c>
      <c r="X191" s="48" t="s">
        <v>141</v>
      </c>
      <c r="Y191" s="48" t="s">
        <v>141</v>
      </c>
      <c r="Z191" s="48" t="s">
        <v>141</v>
      </c>
      <c r="AA191" s="48" t="s">
        <v>141</v>
      </c>
      <c r="AB191" s="48" t="s">
        <v>2486</v>
      </c>
      <c r="AC191" s="48" t="s">
        <v>2543</v>
      </c>
      <c r="AD191" s="48" t="s">
        <v>2543</v>
      </c>
      <c r="AE191" s="48" t="s">
        <v>2570</v>
      </c>
      <c r="AF191" s="48" t="s">
        <v>2486</v>
      </c>
      <c r="AG191" s="48" t="s">
        <v>2486</v>
      </c>
      <c r="AH191" s="48" t="s">
        <v>2486</v>
      </c>
      <c r="AI191" s="48" t="s">
        <v>2567</v>
      </c>
      <c r="AJ191" s="50" t="s">
        <v>2567</v>
      </c>
      <c r="AK191" s="51" t="s">
        <v>54</v>
      </c>
      <c r="AL191" s="47" t="s">
        <v>55</v>
      </c>
      <c r="AM191" s="47"/>
      <c r="AN191" s="47"/>
      <c r="AO191" s="47"/>
      <c r="AP191" s="7">
        <f>VLOOKUP(B:B,Table3[#All],4,0)</f>
        <v>9000</v>
      </c>
      <c r="AQ191" s="7">
        <f>calcShift1(Таблица1[[#This Row],[Столбец5]:[Столбец36]])</f>
        <v>158.99999999999994</v>
      </c>
      <c r="AR191" s="7">
        <f>calcShift2(Таблица1[[#This Row],[Столбец5]:[Столбец36]])</f>
        <v>0</v>
      </c>
      <c r="AS191" s="7">
        <f>calcShift3(Таблица1[[#This Row],[Столбец5]:[Столбец36]])</f>
        <v>0</v>
      </c>
      <c r="AT191" s="47"/>
      <c r="AU191" s="7">
        <f>calcYavka(Таблица1[[#This Row],[Столбец5]:[Столбец36]])</f>
        <v>20</v>
      </c>
      <c r="AV191" s="52"/>
      <c r="AW191" s="18">
        <f>VLOOKUP(B:B,ДОП_ВСІ!B:AS,44,0)</f>
        <v>3487.5</v>
      </c>
      <c r="AX191" s="7">
        <f>VLOOKUP(B:B,ДОП_ВСІ!B:AQ,42,0)</f>
        <v>0</v>
      </c>
      <c r="AY191" s="7"/>
      <c r="AZ191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91" s="47"/>
      <c r="BB191" s="47">
        <f>calcTS(Таблица1[[#This Row],[Столбец5]:[Столбец36]])</f>
        <v>0</v>
      </c>
    </row>
    <row r="192" spans="1:54" ht="42" x14ac:dyDescent="0.35">
      <c r="A192" s="46" t="s">
        <v>262</v>
      </c>
      <c r="B192" s="47" t="s">
        <v>263</v>
      </c>
      <c r="C192" s="48" t="s">
        <v>264</v>
      </c>
      <c r="D192" s="20" t="s">
        <v>2564</v>
      </c>
      <c r="E192" s="49" t="s">
        <v>2543</v>
      </c>
      <c r="F192" s="48" t="s">
        <v>2486</v>
      </c>
      <c r="G192" s="48" t="s">
        <v>2486</v>
      </c>
      <c r="H192" s="48" t="s">
        <v>2543</v>
      </c>
      <c r="I192" s="48" t="s">
        <v>2543</v>
      </c>
      <c r="J192" s="48" t="s">
        <v>2543</v>
      </c>
      <c r="K192" s="49" t="s">
        <v>2543</v>
      </c>
      <c r="L192" s="48" t="s">
        <v>2543</v>
      </c>
      <c r="M192" s="48" t="s">
        <v>2486</v>
      </c>
      <c r="N192" s="49" t="s">
        <v>2486</v>
      </c>
      <c r="O192" s="49" t="s">
        <v>2594</v>
      </c>
      <c r="P192" s="49" t="s">
        <v>2594</v>
      </c>
      <c r="Q192" s="49" t="s">
        <v>2543</v>
      </c>
      <c r="R192" s="48" t="s">
        <v>2543</v>
      </c>
      <c r="S192" s="48" t="s">
        <v>2543</v>
      </c>
      <c r="T192" s="48" t="s">
        <v>2486</v>
      </c>
      <c r="U192" s="48" t="s">
        <v>2486</v>
      </c>
      <c r="V192" s="48" t="s">
        <v>141</v>
      </c>
      <c r="W192" s="48" t="s">
        <v>141</v>
      </c>
      <c r="X192" s="48" t="s">
        <v>141</v>
      </c>
      <c r="Y192" s="48" t="s">
        <v>141</v>
      </c>
      <c r="Z192" s="48" t="s">
        <v>141</v>
      </c>
      <c r="AA192" s="48" t="s">
        <v>141</v>
      </c>
      <c r="AB192" s="48" t="s">
        <v>2486</v>
      </c>
      <c r="AC192" s="48" t="s">
        <v>2543</v>
      </c>
      <c r="AD192" s="48" t="s">
        <v>2543</v>
      </c>
      <c r="AE192" s="48" t="s">
        <v>2570</v>
      </c>
      <c r="AF192" s="48" t="s">
        <v>2486</v>
      </c>
      <c r="AG192" s="48" t="s">
        <v>2486</v>
      </c>
      <c r="AH192" s="48" t="s">
        <v>2486</v>
      </c>
      <c r="AI192" s="48" t="s">
        <v>2571</v>
      </c>
      <c r="AJ192" s="50" t="s">
        <v>2567</v>
      </c>
      <c r="AK192" s="51" t="s">
        <v>72</v>
      </c>
      <c r="AL192" s="47" t="s">
        <v>71</v>
      </c>
      <c r="AM192" s="47"/>
      <c r="AN192" s="47"/>
      <c r="AO192" s="47"/>
      <c r="AP192" s="7">
        <f>VLOOKUP(B:B,Table3[#All],4,0)</f>
        <v>13000</v>
      </c>
      <c r="AQ192" s="7">
        <f>calcShift1(Таблица1[[#This Row],[Столбец5]:[Столбец36]])</f>
        <v>150.99999999999997</v>
      </c>
      <c r="AR192" s="7">
        <f>calcShift2(Таблица1[[#This Row],[Столбец5]:[Столбец36]])</f>
        <v>0</v>
      </c>
      <c r="AS192" s="7">
        <f>calcShift3(Таблица1[[#This Row],[Столбец5]:[Столбец36]])</f>
        <v>0</v>
      </c>
      <c r="AT192" s="47"/>
      <c r="AU192" s="7">
        <f>calcYavka(Таблица1[[#This Row],[Столбец5]:[Столбец36]])</f>
        <v>20</v>
      </c>
      <c r="AV192" s="52"/>
      <c r="AW192" s="18">
        <f>VLOOKUP(B:B,ДОП_ВСІ!B:AS,44,0)</f>
        <v>975</v>
      </c>
      <c r="AX192" s="7">
        <f>VLOOKUP(B:B,ДОП_ВСІ!B:AQ,42,0)</f>
        <v>0</v>
      </c>
      <c r="AY192" s="7"/>
      <c r="AZ192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92" s="47"/>
      <c r="BB192" s="47">
        <f>calcTS(Таблица1[[#This Row],[Столбец5]:[Столбец36]])</f>
        <v>0</v>
      </c>
    </row>
    <row r="193" spans="1:54" ht="42" x14ac:dyDescent="0.35">
      <c r="A193" s="46" t="s">
        <v>265</v>
      </c>
      <c r="B193" s="47" t="s">
        <v>266</v>
      </c>
      <c r="C193" s="48" t="s">
        <v>267</v>
      </c>
      <c r="D193" s="20" t="s">
        <v>2564</v>
      </c>
      <c r="E193" s="49" t="s">
        <v>2543</v>
      </c>
      <c r="F193" s="48" t="s">
        <v>2486</v>
      </c>
      <c r="G193" s="48" t="s">
        <v>2486</v>
      </c>
      <c r="H193" s="48" t="s">
        <v>2594</v>
      </c>
      <c r="I193" s="48" t="s">
        <v>2543</v>
      </c>
      <c r="J193" s="48" t="s">
        <v>2565</v>
      </c>
      <c r="K193" s="49" t="s">
        <v>2565</v>
      </c>
      <c r="L193" s="48" t="s">
        <v>2543</v>
      </c>
      <c r="M193" s="48" t="s">
        <v>2486</v>
      </c>
      <c r="N193" s="49" t="s">
        <v>2486</v>
      </c>
      <c r="O193" s="49" t="s">
        <v>2543</v>
      </c>
      <c r="P193" s="49" t="s">
        <v>2543</v>
      </c>
      <c r="Q193" s="49" t="s">
        <v>2543</v>
      </c>
      <c r="R193" s="48" t="s">
        <v>2543</v>
      </c>
      <c r="S193" s="48" t="s">
        <v>2565</v>
      </c>
      <c r="T193" s="48" t="s">
        <v>2486</v>
      </c>
      <c r="U193" s="48" t="s">
        <v>2486</v>
      </c>
      <c r="V193" s="48" t="s">
        <v>2565</v>
      </c>
      <c r="W193" s="48" t="s">
        <v>2543</v>
      </c>
      <c r="X193" s="48" t="s">
        <v>2565</v>
      </c>
      <c r="Y193" s="48" t="s">
        <v>2543</v>
      </c>
      <c r="Z193" s="48" t="s">
        <v>2565</v>
      </c>
      <c r="AA193" s="48" t="s">
        <v>141</v>
      </c>
      <c r="AB193" s="48" t="s">
        <v>2486</v>
      </c>
      <c r="AC193" s="48" t="s">
        <v>2543</v>
      </c>
      <c r="AD193" s="48" t="s">
        <v>2543</v>
      </c>
      <c r="AE193" s="48" t="s">
        <v>2570</v>
      </c>
      <c r="AF193" s="48" t="s">
        <v>2486</v>
      </c>
      <c r="AG193" s="48" t="s">
        <v>2486</v>
      </c>
      <c r="AH193" s="48" t="s">
        <v>2486</v>
      </c>
      <c r="AI193" s="48" t="s">
        <v>2636</v>
      </c>
      <c r="AJ193" s="50" t="s">
        <v>2567</v>
      </c>
      <c r="AK193" s="51" t="s">
        <v>54</v>
      </c>
      <c r="AL193" s="47" t="s">
        <v>55</v>
      </c>
      <c r="AM193" s="47"/>
      <c r="AN193" s="47"/>
      <c r="AO193" s="47"/>
      <c r="AP193" s="7">
        <f>VLOOKUP(B:B,Table3[#All],4,0)</f>
        <v>8000</v>
      </c>
      <c r="AQ193" s="7">
        <f>calcShift1(Таблица1[[#This Row],[Столбец5]:[Столбец36]])</f>
        <v>143</v>
      </c>
      <c r="AR193" s="7">
        <f>calcShift2(Таблица1[[#This Row],[Столбец5]:[Столбец36]])</f>
        <v>0</v>
      </c>
      <c r="AS193" s="7">
        <f>calcShift3(Таблица1[[#This Row],[Столбец5]:[Столбец36]])</f>
        <v>0</v>
      </c>
      <c r="AT193" s="47"/>
      <c r="AU193" s="7">
        <f>calcYavka(Таблица1[[#This Row],[Столбец5]:[Столбец36]])</f>
        <v>20</v>
      </c>
      <c r="AV193" s="52"/>
      <c r="AW193" s="18">
        <f>VLOOKUP(B:B,ДОП_ВСІ!B:AS,44,0)</f>
        <v>2000</v>
      </c>
      <c r="AX193" s="7">
        <f>VLOOKUP(B:B,ДОП_ВСІ!B:AQ,42,0)</f>
        <v>0</v>
      </c>
      <c r="AY193" s="7"/>
      <c r="AZ193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93" s="47"/>
      <c r="BB193" s="47">
        <f>calcTS(Таблица1[[#This Row],[Столбец5]:[Столбец36]])</f>
        <v>0</v>
      </c>
    </row>
    <row r="194" spans="1:54" ht="42" x14ac:dyDescent="0.35">
      <c r="A194" s="46" t="s">
        <v>268</v>
      </c>
      <c r="B194" s="47" t="s">
        <v>269</v>
      </c>
      <c r="C194" s="48" t="s">
        <v>270</v>
      </c>
      <c r="D194" s="20" t="s">
        <v>2564</v>
      </c>
      <c r="E194" s="49" t="s">
        <v>2543</v>
      </c>
      <c r="F194" s="48" t="s">
        <v>2486</v>
      </c>
      <c r="G194" s="48" t="s">
        <v>2486</v>
      </c>
      <c r="H194" s="48" t="s">
        <v>2543</v>
      </c>
      <c r="I194" s="48" t="s">
        <v>2543</v>
      </c>
      <c r="J194" s="48" t="s">
        <v>2543</v>
      </c>
      <c r="K194" s="49" t="s">
        <v>2543</v>
      </c>
      <c r="L194" s="48" t="s">
        <v>2543</v>
      </c>
      <c r="M194" s="48" t="s">
        <v>2486</v>
      </c>
      <c r="N194" s="49" t="s">
        <v>2486</v>
      </c>
      <c r="O194" s="49" t="s">
        <v>2543</v>
      </c>
      <c r="P194" s="49" t="s">
        <v>2543</v>
      </c>
      <c r="Q194" s="49" t="s">
        <v>2543</v>
      </c>
      <c r="R194" s="48" t="s">
        <v>2543</v>
      </c>
      <c r="S194" s="48" t="s">
        <v>2543</v>
      </c>
      <c r="T194" s="48" t="s">
        <v>2486</v>
      </c>
      <c r="U194" s="48" t="s">
        <v>2486</v>
      </c>
      <c r="V194" s="48" t="s">
        <v>2543</v>
      </c>
      <c r="W194" s="48" t="s">
        <v>2543</v>
      </c>
      <c r="X194" s="48" t="s">
        <v>2543</v>
      </c>
      <c r="Y194" s="48" t="s">
        <v>2543</v>
      </c>
      <c r="Z194" s="48" t="s">
        <v>2543</v>
      </c>
      <c r="AA194" s="48" t="s">
        <v>2543</v>
      </c>
      <c r="AB194" s="48" t="s">
        <v>2486</v>
      </c>
      <c r="AC194" s="48" t="s">
        <v>2543</v>
      </c>
      <c r="AD194" s="48" t="s">
        <v>2543</v>
      </c>
      <c r="AE194" s="48" t="s">
        <v>2570</v>
      </c>
      <c r="AF194" s="48" t="s">
        <v>2486</v>
      </c>
      <c r="AG194" s="48" t="s">
        <v>2486</v>
      </c>
      <c r="AH194" s="48" t="s">
        <v>2486</v>
      </c>
      <c r="AI194" s="48" t="s">
        <v>2567</v>
      </c>
      <c r="AJ194" s="50" t="s">
        <v>2567</v>
      </c>
      <c r="AK194" s="51" t="s">
        <v>54</v>
      </c>
      <c r="AL194" s="47" t="s">
        <v>55</v>
      </c>
      <c r="AM194" s="47"/>
      <c r="AN194" s="47"/>
      <c r="AO194" s="47"/>
      <c r="AP194" s="7">
        <f>VLOOKUP(B:B,Table3[#All],4,0)</f>
        <v>6500</v>
      </c>
      <c r="AQ194" s="7">
        <f>calcShift1(Таблица1[[#This Row],[Столбец5]:[Столбец36]])</f>
        <v>158.99999999999994</v>
      </c>
      <c r="AR194" s="7">
        <f>calcShift2(Таблица1[[#This Row],[Столбец5]:[Столбец36]])</f>
        <v>0</v>
      </c>
      <c r="AS194" s="7">
        <f>calcShift3(Таблица1[[#This Row],[Столбец5]:[Столбец36]])</f>
        <v>0</v>
      </c>
      <c r="AT194" s="47"/>
      <c r="AU194" s="7">
        <f>calcYavka(Таблица1[[#This Row],[Столбец5]:[Столбец36]])</f>
        <v>20</v>
      </c>
      <c r="AV194" s="52"/>
      <c r="AW194" s="18">
        <f>VLOOKUP(B:B,ДОП_ВСІ!B:AS,44,0)</f>
        <v>0</v>
      </c>
      <c r="AX194" s="7">
        <f>VLOOKUP(B:B,ДОП_ВСІ!B:AQ,42,0)</f>
        <v>0</v>
      </c>
      <c r="AY194" s="7"/>
      <c r="AZ194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94" s="47"/>
      <c r="BB194" s="47">
        <f>calcTS(Таблица1[[#This Row],[Столбец5]:[Столбец36]])</f>
        <v>0</v>
      </c>
    </row>
    <row r="195" spans="1:54" ht="42" x14ac:dyDescent="0.35">
      <c r="A195" s="46" t="s">
        <v>271</v>
      </c>
      <c r="B195" s="47" t="s">
        <v>272</v>
      </c>
      <c r="C195" s="48" t="s">
        <v>270</v>
      </c>
      <c r="D195" s="20" t="s">
        <v>2564</v>
      </c>
      <c r="E195" s="49" t="s">
        <v>2543</v>
      </c>
      <c r="F195" s="48" t="s">
        <v>2486</v>
      </c>
      <c r="G195" s="48" t="s">
        <v>2486</v>
      </c>
      <c r="H195" s="48" t="s">
        <v>2543</v>
      </c>
      <c r="I195" s="48" t="s">
        <v>2543</v>
      </c>
      <c r="J195" s="48" t="s">
        <v>2543</v>
      </c>
      <c r="K195" s="49" t="s">
        <v>2543</v>
      </c>
      <c r="L195" s="48" t="s">
        <v>2543</v>
      </c>
      <c r="M195" s="48" t="s">
        <v>2486</v>
      </c>
      <c r="N195" s="49" t="s">
        <v>2486</v>
      </c>
      <c r="O195" s="49" t="s">
        <v>2543</v>
      </c>
      <c r="P195" s="49" t="s">
        <v>2543</v>
      </c>
      <c r="Q195" s="49" t="s">
        <v>2543</v>
      </c>
      <c r="R195" s="48" t="s">
        <v>2543</v>
      </c>
      <c r="S195" s="48" t="s">
        <v>2543</v>
      </c>
      <c r="T195" s="48" t="s">
        <v>2486</v>
      </c>
      <c r="U195" s="48" t="s">
        <v>2486</v>
      </c>
      <c r="V195" s="48" t="s">
        <v>2543</v>
      </c>
      <c r="W195" s="48" t="s">
        <v>2543</v>
      </c>
      <c r="X195" s="48" t="s">
        <v>2543</v>
      </c>
      <c r="Y195" s="48" t="s">
        <v>2543</v>
      </c>
      <c r="Z195" s="48" t="s">
        <v>2543</v>
      </c>
      <c r="AA195" s="48" t="s">
        <v>2543</v>
      </c>
      <c r="AB195" s="48" t="s">
        <v>2486</v>
      </c>
      <c r="AC195" s="48" t="s">
        <v>2543</v>
      </c>
      <c r="AD195" s="48" t="s">
        <v>2543</v>
      </c>
      <c r="AE195" s="48" t="s">
        <v>2570</v>
      </c>
      <c r="AF195" s="48" t="s">
        <v>2486</v>
      </c>
      <c r="AG195" s="48" t="s">
        <v>2486</v>
      </c>
      <c r="AH195" s="48" t="s">
        <v>2486</v>
      </c>
      <c r="AI195" s="48" t="s">
        <v>2567</v>
      </c>
      <c r="AJ195" s="50" t="s">
        <v>2567</v>
      </c>
      <c r="AK195" s="51" t="s">
        <v>54</v>
      </c>
      <c r="AL195" s="47" t="s">
        <v>55</v>
      </c>
      <c r="AM195" s="47"/>
      <c r="AN195" s="47"/>
      <c r="AO195" s="47"/>
      <c r="AP195" s="7">
        <f>VLOOKUP(B:B,Table3[#All],4,0)</f>
        <v>6500</v>
      </c>
      <c r="AQ195" s="7">
        <f>calcShift1(Таблица1[[#This Row],[Столбец5]:[Столбец36]])</f>
        <v>158.99999999999994</v>
      </c>
      <c r="AR195" s="7">
        <f>calcShift2(Таблица1[[#This Row],[Столбец5]:[Столбец36]])</f>
        <v>0</v>
      </c>
      <c r="AS195" s="7">
        <f>calcShift3(Таблица1[[#This Row],[Столбец5]:[Столбец36]])</f>
        <v>0</v>
      </c>
      <c r="AT195" s="47"/>
      <c r="AU195" s="7">
        <f>calcYavka(Таблица1[[#This Row],[Столбец5]:[Столбец36]])</f>
        <v>20</v>
      </c>
      <c r="AV195" s="52"/>
      <c r="AW195" s="18">
        <f>VLOOKUP(B:B,ДОП_ВСІ!B:AS,44,0)</f>
        <v>812.5</v>
      </c>
      <c r="AX195" s="7">
        <f>VLOOKUP(B:B,ДОП_ВСІ!B:AQ,42,0)</f>
        <v>0</v>
      </c>
      <c r="AY195" s="7"/>
      <c r="AZ195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95" s="47"/>
      <c r="BB195" s="47">
        <f>calcTS(Таблица1[[#This Row],[Столбец5]:[Столбец36]])</f>
        <v>0</v>
      </c>
    </row>
    <row r="196" spans="1:54" x14ac:dyDescent="0.35">
      <c r="A196" s="46" t="s">
        <v>273</v>
      </c>
      <c r="B196" s="47" t="s">
        <v>274</v>
      </c>
      <c r="C196" s="48" t="s">
        <v>252</v>
      </c>
      <c r="D196" s="20" t="s">
        <v>2564</v>
      </c>
      <c r="E196" s="49" t="s">
        <v>2486</v>
      </c>
      <c r="F196" s="48" t="s">
        <v>2486</v>
      </c>
      <c r="G196" s="48" t="s">
        <v>2486</v>
      </c>
      <c r="H196" s="48" t="s">
        <v>2486</v>
      </c>
      <c r="I196" s="48" t="s">
        <v>2486</v>
      </c>
      <c r="J196" s="48" t="s">
        <v>2486</v>
      </c>
      <c r="K196" s="49" t="s">
        <v>2486</v>
      </c>
      <c r="L196" s="48" t="s">
        <v>2486</v>
      </c>
      <c r="M196" s="48" t="s">
        <v>2486</v>
      </c>
      <c r="N196" s="49" t="s">
        <v>2486</v>
      </c>
      <c r="O196" s="49" t="s">
        <v>2486</v>
      </c>
      <c r="P196" s="49" t="s">
        <v>2486</v>
      </c>
      <c r="Q196" s="49" t="s">
        <v>2486</v>
      </c>
      <c r="R196" s="48" t="s">
        <v>2486</v>
      </c>
      <c r="S196" s="48" t="s">
        <v>2486</v>
      </c>
      <c r="T196" s="48" t="s">
        <v>2486</v>
      </c>
      <c r="U196" s="48" t="s">
        <v>2486</v>
      </c>
      <c r="V196" s="48" t="s">
        <v>2486</v>
      </c>
      <c r="W196" s="48" t="s">
        <v>141</v>
      </c>
      <c r="X196" s="48" t="s">
        <v>141</v>
      </c>
      <c r="Y196" s="48" t="s">
        <v>141</v>
      </c>
      <c r="Z196" s="48" t="s">
        <v>141</v>
      </c>
      <c r="AA196" s="48" t="s">
        <v>141</v>
      </c>
      <c r="AB196" s="48" t="s">
        <v>2486</v>
      </c>
      <c r="AC196" s="48" t="s">
        <v>2543</v>
      </c>
      <c r="AD196" s="48" t="s">
        <v>2543</v>
      </c>
      <c r="AE196" s="48" t="s">
        <v>2570</v>
      </c>
      <c r="AF196" s="48" t="s">
        <v>2486</v>
      </c>
      <c r="AG196" s="48" t="s">
        <v>2486</v>
      </c>
      <c r="AH196" s="48" t="s">
        <v>2486</v>
      </c>
      <c r="AI196" s="48" t="s">
        <v>2637</v>
      </c>
      <c r="AJ196" s="50" t="s">
        <v>2637</v>
      </c>
      <c r="AK196" s="51" t="s">
        <v>2573</v>
      </c>
      <c r="AL196" s="47" t="s">
        <v>87</v>
      </c>
      <c r="AM196" s="47"/>
      <c r="AN196" s="47"/>
      <c r="AO196" s="47"/>
      <c r="AP196" s="7">
        <f>VLOOKUP(B:B,Table3[#All],4,0)</f>
        <v>6500</v>
      </c>
      <c r="AQ196" s="7">
        <f>calcShift1(Таблица1[[#This Row],[Столбец5]:[Столбец36]])</f>
        <v>62.999999999999986</v>
      </c>
      <c r="AR196" s="7">
        <f>calcShift2(Таблица1[[#This Row],[Столбец5]:[Столбец36]])</f>
        <v>0</v>
      </c>
      <c r="AS196" s="7">
        <f>calcShift3(Таблица1[[#This Row],[Столбец5]:[Столбец36]])</f>
        <v>0</v>
      </c>
      <c r="AT196" s="47"/>
      <c r="AU196" s="7">
        <f>calcYavka(Таблица1[[#This Row],[Столбец5]:[Столбец36]])</f>
        <v>8</v>
      </c>
      <c r="AV196" s="52"/>
      <c r="AW196" s="18">
        <f>VLOOKUP(B:B,ДОП_ВСІ!B:AS,44,0)</f>
        <v>0</v>
      </c>
      <c r="AX196" s="7">
        <f>VLOOKUP(B:B,ДОП_ВСІ!B:AQ,42,0)</f>
        <v>0</v>
      </c>
      <c r="AY196" s="7"/>
      <c r="AZ196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96" s="47"/>
      <c r="BB196" s="47">
        <f>calcTS(Таблица1[[#This Row],[Столбец5]:[Столбец36]])</f>
        <v>0</v>
      </c>
    </row>
    <row r="197" spans="1:54" ht="42" x14ac:dyDescent="0.35">
      <c r="A197" s="46" t="s">
        <v>275</v>
      </c>
      <c r="B197" s="47" t="s">
        <v>276</v>
      </c>
      <c r="C197" s="48" t="s">
        <v>252</v>
      </c>
      <c r="D197" s="20" t="s">
        <v>2564</v>
      </c>
      <c r="E197" s="49" t="s">
        <v>2543</v>
      </c>
      <c r="F197" s="48" t="s">
        <v>2486</v>
      </c>
      <c r="G197" s="48" t="s">
        <v>2486</v>
      </c>
      <c r="H197" s="48" t="s">
        <v>2543</v>
      </c>
      <c r="I197" s="48" t="s">
        <v>2543</v>
      </c>
      <c r="J197" s="48" t="s">
        <v>2543</v>
      </c>
      <c r="K197" s="49" t="s">
        <v>2543</v>
      </c>
      <c r="L197" s="48" t="s">
        <v>2543</v>
      </c>
      <c r="M197" s="48" t="s">
        <v>2486</v>
      </c>
      <c r="N197" s="49" t="s">
        <v>2486</v>
      </c>
      <c r="O197" s="49" t="s">
        <v>2543</v>
      </c>
      <c r="P197" s="49" t="s">
        <v>2543</v>
      </c>
      <c r="Q197" s="49" t="s">
        <v>2543</v>
      </c>
      <c r="R197" s="48" t="s">
        <v>2543</v>
      </c>
      <c r="S197" s="48" t="s">
        <v>2543</v>
      </c>
      <c r="T197" s="48" t="s">
        <v>2486</v>
      </c>
      <c r="U197" s="48" t="s">
        <v>2486</v>
      </c>
      <c r="V197" s="48" t="s">
        <v>2543</v>
      </c>
      <c r="W197" s="48" t="s">
        <v>2543</v>
      </c>
      <c r="X197" s="48" t="s">
        <v>2543</v>
      </c>
      <c r="Y197" s="48" t="s">
        <v>2543</v>
      </c>
      <c r="Z197" s="48" t="s">
        <v>2543</v>
      </c>
      <c r="AA197" s="48" t="s">
        <v>2543</v>
      </c>
      <c r="AB197" s="48" t="s">
        <v>2486</v>
      </c>
      <c r="AC197" s="48" t="s">
        <v>2543</v>
      </c>
      <c r="AD197" s="48" t="s">
        <v>2543</v>
      </c>
      <c r="AE197" s="48" t="s">
        <v>2570</v>
      </c>
      <c r="AF197" s="48" t="s">
        <v>2486</v>
      </c>
      <c r="AG197" s="48" t="s">
        <v>2486</v>
      </c>
      <c r="AH197" s="48" t="s">
        <v>2486</v>
      </c>
      <c r="AI197" s="48" t="s">
        <v>2567</v>
      </c>
      <c r="AJ197" s="50" t="s">
        <v>2567</v>
      </c>
      <c r="AK197" s="51" t="s">
        <v>54</v>
      </c>
      <c r="AL197" s="47" t="s">
        <v>55</v>
      </c>
      <c r="AM197" s="47"/>
      <c r="AN197" s="47"/>
      <c r="AO197" s="47"/>
      <c r="AP197" s="7">
        <f>VLOOKUP(B:B,Table3[#All],4,0)</f>
        <v>6500</v>
      </c>
      <c r="AQ197" s="7">
        <f>calcShift1(Таблица1[[#This Row],[Столбец5]:[Столбец36]])</f>
        <v>158.99999999999994</v>
      </c>
      <c r="AR197" s="7">
        <f>calcShift2(Таблица1[[#This Row],[Столбец5]:[Столбец36]])</f>
        <v>0</v>
      </c>
      <c r="AS197" s="7">
        <f>calcShift3(Таблица1[[#This Row],[Столбец5]:[Столбец36]])</f>
        <v>0</v>
      </c>
      <c r="AT197" s="47"/>
      <c r="AU197" s="7">
        <f>calcYavka(Таблица1[[#This Row],[Столбец5]:[Столбец36]])</f>
        <v>20</v>
      </c>
      <c r="AV197" s="52"/>
      <c r="AW197" s="18">
        <f>VLOOKUP(B:B,ДОП_ВСІ!B:AS,44,0)</f>
        <v>1381.25</v>
      </c>
      <c r="AX197" s="7">
        <f>VLOOKUP(B:B,ДОП_ВСІ!B:AQ,42,0)</f>
        <v>0</v>
      </c>
      <c r="AY197" s="7"/>
      <c r="AZ197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97" s="47"/>
      <c r="BB197" s="47">
        <f>calcTS(Таблица1[[#This Row],[Столбец5]:[Столбец36]])</f>
        <v>0</v>
      </c>
    </row>
    <row r="198" spans="1:54" ht="42" x14ac:dyDescent="0.35">
      <c r="A198" s="46" t="s">
        <v>277</v>
      </c>
      <c r="B198" s="47" t="s">
        <v>278</v>
      </c>
      <c r="C198" s="48" t="s">
        <v>279</v>
      </c>
      <c r="D198" s="20" t="s">
        <v>2564</v>
      </c>
      <c r="E198" s="49" t="s">
        <v>2543</v>
      </c>
      <c r="F198" s="48" t="s">
        <v>2486</v>
      </c>
      <c r="G198" s="48" t="s">
        <v>2486</v>
      </c>
      <c r="H198" s="48" t="s">
        <v>2543</v>
      </c>
      <c r="I198" s="48" t="s">
        <v>2543</v>
      </c>
      <c r="J198" s="48" t="s">
        <v>2543</v>
      </c>
      <c r="K198" s="49" t="s">
        <v>2543</v>
      </c>
      <c r="L198" s="48" t="s">
        <v>2543</v>
      </c>
      <c r="M198" s="48" t="s">
        <v>2486</v>
      </c>
      <c r="N198" s="49" t="s">
        <v>2486</v>
      </c>
      <c r="O198" s="49" t="s">
        <v>2543</v>
      </c>
      <c r="P198" s="49" t="s">
        <v>2543</v>
      </c>
      <c r="Q198" s="49" t="s">
        <v>2543</v>
      </c>
      <c r="R198" s="48" t="s">
        <v>2543</v>
      </c>
      <c r="S198" s="48" t="s">
        <v>2543</v>
      </c>
      <c r="T198" s="48" t="s">
        <v>2486</v>
      </c>
      <c r="U198" s="48" t="s">
        <v>2486</v>
      </c>
      <c r="V198" s="48" t="s">
        <v>2543</v>
      </c>
      <c r="W198" s="48" t="s">
        <v>2543</v>
      </c>
      <c r="X198" s="48" t="s">
        <v>2543</v>
      </c>
      <c r="Y198" s="48" t="s">
        <v>2543</v>
      </c>
      <c r="Z198" s="48" t="s">
        <v>2543</v>
      </c>
      <c r="AA198" s="48" t="s">
        <v>2543</v>
      </c>
      <c r="AB198" s="48" t="s">
        <v>2486</v>
      </c>
      <c r="AC198" s="48" t="s">
        <v>2543</v>
      </c>
      <c r="AD198" s="48" t="s">
        <v>2543</v>
      </c>
      <c r="AE198" s="48" t="s">
        <v>2570</v>
      </c>
      <c r="AF198" s="48" t="s">
        <v>2486</v>
      </c>
      <c r="AG198" s="48" t="s">
        <v>2486</v>
      </c>
      <c r="AH198" s="48" t="s">
        <v>2486</v>
      </c>
      <c r="AI198" s="48" t="s">
        <v>2567</v>
      </c>
      <c r="AJ198" s="50" t="s">
        <v>2567</v>
      </c>
      <c r="AK198" s="51" t="s">
        <v>54</v>
      </c>
      <c r="AL198" s="47" t="s">
        <v>55</v>
      </c>
      <c r="AM198" s="47"/>
      <c r="AN198" s="47"/>
      <c r="AO198" s="47"/>
      <c r="AP198" s="7">
        <f>VLOOKUP(B:B,Table3[#All],4,0)</f>
        <v>6500</v>
      </c>
      <c r="AQ198" s="7">
        <f>calcShift1(Таблица1[[#This Row],[Столбец5]:[Столбец36]])</f>
        <v>158.99999999999994</v>
      </c>
      <c r="AR198" s="7">
        <f>calcShift2(Таблица1[[#This Row],[Столбец5]:[Столбец36]])</f>
        <v>0</v>
      </c>
      <c r="AS198" s="7">
        <f>calcShift3(Таблица1[[#This Row],[Столбец5]:[Столбец36]])</f>
        <v>0</v>
      </c>
      <c r="AT198" s="47"/>
      <c r="AU198" s="7">
        <f>calcYavka(Таблица1[[#This Row],[Столбец5]:[Столбец36]])</f>
        <v>20</v>
      </c>
      <c r="AV198" s="52"/>
      <c r="AW198" s="18">
        <f>VLOOKUP(B:B,ДОП_ВСІ!B:AS,44,0)</f>
        <v>1381.25</v>
      </c>
      <c r="AX198" s="7">
        <f>VLOOKUP(B:B,ДОП_ВСІ!B:AQ,42,0)</f>
        <v>0</v>
      </c>
      <c r="AY198" s="7">
        <f>Таблица1[[#This Row],[Столбец47]]*30</f>
        <v>600</v>
      </c>
      <c r="AZ198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98" s="47"/>
      <c r="BB198" s="47">
        <f>calcTS(Таблица1[[#This Row],[Столбец5]:[Столбец36]])</f>
        <v>0</v>
      </c>
    </row>
    <row r="199" spans="1:54" ht="42" x14ac:dyDescent="0.35">
      <c r="A199" s="46" t="s">
        <v>280</v>
      </c>
      <c r="B199" s="47" t="s">
        <v>281</v>
      </c>
      <c r="C199" s="48" t="s">
        <v>282</v>
      </c>
      <c r="D199" s="20" t="s">
        <v>2564</v>
      </c>
      <c r="E199" s="49" t="s">
        <v>2543</v>
      </c>
      <c r="F199" s="48" t="s">
        <v>2486</v>
      </c>
      <c r="G199" s="48" t="s">
        <v>2486</v>
      </c>
      <c r="H199" s="48" t="s">
        <v>2543</v>
      </c>
      <c r="I199" s="48" t="s">
        <v>2543</v>
      </c>
      <c r="J199" s="48" t="s">
        <v>2543</v>
      </c>
      <c r="K199" s="49" t="s">
        <v>2543</v>
      </c>
      <c r="L199" s="48" t="s">
        <v>2543</v>
      </c>
      <c r="M199" s="48" t="s">
        <v>2486</v>
      </c>
      <c r="N199" s="49" t="s">
        <v>2486</v>
      </c>
      <c r="O199" s="49" t="s">
        <v>2543</v>
      </c>
      <c r="P199" s="49" t="s">
        <v>2543</v>
      </c>
      <c r="Q199" s="49" t="s">
        <v>2543</v>
      </c>
      <c r="R199" s="48" t="s">
        <v>2543</v>
      </c>
      <c r="S199" s="48" t="s">
        <v>2543</v>
      </c>
      <c r="T199" s="48" t="s">
        <v>2486</v>
      </c>
      <c r="U199" s="48" t="s">
        <v>2486</v>
      </c>
      <c r="V199" s="48" t="s">
        <v>2543</v>
      </c>
      <c r="W199" s="48" t="s">
        <v>2543</v>
      </c>
      <c r="X199" s="48" t="s">
        <v>2543</v>
      </c>
      <c r="Y199" s="48" t="s">
        <v>2543</v>
      </c>
      <c r="Z199" s="48" t="s">
        <v>2543</v>
      </c>
      <c r="AA199" s="48" t="s">
        <v>2543</v>
      </c>
      <c r="AB199" s="48" t="s">
        <v>2486</v>
      </c>
      <c r="AC199" s="48" t="s">
        <v>2543</v>
      </c>
      <c r="AD199" s="48" t="s">
        <v>2543</v>
      </c>
      <c r="AE199" s="48" t="s">
        <v>2570</v>
      </c>
      <c r="AF199" s="48" t="s">
        <v>2486</v>
      </c>
      <c r="AG199" s="48" t="s">
        <v>2486</v>
      </c>
      <c r="AH199" s="48" t="s">
        <v>2486</v>
      </c>
      <c r="AI199" s="48" t="s">
        <v>2567</v>
      </c>
      <c r="AJ199" s="50" t="s">
        <v>2567</v>
      </c>
      <c r="AK199" s="51" t="s">
        <v>54</v>
      </c>
      <c r="AL199" s="47" t="s">
        <v>55</v>
      </c>
      <c r="AM199" s="47"/>
      <c r="AN199" s="47"/>
      <c r="AO199" s="47"/>
      <c r="AP199" s="7">
        <f>VLOOKUP(B:B,Table3[#All],4,0)</f>
        <v>7000</v>
      </c>
      <c r="AQ199" s="7">
        <f>calcShift1(Таблица1[[#This Row],[Столбец5]:[Столбец36]])</f>
        <v>158.99999999999994</v>
      </c>
      <c r="AR199" s="7">
        <f>calcShift2(Таблица1[[#This Row],[Столбец5]:[Столбец36]])</f>
        <v>0</v>
      </c>
      <c r="AS199" s="7">
        <f>calcShift3(Таблица1[[#This Row],[Столбец5]:[Столбец36]])</f>
        <v>0</v>
      </c>
      <c r="AT199" s="47"/>
      <c r="AU199" s="7">
        <f>calcYavka(Таблица1[[#This Row],[Столбец5]:[Столбец36]])</f>
        <v>20</v>
      </c>
      <c r="AV199" s="52"/>
      <c r="AW199" s="18">
        <f>VLOOKUP(B:B,ДОП_ВСІ!B:AS,44,0)</f>
        <v>0</v>
      </c>
      <c r="AX199" s="7">
        <f>VLOOKUP(B:B,ДОП_ВСІ!B:AQ,42,0)</f>
        <v>0</v>
      </c>
      <c r="AY199" s="7"/>
      <c r="AZ199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199" s="47"/>
      <c r="BB199" s="47">
        <f>calcTS(Таблица1[[#This Row],[Столбец5]:[Столбец36]])</f>
        <v>0</v>
      </c>
    </row>
    <row r="200" spans="1:54" ht="42" x14ac:dyDescent="0.35">
      <c r="A200" s="46" t="s">
        <v>283</v>
      </c>
      <c r="B200" s="47" t="s">
        <v>284</v>
      </c>
      <c r="C200" s="48" t="s">
        <v>261</v>
      </c>
      <c r="D200" s="20" t="s">
        <v>2564</v>
      </c>
      <c r="E200" s="49" t="s">
        <v>2543</v>
      </c>
      <c r="F200" s="48" t="s">
        <v>2486</v>
      </c>
      <c r="G200" s="48" t="s">
        <v>2486</v>
      </c>
      <c r="H200" s="48" t="s">
        <v>2543</v>
      </c>
      <c r="I200" s="48" t="s">
        <v>2543</v>
      </c>
      <c r="J200" s="48" t="s">
        <v>2543</v>
      </c>
      <c r="K200" s="49" t="s">
        <v>2543</v>
      </c>
      <c r="L200" s="48" t="s">
        <v>2543</v>
      </c>
      <c r="M200" s="48" t="s">
        <v>2486</v>
      </c>
      <c r="N200" s="49" t="s">
        <v>2486</v>
      </c>
      <c r="O200" s="49" t="s">
        <v>2543</v>
      </c>
      <c r="P200" s="49" t="s">
        <v>2543</v>
      </c>
      <c r="Q200" s="49" t="s">
        <v>2543</v>
      </c>
      <c r="R200" s="48" t="s">
        <v>2543</v>
      </c>
      <c r="S200" s="48" t="s">
        <v>2543</v>
      </c>
      <c r="T200" s="48" t="s">
        <v>2486</v>
      </c>
      <c r="U200" s="48" t="s">
        <v>2486</v>
      </c>
      <c r="V200" s="48" t="s">
        <v>2543</v>
      </c>
      <c r="W200" s="48" t="s">
        <v>2543</v>
      </c>
      <c r="X200" s="48" t="s">
        <v>2543</v>
      </c>
      <c r="Y200" s="48" t="s">
        <v>2543</v>
      </c>
      <c r="Z200" s="48" t="s">
        <v>2543</v>
      </c>
      <c r="AA200" s="48" t="s">
        <v>2543</v>
      </c>
      <c r="AB200" s="48" t="s">
        <v>2486</v>
      </c>
      <c r="AC200" s="48" t="s">
        <v>2543</v>
      </c>
      <c r="AD200" s="48" t="s">
        <v>2543</v>
      </c>
      <c r="AE200" s="48" t="s">
        <v>2570</v>
      </c>
      <c r="AF200" s="48" t="s">
        <v>2486</v>
      </c>
      <c r="AG200" s="48" t="s">
        <v>2486</v>
      </c>
      <c r="AH200" s="48" t="s">
        <v>2486</v>
      </c>
      <c r="AI200" s="48" t="s">
        <v>2567</v>
      </c>
      <c r="AJ200" s="50" t="s">
        <v>2567</v>
      </c>
      <c r="AK200" s="51" t="s">
        <v>54</v>
      </c>
      <c r="AL200" s="47" t="s">
        <v>55</v>
      </c>
      <c r="AM200" s="47"/>
      <c r="AN200" s="47"/>
      <c r="AO200" s="47"/>
      <c r="AP200" s="7">
        <f>VLOOKUP(B:B,Table3[#All],4,0)</f>
        <v>9000</v>
      </c>
      <c r="AQ200" s="7">
        <f>calcShift1(Таблица1[[#This Row],[Столбец5]:[Столбец36]])</f>
        <v>158.99999999999994</v>
      </c>
      <c r="AR200" s="7">
        <f>calcShift2(Таблица1[[#This Row],[Столбец5]:[Столбец36]])</f>
        <v>0</v>
      </c>
      <c r="AS200" s="7">
        <f>calcShift3(Таблица1[[#This Row],[Столбец5]:[Столбец36]])</f>
        <v>0</v>
      </c>
      <c r="AT200" s="47"/>
      <c r="AU200" s="7">
        <f>calcYavka(Таблица1[[#This Row],[Столбец5]:[Столбец36]])</f>
        <v>20</v>
      </c>
      <c r="AV200" s="52"/>
      <c r="AW200" s="18">
        <f>VLOOKUP(B:B,ДОП_ВСІ!B:AS,44,0)</f>
        <v>2025</v>
      </c>
      <c r="AX200" s="7">
        <f>VLOOKUP(B:B,ДОП_ВСІ!B:AQ,42,0)</f>
        <v>1063.125</v>
      </c>
      <c r="AY200" s="7"/>
      <c r="AZ200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200" s="47"/>
      <c r="BB200" s="47">
        <f>calcTS(Таблица1[[#This Row],[Столбец5]:[Столбец36]])</f>
        <v>0</v>
      </c>
    </row>
    <row r="201" spans="1:54" ht="42" x14ac:dyDescent="0.35">
      <c r="A201" s="46" t="s">
        <v>286</v>
      </c>
      <c r="B201" s="47" t="s">
        <v>287</v>
      </c>
      <c r="C201" s="48" t="s">
        <v>288</v>
      </c>
      <c r="D201" s="20" t="s">
        <v>2564</v>
      </c>
      <c r="E201" s="49" t="s">
        <v>2543</v>
      </c>
      <c r="F201" s="48" t="s">
        <v>2486</v>
      </c>
      <c r="G201" s="48" t="s">
        <v>2486</v>
      </c>
      <c r="H201" s="48" t="s">
        <v>2543</v>
      </c>
      <c r="I201" s="48" t="s">
        <v>2543</v>
      </c>
      <c r="J201" s="48" t="s">
        <v>2543</v>
      </c>
      <c r="K201" s="49" t="s">
        <v>2543</v>
      </c>
      <c r="L201" s="48" t="s">
        <v>2543</v>
      </c>
      <c r="M201" s="48" t="s">
        <v>2486</v>
      </c>
      <c r="N201" s="49" t="s">
        <v>2486</v>
      </c>
      <c r="O201" s="49" t="s">
        <v>2543</v>
      </c>
      <c r="P201" s="49" t="s">
        <v>2543</v>
      </c>
      <c r="Q201" s="49" t="s">
        <v>2543</v>
      </c>
      <c r="R201" s="48" t="s">
        <v>2543</v>
      </c>
      <c r="S201" s="48" t="s">
        <v>2543</v>
      </c>
      <c r="T201" s="48" t="s">
        <v>2486</v>
      </c>
      <c r="U201" s="48" t="s">
        <v>2486</v>
      </c>
      <c r="V201" s="48" t="s">
        <v>2501</v>
      </c>
      <c r="W201" s="48" t="s">
        <v>2501</v>
      </c>
      <c r="X201" s="48" t="s">
        <v>2501</v>
      </c>
      <c r="Y201" s="48" t="s">
        <v>2501</v>
      </c>
      <c r="Z201" s="48" t="s">
        <v>2501</v>
      </c>
      <c r="AA201" s="48" t="s">
        <v>2501</v>
      </c>
      <c r="AB201" s="48" t="s">
        <v>2501</v>
      </c>
      <c r="AC201" s="48" t="s">
        <v>2501</v>
      </c>
      <c r="AD201" s="48" t="s">
        <v>2501</v>
      </c>
      <c r="AE201" s="48" t="s">
        <v>2501</v>
      </c>
      <c r="AF201" s="48" t="s">
        <v>2486</v>
      </c>
      <c r="AG201" s="48" t="s">
        <v>2486</v>
      </c>
      <c r="AH201" s="48" t="s">
        <v>2501</v>
      </c>
      <c r="AI201" s="48" t="s">
        <v>2587</v>
      </c>
      <c r="AJ201" s="50" t="s">
        <v>2567</v>
      </c>
      <c r="AK201" s="51" t="s">
        <v>71</v>
      </c>
      <c r="AL201" s="47" t="s">
        <v>72</v>
      </c>
      <c r="AM201" s="47"/>
      <c r="AN201" s="47"/>
      <c r="AO201" s="47"/>
      <c r="AP201" s="7">
        <f>VLOOKUP(B:B,Table3[#All],4,0)</f>
        <v>6500</v>
      </c>
      <c r="AQ201" s="7">
        <f>calcShift1(Таблица1[[#This Row],[Столбец5]:[Столбец36]])</f>
        <v>88</v>
      </c>
      <c r="AR201" s="7">
        <f>calcShift2(Таблица1[[#This Row],[Столбец5]:[Столбец36]])</f>
        <v>0</v>
      </c>
      <c r="AS201" s="7">
        <f>calcShift3(Таблица1[[#This Row],[Столбец5]:[Столбец36]])</f>
        <v>0</v>
      </c>
      <c r="AT201" s="47"/>
      <c r="AU201" s="7">
        <f>calcYavka(Таблица1[[#This Row],[Столбец5]:[Столбец36]])</f>
        <v>11</v>
      </c>
      <c r="AV201" s="52"/>
      <c r="AW201" s="18">
        <f>VLOOKUP(B:B,ДОП_ВСІ!B:AS,44,0)</f>
        <v>2356.25</v>
      </c>
      <c r="AX201" s="7">
        <f>VLOOKUP(B:B,ДОП_ВСІ!B:AQ,42,0)</f>
        <v>0</v>
      </c>
      <c r="AY201" s="7">
        <f>Таблица1[[#This Row],[Столбец47]]*30</f>
        <v>330</v>
      </c>
      <c r="AZ201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201" s="47"/>
      <c r="BB201" s="47">
        <f>calcTS(Таблица1[[#This Row],[Столбец5]:[Столбец36]])</f>
        <v>0</v>
      </c>
    </row>
    <row r="202" spans="1:54" ht="42" x14ac:dyDescent="0.35">
      <c r="A202" s="46" t="s">
        <v>289</v>
      </c>
      <c r="B202" s="47" t="s">
        <v>290</v>
      </c>
      <c r="C202" s="48" t="s">
        <v>270</v>
      </c>
      <c r="D202" s="20" t="s">
        <v>2564</v>
      </c>
      <c r="E202" s="49" t="s">
        <v>2543</v>
      </c>
      <c r="F202" s="48" t="s">
        <v>2486</v>
      </c>
      <c r="G202" s="48" t="s">
        <v>2486</v>
      </c>
      <c r="H202" s="48" t="s">
        <v>2543</v>
      </c>
      <c r="I202" s="48" t="s">
        <v>2543</v>
      </c>
      <c r="J202" s="48" t="s">
        <v>2543</v>
      </c>
      <c r="K202" s="49" t="s">
        <v>2543</v>
      </c>
      <c r="L202" s="48" t="s">
        <v>2543</v>
      </c>
      <c r="M202" s="48" t="s">
        <v>2486</v>
      </c>
      <c r="N202" s="49" t="s">
        <v>2486</v>
      </c>
      <c r="O202" s="49" t="s">
        <v>2543</v>
      </c>
      <c r="P202" s="49" t="s">
        <v>2543</v>
      </c>
      <c r="Q202" s="49" t="s">
        <v>2543</v>
      </c>
      <c r="R202" s="48" t="s">
        <v>2543</v>
      </c>
      <c r="S202" s="48" t="s">
        <v>2543</v>
      </c>
      <c r="T202" s="48" t="s">
        <v>2486</v>
      </c>
      <c r="U202" s="48" t="s">
        <v>2486</v>
      </c>
      <c r="V202" s="48" t="s">
        <v>2543</v>
      </c>
      <c r="W202" s="48" t="s">
        <v>2543</v>
      </c>
      <c r="X202" s="48" t="s">
        <v>2543</v>
      </c>
      <c r="Y202" s="48" t="s">
        <v>2543</v>
      </c>
      <c r="Z202" s="48" t="s">
        <v>2543</v>
      </c>
      <c r="AA202" s="48" t="s">
        <v>2543</v>
      </c>
      <c r="AB202" s="48" t="s">
        <v>2486</v>
      </c>
      <c r="AC202" s="48" t="s">
        <v>2543</v>
      </c>
      <c r="AD202" s="48" t="s">
        <v>2543</v>
      </c>
      <c r="AE202" s="48" t="s">
        <v>2570</v>
      </c>
      <c r="AF202" s="48" t="s">
        <v>2486</v>
      </c>
      <c r="AG202" s="48" t="s">
        <v>2486</v>
      </c>
      <c r="AH202" s="48" t="s">
        <v>2486</v>
      </c>
      <c r="AI202" s="48" t="s">
        <v>2567</v>
      </c>
      <c r="AJ202" s="50" t="s">
        <v>2567</v>
      </c>
      <c r="AK202" s="51" t="s">
        <v>54</v>
      </c>
      <c r="AL202" s="47" t="s">
        <v>55</v>
      </c>
      <c r="AM202" s="47"/>
      <c r="AN202" s="47"/>
      <c r="AO202" s="47"/>
      <c r="AP202" s="7">
        <f>VLOOKUP(B:B,Table3[#All],4,0)</f>
        <v>6500</v>
      </c>
      <c r="AQ202" s="7">
        <f>calcShift1(Таблица1[[#This Row],[Столбец5]:[Столбец36]])</f>
        <v>158.99999999999994</v>
      </c>
      <c r="AR202" s="7">
        <f>calcShift2(Таблица1[[#This Row],[Столбец5]:[Столбец36]])</f>
        <v>0</v>
      </c>
      <c r="AS202" s="7">
        <f>calcShift3(Таблица1[[#This Row],[Столбец5]:[Столбец36]])</f>
        <v>0</v>
      </c>
      <c r="AT202" s="47"/>
      <c r="AU202" s="7">
        <f>calcYavka(Таблица1[[#This Row],[Столбец5]:[Столбец36]])</f>
        <v>20</v>
      </c>
      <c r="AV202" s="52"/>
      <c r="AW202" s="18">
        <f>VLOOKUP(B:B,ДОП_ВСІ!B:AS,44,0)</f>
        <v>0</v>
      </c>
      <c r="AX202" s="7">
        <f>VLOOKUP(B:B,ДОП_ВСІ!B:AQ,42,0)</f>
        <v>0</v>
      </c>
      <c r="AY202" s="7"/>
      <c r="AZ202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202" s="47"/>
      <c r="BB202" s="47">
        <f>calcTS(Таблица1[[#This Row],[Столбец5]:[Столбец36]])</f>
        <v>0</v>
      </c>
    </row>
    <row r="203" spans="1:54" ht="42" x14ac:dyDescent="0.35">
      <c r="A203" s="46" t="s">
        <v>291</v>
      </c>
      <c r="B203" s="47" t="s">
        <v>292</v>
      </c>
      <c r="C203" s="48" t="s">
        <v>293</v>
      </c>
      <c r="D203" s="20" t="s">
        <v>2564</v>
      </c>
      <c r="E203" s="49" t="s">
        <v>2531</v>
      </c>
      <c r="F203" s="48" t="s">
        <v>2531</v>
      </c>
      <c r="G203" s="48" t="s">
        <v>2531</v>
      </c>
      <c r="H203" s="48" t="s">
        <v>2531</v>
      </c>
      <c r="I203" s="48" t="s">
        <v>2543</v>
      </c>
      <c r="J203" s="48" t="s">
        <v>2543</v>
      </c>
      <c r="K203" s="49" t="s">
        <v>2543</v>
      </c>
      <c r="L203" s="48" t="s">
        <v>2543</v>
      </c>
      <c r="M203" s="48" t="s">
        <v>2486</v>
      </c>
      <c r="N203" s="49" t="s">
        <v>2486</v>
      </c>
      <c r="O203" s="49" t="s">
        <v>2543</v>
      </c>
      <c r="P203" s="49" t="s">
        <v>2543</v>
      </c>
      <c r="Q203" s="49" t="s">
        <v>2543</v>
      </c>
      <c r="R203" s="48" t="s">
        <v>2543</v>
      </c>
      <c r="S203" s="48" t="s">
        <v>2543</v>
      </c>
      <c r="T203" s="48" t="s">
        <v>2486</v>
      </c>
      <c r="U203" s="48" t="s">
        <v>2486</v>
      </c>
      <c r="V203" s="48" t="s">
        <v>2531</v>
      </c>
      <c r="W203" s="48" t="s">
        <v>141</v>
      </c>
      <c r="X203" s="48" t="s">
        <v>141</v>
      </c>
      <c r="Y203" s="48" t="s">
        <v>2575</v>
      </c>
      <c r="Z203" s="48" t="s">
        <v>2575</v>
      </c>
      <c r="AA203" s="48" t="s">
        <v>2543</v>
      </c>
      <c r="AB203" s="48" t="s">
        <v>2486</v>
      </c>
      <c r="AC203" s="48" t="s">
        <v>2570</v>
      </c>
      <c r="AD203" s="48" t="s">
        <v>2543</v>
      </c>
      <c r="AE203" s="48" t="s">
        <v>332</v>
      </c>
      <c r="AF203" s="48" t="s">
        <v>2486</v>
      </c>
      <c r="AG203" s="48" t="s">
        <v>2486</v>
      </c>
      <c r="AH203" s="48" t="s">
        <v>2486</v>
      </c>
      <c r="AI203" s="48" t="s">
        <v>2638</v>
      </c>
      <c r="AJ203" s="50" t="s">
        <v>2567</v>
      </c>
      <c r="AK203" s="51" t="s">
        <v>52</v>
      </c>
      <c r="AL203" s="47" t="s">
        <v>69</v>
      </c>
      <c r="AM203" s="47"/>
      <c r="AN203" s="47"/>
      <c r="AO203" s="47"/>
      <c r="AP203" s="7">
        <f>VLOOKUP(B:B,Table3[#All],4,0)</f>
        <v>9000</v>
      </c>
      <c r="AQ203" s="7">
        <f>calcShift1(Таблица1[[#This Row],[Столбец5]:[Столбец36]])</f>
        <v>128</v>
      </c>
      <c r="AR203" s="7">
        <f>calcShift2(Таблица1[[#This Row],[Столбец5]:[Столбец36]])</f>
        <v>0</v>
      </c>
      <c r="AS203" s="7">
        <f>calcShift3(Таблица1[[#This Row],[Столбец5]:[Столбец36]])</f>
        <v>0</v>
      </c>
      <c r="AT203" s="47"/>
      <c r="AU203" s="7">
        <f>calcYavka(Таблица1[[#This Row],[Столбец5]:[Столбец36]])</f>
        <v>17</v>
      </c>
      <c r="AV203" s="52"/>
      <c r="AW203" s="18">
        <f>VLOOKUP(B:B,ДОП_ВСІ!B:AS,44,0)</f>
        <v>0</v>
      </c>
      <c r="AX203" s="7">
        <f>VLOOKUP(B:B,ДОП_ВСІ!B:AQ,42,0)</f>
        <v>0</v>
      </c>
      <c r="AY203" s="7"/>
      <c r="AZ203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203" s="47"/>
      <c r="BB203" s="47">
        <f>calcTS(Таблица1[[#This Row],[Столбец5]:[Столбец36]])</f>
        <v>0</v>
      </c>
    </row>
    <row r="204" spans="1:54" ht="42" x14ac:dyDescent="0.35">
      <c r="A204" s="46" t="s">
        <v>294</v>
      </c>
      <c r="B204" s="47" t="s">
        <v>295</v>
      </c>
      <c r="C204" s="48" t="s">
        <v>293</v>
      </c>
      <c r="D204" s="63" t="s">
        <v>2564</v>
      </c>
      <c r="E204" s="49" t="s">
        <v>2543</v>
      </c>
      <c r="F204" s="48" t="s">
        <v>2486</v>
      </c>
      <c r="G204" s="48" t="s">
        <v>2486</v>
      </c>
      <c r="H204" s="48" t="s">
        <v>141</v>
      </c>
      <c r="I204" s="48" t="s">
        <v>141</v>
      </c>
      <c r="J204" s="48" t="s">
        <v>141</v>
      </c>
      <c r="K204" s="49" t="s">
        <v>141</v>
      </c>
      <c r="L204" s="48" t="s">
        <v>141</v>
      </c>
      <c r="M204" s="48" t="s">
        <v>2486</v>
      </c>
      <c r="N204" s="49" t="s">
        <v>2486</v>
      </c>
      <c r="O204" s="49" t="s">
        <v>2543</v>
      </c>
      <c r="P204" s="49" t="s">
        <v>2543</v>
      </c>
      <c r="Q204" s="49" t="s">
        <v>2543</v>
      </c>
      <c r="R204" s="48" t="s">
        <v>2543</v>
      </c>
      <c r="S204" s="48" t="s">
        <v>2543</v>
      </c>
      <c r="T204" s="48" t="s">
        <v>2486</v>
      </c>
      <c r="U204" s="48" t="s">
        <v>2486</v>
      </c>
      <c r="V204" s="48" t="s">
        <v>2531</v>
      </c>
      <c r="W204" s="48" t="s">
        <v>2543</v>
      </c>
      <c r="X204" s="48" t="s">
        <v>2575</v>
      </c>
      <c r="Y204" s="48" t="s">
        <v>2543</v>
      </c>
      <c r="Z204" s="48" t="s">
        <v>2575</v>
      </c>
      <c r="AA204" s="48" t="s">
        <v>2543</v>
      </c>
      <c r="AB204" s="48" t="s">
        <v>2486</v>
      </c>
      <c r="AC204" s="48" t="s">
        <v>2570</v>
      </c>
      <c r="AD204" s="48" t="s">
        <v>2543</v>
      </c>
      <c r="AE204" s="48" t="s">
        <v>332</v>
      </c>
      <c r="AF204" s="48" t="s">
        <v>2486</v>
      </c>
      <c r="AG204" s="48" t="s">
        <v>2486</v>
      </c>
      <c r="AH204" s="48" t="s">
        <v>2486</v>
      </c>
      <c r="AI204" s="48" t="s">
        <v>2601</v>
      </c>
      <c r="AJ204" s="50" t="s">
        <v>2567</v>
      </c>
      <c r="AK204" s="51" t="s">
        <v>72</v>
      </c>
      <c r="AL204" s="47" t="s">
        <v>71</v>
      </c>
      <c r="AM204" s="47"/>
      <c r="AN204" s="47"/>
      <c r="AO204" s="47"/>
      <c r="AP204" s="7">
        <f>VLOOKUP(B:B,Table3[#All],4,0)</f>
        <v>6500</v>
      </c>
      <c r="AQ204" s="7">
        <f>calcShift1(Таблица1[[#This Row],[Столбец5]:[Столбец36]])</f>
        <v>143.99999999999997</v>
      </c>
      <c r="AR204" s="7">
        <f>calcShift2(Таблица1[[#This Row],[Столбец5]:[Столбец36]])</f>
        <v>0</v>
      </c>
      <c r="AS204" s="7">
        <f>calcShift3(Таблица1[[#This Row],[Столбец5]:[Столбец36]])</f>
        <v>0</v>
      </c>
      <c r="AT204" s="47"/>
      <c r="AU204" s="7">
        <f>calcYavka(Таблица1[[#This Row],[Столбец5]:[Столбец36]])</f>
        <v>19</v>
      </c>
      <c r="AV204" s="52"/>
      <c r="AW204" s="18">
        <f>VLOOKUP(B:B,ДОП_ВСІ!B:AS,44,0)</f>
        <v>0</v>
      </c>
      <c r="AX204" s="7">
        <f>VLOOKUP(B:B,ДОП_ВСІ!B:AQ,42,0)</f>
        <v>0</v>
      </c>
      <c r="AY204" s="7"/>
      <c r="AZ204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204" s="47"/>
      <c r="BB204" s="47">
        <f>calcTS(Таблица1[[#This Row],[Столбец5]:[Столбец36]])</f>
        <v>0</v>
      </c>
    </row>
    <row r="205" spans="1:54" ht="42" x14ac:dyDescent="0.35">
      <c r="A205" s="46" t="s">
        <v>296</v>
      </c>
      <c r="B205" s="47" t="s">
        <v>297</v>
      </c>
      <c r="C205" s="48" t="s">
        <v>298</v>
      </c>
      <c r="D205" s="63" t="s">
        <v>2564</v>
      </c>
      <c r="E205" s="49" t="s">
        <v>2543</v>
      </c>
      <c r="F205" s="48" t="s">
        <v>2486</v>
      </c>
      <c r="G205" s="48" t="s">
        <v>2486</v>
      </c>
      <c r="H205" s="48" t="s">
        <v>141</v>
      </c>
      <c r="I205" s="48" t="s">
        <v>141</v>
      </c>
      <c r="J205" s="48" t="s">
        <v>141</v>
      </c>
      <c r="K205" s="49" t="s">
        <v>141</v>
      </c>
      <c r="L205" s="48" t="s">
        <v>141</v>
      </c>
      <c r="M205" s="48" t="s">
        <v>2486</v>
      </c>
      <c r="N205" s="49" t="s">
        <v>2486</v>
      </c>
      <c r="O205" s="49" t="s">
        <v>2543</v>
      </c>
      <c r="P205" s="49" t="s">
        <v>2543</v>
      </c>
      <c r="Q205" s="49" t="s">
        <v>2543</v>
      </c>
      <c r="R205" s="48" t="s">
        <v>2543</v>
      </c>
      <c r="S205" s="48" t="s">
        <v>2594</v>
      </c>
      <c r="T205" s="48" t="s">
        <v>2486</v>
      </c>
      <c r="U205" s="48" t="s">
        <v>2486</v>
      </c>
      <c r="V205" s="48" t="s">
        <v>2543</v>
      </c>
      <c r="W205" s="48" t="s">
        <v>2543</v>
      </c>
      <c r="X205" s="48" t="s">
        <v>2543</v>
      </c>
      <c r="Y205" s="48" t="s">
        <v>2543</v>
      </c>
      <c r="Z205" s="48" t="s">
        <v>2543</v>
      </c>
      <c r="AA205" s="48" t="s">
        <v>2543</v>
      </c>
      <c r="AB205" s="48" t="s">
        <v>2486</v>
      </c>
      <c r="AC205" s="48" t="s">
        <v>2543</v>
      </c>
      <c r="AD205" s="48" t="s">
        <v>2543</v>
      </c>
      <c r="AE205" s="48" t="s">
        <v>332</v>
      </c>
      <c r="AF205" s="48" t="s">
        <v>2486</v>
      </c>
      <c r="AG205" s="48" t="s">
        <v>2486</v>
      </c>
      <c r="AH205" s="48" t="s">
        <v>2486</v>
      </c>
      <c r="AI205" s="48" t="s">
        <v>2639</v>
      </c>
      <c r="AJ205" s="50" t="s">
        <v>2567</v>
      </c>
      <c r="AK205" s="51" t="s">
        <v>54</v>
      </c>
      <c r="AL205" s="47" t="s">
        <v>55</v>
      </c>
      <c r="AM205" s="47"/>
      <c r="AN205" s="47"/>
      <c r="AO205" s="47"/>
      <c r="AP205" s="7">
        <f>VLOOKUP(B:B,Table3[#All],4,0)</f>
        <v>18000</v>
      </c>
      <c r="AQ205" s="7">
        <f>calcShift1(Таблица1[[#This Row],[Столбец5]:[Столбец36]])</f>
        <v>154.99999999999997</v>
      </c>
      <c r="AR205" s="7">
        <f>calcShift2(Таблица1[[#This Row],[Столбец5]:[Столбец36]])</f>
        <v>0</v>
      </c>
      <c r="AS205" s="7">
        <f>calcShift3(Таблица1[[#This Row],[Столбец5]:[Столбец36]])</f>
        <v>0</v>
      </c>
      <c r="AT205" s="47"/>
      <c r="AU205" s="7">
        <f>calcYavka(Таблица1[[#This Row],[Столбец5]:[Столбец36]])</f>
        <v>20</v>
      </c>
      <c r="AV205" s="52"/>
      <c r="AW205" s="18">
        <f>VLOOKUP(B:B,ДОП_ВСІ!B:AS,44,0)</f>
        <v>3375</v>
      </c>
      <c r="AX205" s="7">
        <f>VLOOKUP(B:B,ДОП_ВСІ!B:AQ,42,0)</f>
        <v>2126.25</v>
      </c>
      <c r="AY205" s="7"/>
      <c r="AZ205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205" s="47"/>
      <c r="BB205" s="47">
        <f>calcTS(Таблица1[[#This Row],[Столбец5]:[Столбец36]])</f>
        <v>0</v>
      </c>
    </row>
    <row r="206" spans="1:54" ht="42" x14ac:dyDescent="0.35">
      <c r="A206" s="46" t="s">
        <v>299</v>
      </c>
      <c r="B206" s="47" t="s">
        <v>300</v>
      </c>
      <c r="C206" s="48" t="s">
        <v>301</v>
      </c>
      <c r="D206" s="63" t="s">
        <v>2564</v>
      </c>
      <c r="E206" s="49" t="s">
        <v>2543</v>
      </c>
      <c r="F206" s="48" t="s">
        <v>2486</v>
      </c>
      <c r="G206" s="48" t="s">
        <v>2486</v>
      </c>
      <c r="H206" s="48" t="s">
        <v>141</v>
      </c>
      <c r="I206" s="48" t="s">
        <v>141</v>
      </c>
      <c r="J206" s="48" t="s">
        <v>141</v>
      </c>
      <c r="K206" s="49" t="s">
        <v>141</v>
      </c>
      <c r="L206" s="48" t="s">
        <v>2565</v>
      </c>
      <c r="M206" s="48" t="s">
        <v>2486</v>
      </c>
      <c r="N206" s="49" t="s">
        <v>2486</v>
      </c>
      <c r="O206" s="49" t="s">
        <v>2543</v>
      </c>
      <c r="P206" s="49" t="s">
        <v>2543</v>
      </c>
      <c r="Q206" s="49" t="s">
        <v>2543</v>
      </c>
      <c r="R206" s="48" t="s">
        <v>2543</v>
      </c>
      <c r="S206" s="48" t="s">
        <v>2543</v>
      </c>
      <c r="T206" s="48" t="s">
        <v>2486</v>
      </c>
      <c r="U206" s="48" t="s">
        <v>2486</v>
      </c>
      <c r="V206" s="48" t="s">
        <v>2543</v>
      </c>
      <c r="W206" s="48" t="s">
        <v>2543</v>
      </c>
      <c r="X206" s="48" t="s">
        <v>2543</v>
      </c>
      <c r="Y206" s="48" t="s">
        <v>2543</v>
      </c>
      <c r="Z206" s="48" t="s">
        <v>2543</v>
      </c>
      <c r="AA206" s="48" t="s">
        <v>2543</v>
      </c>
      <c r="AB206" s="48" t="s">
        <v>2486</v>
      </c>
      <c r="AC206" s="48" t="s">
        <v>2543</v>
      </c>
      <c r="AD206" s="48" t="s">
        <v>2543</v>
      </c>
      <c r="AE206" s="48" t="s">
        <v>332</v>
      </c>
      <c r="AF206" s="48" t="s">
        <v>2486</v>
      </c>
      <c r="AG206" s="48" t="s">
        <v>2486</v>
      </c>
      <c r="AH206" s="48" t="s">
        <v>2486</v>
      </c>
      <c r="AI206" s="48" t="s">
        <v>2623</v>
      </c>
      <c r="AJ206" s="50" t="s">
        <v>2567</v>
      </c>
      <c r="AK206" s="51" t="s">
        <v>54</v>
      </c>
      <c r="AL206" s="47" t="s">
        <v>55</v>
      </c>
      <c r="AM206" s="47"/>
      <c r="AN206" s="47"/>
      <c r="AO206" s="47"/>
      <c r="AP206" s="7">
        <f>VLOOKUP(B:B,Table3[#All],4,0)</f>
        <v>8000</v>
      </c>
      <c r="AQ206" s="7">
        <f>calcShift1(Таблица1[[#This Row],[Столбец5]:[Столбец36]])</f>
        <v>157</v>
      </c>
      <c r="AR206" s="7">
        <f>calcShift2(Таблица1[[#This Row],[Столбец5]:[Столбец36]])</f>
        <v>0</v>
      </c>
      <c r="AS206" s="7">
        <f>calcShift3(Таблица1[[#This Row],[Столбец5]:[Столбец36]])</f>
        <v>0</v>
      </c>
      <c r="AT206" s="47"/>
      <c r="AU206" s="7">
        <f>calcYavka(Таблица1[[#This Row],[Столбец5]:[Столбец36]])</f>
        <v>20</v>
      </c>
      <c r="AV206" s="52"/>
      <c r="AW206" s="18">
        <f>VLOOKUP(B:B,ДОП_ВСІ!B:AS,44,0)</f>
        <v>0</v>
      </c>
      <c r="AX206" s="7">
        <f>VLOOKUP(B:B,ДОП_ВСІ!B:AQ,42,0)</f>
        <v>0</v>
      </c>
      <c r="AY206" s="7"/>
      <c r="AZ206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206" s="47"/>
      <c r="BB206" s="47">
        <f>calcTS(Таблица1[[#This Row],[Столбец5]:[Столбец36]])</f>
        <v>0</v>
      </c>
    </row>
    <row r="207" spans="1:54" ht="42" x14ac:dyDescent="0.35">
      <c r="A207" s="46" t="s">
        <v>302</v>
      </c>
      <c r="B207" s="47" t="s">
        <v>303</v>
      </c>
      <c r="C207" s="48" t="s">
        <v>304</v>
      </c>
      <c r="D207" s="63" t="s">
        <v>2564</v>
      </c>
      <c r="E207" s="49" t="s">
        <v>2543</v>
      </c>
      <c r="F207" s="48" t="s">
        <v>2486</v>
      </c>
      <c r="G207" s="48" t="s">
        <v>2486</v>
      </c>
      <c r="H207" s="48" t="s">
        <v>141</v>
      </c>
      <c r="I207" s="48" t="s">
        <v>141</v>
      </c>
      <c r="J207" s="48" t="s">
        <v>141</v>
      </c>
      <c r="K207" s="49" t="s">
        <v>141</v>
      </c>
      <c r="L207" s="48" t="s">
        <v>141</v>
      </c>
      <c r="M207" s="48" t="s">
        <v>2486</v>
      </c>
      <c r="N207" s="49" t="s">
        <v>2486</v>
      </c>
      <c r="O207" s="49" t="s">
        <v>2543</v>
      </c>
      <c r="P207" s="49" t="s">
        <v>2543</v>
      </c>
      <c r="Q207" s="49" t="s">
        <v>2543</v>
      </c>
      <c r="R207" s="48" t="s">
        <v>2543</v>
      </c>
      <c r="S207" s="48" t="s">
        <v>2543</v>
      </c>
      <c r="T207" s="48" t="s">
        <v>2486</v>
      </c>
      <c r="U207" s="48" t="s">
        <v>2486</v>
      </c>
      <c r="V207" s="48" t="s">
        <v>2543</v>
      </c>
      <c r="W207" s="48" t="s">
        <v>2543</v>
      </c>
      <c r="X207" s="48" t="s">
        <v>2543</v>
      </c>
      <c r="Y207" s="48" t="s">
        <v>2543</v>
      </c>
      <c r="Z207" s="48" t="s">
        <v>2543</v>
      </c>
      <c r="AA207" s="48" t="s">
        <v>2543</v>
      </c>
      <c r="AB207" s="48" t="s">
        <v>2486</v>
      </c>
      <c r="AC207" s="48" t="s">
        <v>2543</v>
      </c>
      <c r="AD207" s="48" t="s">
        <v>2543</v>
      </c>
      <c r="AE207" s="48" t="s">
        <v>332</v>
      </c>
      <c r="AF207" s="48" t="s">
        <v>2486</v>
      </c>
      <c r="AG207" s="48" t="s">
        <v>2486</v>
      </c>
      <c r="AH207" s="48" t="s">
        <v>2486</v>
      </c>
      <c r="AI207" s="48" t="s">
        <v>2567</v>
      </c>
      <c r="AJ207" s="50" t="s">
        <v>2567</v>
      </c>
      <c r="AK207" s="51" t="s">
        <v>54</v>
      </c>
      <c r="AL207" s="47" t="s">
        <v>55</v>
      </c>
      <c r="AM207" s="47"/>
      <c r="AN207" s="47"/>
      <c r="AO207" s="47"/>
      <c r="AP207" s="7">
        <f>VLOOKUP(B:B,Table3[#All],4,0)</f>
        <v>23000</v>
      </c>
      <c r="AQ207" s="7">
        <f>calcShift1(Таблица1[[#This Row],[Столбец5]:[Столбец36]])</f>
        <v>158.99999999999994</v>
      </c>
      <c r="AR207" s="7">
        <f>calcShift2(Таблица1[[#This Row],[Столбец5]:[Столбец36]])</f>
        <v>0</v>
      </c>
      <c r="AS207" s="7">
        <f>calcShift3(Таблица1[[#This Row],[Столбец5]:[Столбец36]])</f>
        <v>0</v>
      </c>
      <c r="AT207" s="47"/>
      <c r="AU207" s="7">
        <f>calcYavka(Таблица1[[#This Row],[Столбец5]:[Столбец36]])</f>
        <v>20</v>
      </c>
      <c r="AV207" s="52"/>
      <c r="AW207" s="18">
        <f>VLOOKUP(B:B,ДОП_ВСІ!B:AS,44,0)</f>
        <v>11500</v>
      </c>
      <c r="AX207" s="7">
        <f>VLOOKUP(B:B,ДОП_ВСІ!B:AQ,42,0)</f>
        <v>0</v>
      </c>
      <c r="AY207" s="7"/>
      <c r="AZ207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207" s="47"/>
      <c r="BB207" s="47">
        <f>calcTS(Таблица1[[#This Row],[Столбец5]:[Столбец36]])</f>
        <v>0</v>
      </c>
    </row>
    <row r="208" spans="1:54" ht="42" x14ac:dyDescent="0.35">
      <c r="A208" s="46" t="s">
        <v>305</v>
      </c>
      <c r="B208" s="47" t="s">
        <v>306</v>
      </c>
      <c r="C208" s="48" t="s">
        <v>279</v>
      </c>
      <c r="D208" s="63" t="s">
        <v>2564</v>
      </c>
      <c r="E208" s="49" t="s">
        <v>141</v>
      </c>
      <c r="F208" s="48" t="s">
        <v>2486</v>
      </c>
      <c r="G208" s="48" t="s">
        <v>2486</v>
      </c>
      <c r="H208" s="48" t="s">
        <v>2531</v>
      </c>
      <c r="I208" s="48" t="s">
        <v>141</v>
      </c>
      <c r="J208" s="48" t="s">
        <v>141</v>
      </c>
      <c r="K208" s="49" t="s">
        <v>141</v>
      </c>
      <c r="L208" s="48" t="s">
        <v>141</v>
      </c>
      <c r="M208" s="48" t="s">
        <v>2486</v>
      </c>
      <c r="N208" s="49" t="s">
        <v>2486</v>
      </c>
      <c r="O208" s="49" t="s">
        <v>2543</v>
      </c>
      <c r="P208" s="49" t="s">
        <v>2543</v>
      </c>
      <c r="Q208" s="49" t="s">
        <v>2543</v>
      </c>
      <c r="R208" s="48" t="s">
        <v>2543</v>
      </c>
      <c r="S208" s="48" t="s">
        <v>2543</v>
      </c>
      <c r="T208" s="48" t="s">
        <v>2486</v>
      </c>
      <c r="U208" s="48" t="s">
        <v>2486</v>
      </c>
      <c r="V208" s="48" t="s">
        <v>2543</v>
      </c>
      <c r="W208" s="48" t="s">
        <v>2543</v>
      </c>
      <c r="X208" s="48" t="s">
        <v>2543</v>
      </c>
      <c r="Y208" s="48" t="s">
        <v>2543</v>
      </c>
      <c r="Z208" s="48" t="s">
        <v>2543</v>
      </c>
      <c r="AA208" s="48" t="s">
        <v>2543</v>
      </c>
      <c r="AB208" s="48" t="s">
        <v>2486</v>
      </c>
      <c r="AC208" s="48" t="s">
        <v>2543</v>
      </c>
      <c r="AD208" s="48" t="s">
        <v>2543</v>
      </c>
      <c r="AE208" s="48" t="s">
        <v>332</v>
      </c>
      <c r="AF208" s="48" t="s">
        <v>2486</v>
      </c>
      <c r="AG208" s="48" t="s">
        <v>2486</v>
      </c>
      <c r="AH208" s="48" t="s">
        <v>2486</v>
      </c>
      <c r="AI208" s="48" t="s">
        <v>2567</v>
      </c>
      <c r="AJ208" s="50" t="s">
        <v>2567</v>
      </c>
      <c r="AK208" s="51" t="s">
        <v>54</v>
      </c>
      <c r="AL208" s="47" t="s">
        <v>55</v>
      </c>
      <c r="AM208" s="47"/>
      <c r="AN208" s="47"/>
      <c r="AO208" s="47"/>
      <c r="AP208" s="7">
        <f>VLOOKUP(B:B,Table3[#All],4,0)</f>
        <v>6500</v>
      </c>
      <c r="AQ208" s="7">
        <f>calcShift1(Таблица1[[#This Row],[Столбец5]:[Столбец36]])</f>
        <v>150.99999999999997</v>
      </c>
      <c r="AR208" s="7">
        <f>calcShift2(Таблица1[[#This Row],[Столбец5]:[Столбец36]])</f>
        <v>0</v>
      </c>
      <c r="AS208" s="7">
        <f>calcShift3(Таблица1[[#This Row],[Столбец5]:[Столбец36]])</f>
        <v>0</v>
      </c>
      <c r="AT208" s="47"/>
      <c r="AU208" s="7">
        <f>calcYavka(Таблица1[[#This Row],[Столбец5]:[Столбец36]])</f>
        <v>19</v>
      </c>
      <c r="AV208" s="52"/>
      <c r="AW208" s="18">
        <f>VLOOKUP(B:B,ДОП_ВСІ!B:AS,44,0)</f>
        <v>650</v>
      </c>
      <c r="AX208" s="7">
        <f>VLOOKUP(B:B,ДОП_ВСІ!B:AQ,42,0)</f>
        <v>767.81250000000011</v>
      </c>
      <c r="AY208" s="7">
        <f>Таблица1[[#This Row],[Столбец47]]*30</f>
        <v>570</v>
      </c>
      <c r="AZ208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208" s="47"/>
      <c r="BB208" s="47">
        <f>calcTS(Таблица1[[#This Row],[Столбец5]:[Столбец36]])</f>
        <v>0</v>
      </c>
    </row>
    <row r="209" spans="1:54" ht="42" x14ac:dyDescent="0.35">
      <c r="A209" s="46" t="s">
        <v>307</v>
      </c>
      <c r="B209" s="47" t="s">
        <v>308</v>
      </c>
      <c r="C209" s="48" t="s">
        <v>309</v>
      </c>
      <c r="D209" s="63" t="s">
        <v>2564</v>
      </c>
      <c r="E209" s="49" t="s">
        <v>141</v>
      </c>
      <c r="F209" s="48" t="s">
        <v>2486</v>
      </c>
      <c r="G209" s="48" t="s">
        <v>2486</v>
      </c>
      <c r="H209" s="48" t="s">
        <v>2543</v>
      </c>
      <c r="I209" s="48" t="s">
        <v>2543</v>
      </c>
      <c r="J209" s="48" t="s">
        <v>2543</v>
      </c>
      <c r="K209" s="49" t="s">
        <v>2543</v>
      </c>
      <c r="L209" s="48" t="s">
        <v>2543</v>
      </c>
      <c r="M209" s="48" t="s">
        <v>2486</v>
      </c>
      <c r="N209" s="49" t="s">
        <v>2486</v>
      </c>
      <c r="O209" s="49" t="s">
        <v>2543</v>
      </c>
      <c r="P209" s="49" t="s">
        <v>2543</v>
      </c>
      <c r="Q209" s="49" t="s">
        <v>2543</v>
      </c>
      <c r="R209" s="48" t="s">
        <v>2543</v>
      </c>
      <c r="S209" s="48" t="s">
        <v>2543</v>
      </c>
      <c r="T209" s="48" t="s">
        <v>2486</v>
      </c>
      <c r="U209" s="48" t="s">
        <v>2486</v>
      </c>
      <c r="V209" s="48" t="s">
        <v>2543</v>
      </c>
      <c r="W209" s="48" t="s">
        <v>2543</v>
      </c>
      <c r="X209" s="48" t="s">
        <v>2543</v>
      </c>
      <c r="Y209" s="48" t="s">
        <v>2543</v>
      </c>
      <c r="Z209" s="48" t="s">
        <v>2543</v>
      </c>
      <c r="AA209" s="48" t="s">
        <v>2543</v>
      </c>
      <c r="AB209" s="48" t="s">
        <v>2486</v>
      </c>
      <c r="AC209" s="48" t="s">
        <v>141</v>
      </c>
      <c r="AD209" s="48" t="s">
        <v>141</v>
      </c>
      <c r="AE209" s="48" t="s">
        <v>332</v>
      </c>
      <c r="AF209" s="48" t="s">
        <v>2486</v>
      </c>
      <c r="AG209" s="48" t="s">
        <v>2486</v>
      </c>
      <c r="AH209" s="48" t="s">
        <v>2486</v>
      </c>
      <c r="AI209" s="48" t="s">
        <v>2567</v>
      </c>
      <c r="AJ209" s="50" t="s">
        <v>2567</v>
      </c>
      <c r="AK209" s="51" t="s">
        <v>54</v>
      </c>
      <c r="AL209" s="47" t="s">
        <v>55</v>
      </c>
      <c r="AM209" s="47"/>
      <c r="AN209" s="47"/>
      <c r="AO209" s="47"/>
      <c r="AP209" s="7">
        <f>VLOOKUP(B:B,Table3[#All],4,0)</f>
        <v>6500</v>
      </c>
      <c r="AQ209" s="7">
        <f>calcShift1(Таблица1[[#This Row],[Столбец5]:[Столбец36]])</f>
        <v>158.99999999999994</v>
      </c>
      <c r="AR209" s="7">
        <f>calcShift2(Таблица1[[#This Row],[Столбец5]:[Столбец36]])</f>
        <v>0</v>
      </c>
      <c r="AS209" s="7">
        <f>calcShift3(Таблица1[[#This Row],[Столбец5]:[Столбец36]])</f>
        <v>0</v>
      </c>
      <c r="AT209" s="47"/>
      <c r="AU209" s="7">
        <f>calcYavka(Таблица1[[#This Row],[Столбец5]:[Столбец36]])</f>
        <v>20</v>
      </c>
      <c r="AV209" s="52"/>
      <c r="AW209" s="18">
        <f>VLOOKUP(B:B,ДОП_ВСІ!B:AS,44,0)</f>
        <v>2518.75</v>
      </c>
      <c r="AX209" s="7">
        <f>VLOOKUP(B:B,ДОП_ВСІ!B:AQ,42,0)</f>
        <v>0</v>
      </c>
      <c r="AY209" s="7"/>
      <c r="AZ209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209" s="47"/>
      <c r="BB209" s="47">
        <f>calcTS(Таблица1[[#This Row],[Столбец5]:[Столбец36]])</f>
        <v>0</v>
      </c>
    </row>
    <row r="210" spans="1:54" ht="42" x14ac:dyDescent="0.35">
      <c r="A210" s="46" t="s">
        <v>310</v>
      </c>
      <c r="B210" s="47" t="s">
        <v>311</v>
      </c>
      <c r="C210" s="48" t="s">
        <v>252</v>
      </c>
      <c r="D210" s="63" t="s">
        <v>2564</v>
      </c>
      <c r="E210" s="49" t="s">
        <v>141</v>
      </c>
      <c r="F210" s="48" t="s">
        <v>2486</v>
      </c>
      <c r="G210" s="48" t="s">
        <v>2486</v>
      </c>
      <c r="H210" s="48" t="s">
        <v>2543</v>
      </c>
      <c r="I210" s="48" t="s">
        <v>2575</v>
      </c>
      <c r="J210" s="48" t="s">
        <v>2543</v>
      </c>
      <c r="K210" s="49" t="s">
        <v>2543</v>
      </c>
      <c r="L210" s="48" t="s">
        <v>2543</v>
      </c>
      <c r="M210" s="48" t="s">
        <v>2486</v>
      </c>
      <c r="N210" s="49" t="s">
        <v>2486</v>
      </c>
      <c r="O210" s="49" t="s">
        <v>2543</v>
      </c>
      <c r="P210" s="49" t="s">
        <v>2543</v>
      </c>
      <c r="Q210" s="49" t="s">
        <v>2543</v>
      </c>
      <c r="R210" s="48" t="s">
        <v>2570</v>
      </c>
      <c r="S210" s="48" t="s">
        <v>2543</v>
      </c>
      <c r="T210" s="48" t="s">
        <v>2486</v>
      </c>
      <c r="U210" s="48" t="s">
        <v>2486</v>
      </c>
      <c r="V210" s="48" t="s">
        <v>2543</v>
      </c>
      <c r="W210" s="48" t="s">
        <v>2543</v>
      </c>
      <c r="X210" s="48" t="s">
        <v>2543</v>
      </c>
      <c r="Y210" s="48" t="s">
        <v>2543</v>
      </c>
      <c r="Z210" s="48" t="s">
        <v>2543</v>
      </c>
      <c r="AA210" s="48" t="s">
        <v>2543</v>
      </c>
      <c r="AB210" s="48" t="s">
        <v>2486</v>
      </c>
      <c r="AC210" s="48" t="s">
        <v>2570</v>
      </c>
      <c r="AD210" s="48" t="s">
        <v>141</v>
      </c>
      <c r="AE210" s="48" t="s">
        <v>332</v>
      </c>
      <c r="AF210" s="48" t="s">
        <v>2486</v>
      </c>
      <c r="AG210" s="48" t="s">
        <v>2486</v>
      </c>
      <c r="AH210" s="48" t="s">
        <v>2486</v>
      </c>
      <c r="AI210" s="48" t="s">
        <v>2640</v>
      </c>
      <c r="AJ210" s="50" t="s">
        <v>2567</v>
      </c>
      <c r="AK210" s="51" t="s">
        <v>54</v>
      </c>
      <c r="AL210" s="47" t="s">
        <v>55</v>
      </c>
      <c r="AM210" s="47"/>
      <c r="AN210" s="47"/>
      <c r="AO210" s="47"/>
      <c r="AP210" s="7">
        <f>VLOOKUP(B:B,Table3[#All],4,0)</f>
        <v>6500</v>
      </c>
      <c r="AQ210" s="7">
        <f>calcShift1(Таблица1[[#This Row],[Столбец5]:[Столбец36]])</f>
        <v>154</v>
      </c>
      <c r="AR210" s="7">
        <f>calcShift2(Таблица1[[#This Row],[Столбец5]:[Столбец36]])</f>
        <v>0</v>
      </c>
      <c r="AS210" s="7">
        <f>calcShift3(Таблица1[[#This Row],[Столбец5]:[Столбец36]])</f>
        <v>0</v>
      </c>
      <c r="AT210" s="47"/>
      <c r="AU210" s="7">
        <f>calcYavka(Таблица1[[#This Row],[Столбец5]:[Столбец36]])</f>
        <v>20</v>
      </c>
      <c r="AV210" s="52"/>
      <c r="AW210" s="18">
        <f>VLOOKUP(B:B,ДОП_ВСІ!B:AS,44,0)</f>
        <v>568.75</v>
      </c>
      <c r="AX210" s="7">
        <f>VLOOKUP(B:B,ДОП_ВСІ!B:AQ,42,0)</f>
        <v>0</v>
      </c>
      <c r="AY210" s="7"/>
      <c r="AZ210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210" s="47"/>
      <c r="BB210" s="47">
        <f>calcTS(Таблица1[[#This Row],[Столбец5]:[Столбец36]])</f>
        <v>0</v>
      </c>
    </row>
    <row r="211" spans="1:54" ht="42" x14ac:dyDescent="0.35">
      <c r="A211" s="46" t="s">
        <v>312</v>
      </c>
      <c r="B211" s="47" t="s">
        <v>313</v>
      </c>
      <c r="C211" s="48" t="s">
        <v>270</v>
      </c>
      <c r="D211" s="63" t="s">
        <v>2564</v>
      </c>
      <c r="E211" s="49" t="s">
        <v>141</v>
      </c>
      <c r="F211" s="48" t="s">
        <v>2486</v>
      </c>
      <c r="G211" s="48" t="s">
        <v>2486</v>
      </c>
      <c r="H211" s="48" t="s">
        <v>2543</v>
      </c>
      <c r="I211" s="48" t="s">
        <v>2543</v>
      </c>
      <c r="J211" s="48" t="s">
        <v>2543</v>
      </c>
      <c r="K211" s="49" t="s">
        <v>2543</v>
      </c>
      <c r="L211" s="48" t="s">
        <v>2543</v>
      </c>
      <c r="M211" s="48" t="s">
        <v>2486</v>
      </c>
      <c r="N211" s="49" t="s">
        <v>2486</v>
      </c>
      <c r="O211" s="49" t="s">
        <v>141</v>
      </c>
      <c r="P211" s="49" t="s">
        <v>141</v>
      </c>
      <c r="Q211" s="49" t="s">
        <v>141</v>
      </c>
      <c r="R211" s="48" t="s">
        <v>141</v>
      </c>
      <c r="S211" s="48" t="s">
        <v>141</v>
      </c>
      <c r="T211" s="48" t="s">
        <v>2486</v>
      </c>
      <c r="U211" s="48" t="s">
        <v>2486</v>
      </c>
      <c r="V211" s="48" t="s">
        <v>2543</v>
      </c>
      <c r="W211" s="48" t="s">
        <v>2543</v>
      </c>
      <c r="X211" s="48" t="s">
        <v>2543</v>
      </c>
      <c r="Y211" s="48" t="s">
        <v>2543</v>
      </c>
      <c r="Z211" s="48" t="s">
        <v>2543</v>
      </c>
      <c r="AA211" s="48" t="s">
        <v>2543</v>
      </c>
      <c r="AB211" s="48" t="s">
        <v>2486</v>
      </c>
      <c r="AC211" s="48" t="s">
        <v>2543</v>
      </c>
      <c r="AD211" s="48" t="s">
        <v>2485</v>
      </c>
      <c r="AE211" s="48" t="s">
        <v>332</v>
      </c>
      <c r="AF211" s="48" t="s">
        <v>2486</v>
      </c>
      <c r="AG211" s="48" t="s">
        <v>2486</v>
      </c>
      <c r="AH211" s="48" t="s">
        <v>2486</v>
      </c>
      <c r="AI211" s="48" t="s">
        <v>2571</v>
      </c>
      <c r="AJ211" s="50" t="s">
        <v>2567</v>
      </c>
      <c r="AK211" s="51" t="s">
        <v>72</v>
      </c>
      <c r="AL211" s="47" t="s">
        <v>71</v>
      </c>
      <c r="AM211" s="47"/>
      <c r="AN211" s="47"/>
      <c r="AO211" s="47"/>
      <c r="AP211" s="7">
        <f>VLOOKUP(B:B,Table3[#All],4,0)</f>
        <v>6500</v>
      </c>
      <c r="AQ211" s="7">
        <f>calcShift1(Таблица1[[#This Row],[Столбец5]:[Столбец36]])</f>
        <v>150.99999999999997</v>
      </c>
      <c r="AR211" s="7">
        <f>calcShift2(Таблица1[[#This Row],[Столбец5]:[Столбец36]])</f>
        <v>0</v>
      </c>
      <c r="AS211" s="7">
        <f>calcShift3(Таблица1[[#This Row],[Столбец5]:[Столбец36]])</f>
        <v>0</v>
      </c>
      <c r="AT211" s="47"/>
      <c r="AU211" s="7">
        <f>calcYavka(Таблица1[[#This Row],[Столбец5]:[Столбец36]])</f>
        <v>19</v>
      </c>
      <c r="AV211" s="52"/>
      <c r="AW211" s="18">
        <f>VLOOKUP(B:B,ДОП_ВСІ!B:AS,44,0)</f>
        <v>0</v>
      </c>
      <c r="AX211" s="7">
        <f>VLOOKUP(B:B,ДОП_ВСІ!B:AQ,42,0)</f>
        <v>0</v>
      </c>
      <c r="AY211" s="7"/>
      <c r="AZ211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211" s="47"/>
      <c r="BB211" s="47">
        <f>calcTS(Таблица1[[#This Row],[Столбец5]:[Столбец36]])</f>
        <v>0</v>
      </c>
    </row>
    <row r="212" spans="1:54" x14ac:dyDescent="0.35">
      <c r="A212" s="46" t="s">
        <v>314</v>
      </c>
      <c r="B212" s="47" t="s">
        <v>315</v>
      </c>
      <c r="C212" s="48" t="s">
        <v>288</v>
      </c>
      <c r="D212" s="63" t="s">
        <v>2564</v>
      </c>
      <c r="E212" s="49" t="s">
        <v>135</v>
      </c>
      <c r="F212" s="48" t="s">
        <v>135</v>
      </c>
      <c r="G212" s="48" t="s">
        <v>135</v>
      </c>
      <c r="H212" s="48" t="s">
        <v>2486</v>
      </c>
      <c r="I212" s="48" t="s">
        <v>2486</v>
      </c>
      <c r="J212" s="48" t="s">
        <v>141</v>
      </c>
      <c r="K212" s="49" t="s">
        <v>141</v>
      </c>
      <c r="L212" s="48" t="s">
        <v>2531</v>
      </c>
      <c r="M212" s="48" t="s">
        <v>141</v>
      </c>
      <c r="N212" s="49" t="s">
        <v>2486</v>
      </c>
      <c r="O212" s="49" t="s">
        <v>2486</v>
      </c>
      <c r="P212" s="49" t="s">
        <v>135</v>
      </c>
      <c r="Q212" s="49" t="s">
        <v>141</v>
      </c>
      <c r="R212" s="48" t="s">
        <v>141</v>
      </c>
      <c r="S212" s="48" t="s">
        <v>141</v>
      </c>
      <c r="T212" s="48" t="s">
        <v>2486</v>
      </c>
      <c r="U212" s="48" t="s">
        <v>2486</v>
      </c>
      <c r="V212" s="48" t="s">
        <v>141</v>
      </c>
      <c r="W212" s="48" t="s">
        <v>141</v>
      </c>
      <c r="X212" s="48" t="s">
        <v>2565</v>
      </c>
      <c r="Y212" s="48" t="s">
        <v>2543</v>
      </c>
      <c r="Z212" s="48" t="s">
        <v>2543</v>
      </c>
      <c r="AA212" s="48" t="s">
        <v>2543</v>
      </c>
      <c r="AB212" s="48" t="s">
        <v>2486</v>
      </c>
      <c r="AC212" s="48" t="s">
        <v>141</v>
      </c>
      <c r="AD212" s="48" t="s">
        <v>141</v>
      </c>
      <c r="AE212" s="48" t="s">
        <v>332</v>
      </c>
      <c r="AF212" s="48" t="s">
        <v>2486</v>
      </c>
      <c r="AG212" s="48" t="s">
        <v>2486</v>
      </c>
      <c r="AH212" s="48" t="s">
        <v>2486</v>
      </c>
      <c r="AI212" s="48" t="s">
        <v>2641</v>
      </c>
      <c r="AJ212" s="50" t="s">
        <v>2567</v>
      </c>
      <c r="AK212" s="51" t="s">
        <v>72</v>
      </c>
      <c r="AL212" s="47" t="s">
        <v>71</v>
      </c>
      <c r="AM212" s="47"/>
      <c r="AN212" s="47"/>
      <c r="AO212" s="47"/>
      <c r="AP212" s="7">
        <f>VLOOKUP(B:B,Table3[#All],4,0)</f>
        <v>6500</v>
      </c>
      <c r="AQ212" s="7">
        <f>calcShift1(Таблица1[[#This Row],[Столбец5]:[Столбец36]])</f>
        <v>117</v>
      </c>
      <c r="AR212" s="7">
        <f>calcShift2(Таблица1[[#This Row],[Столбец5]:[Столбец36]])</f>
        <v>32</v>
      </c>
      <c r="AS212" s="7">
        <f>calcShift3(Таблица1[[#This Row],[Столбец5]:[Столбец36]])</f>
        <v>0</v>
      </c>
      <c r="AT212" s="47"/>
      <c r="AU212" s="7">
        <f>calcYavka(Таблица1[[#This Row],[Столбец5]:[Столбец36]])</f>
        <v>19</v>
      </c>
      <c r="AV212" s="52"/>
      <c r="AW212" s="18">
        <f>VLOOKUP(B:B,ДОП_ВСІ!B:AS,44,0)</f>
        <v>0</v>
      </c>
      <c r="AX212" s="7">
        <f>VLOOKUP(B:B,ДОП_ВСІ!B:AQ,42,0)</f>
        <v>0</v>
      </c>
      <c r="AY212" s="7">
        <f>Таблица1[[#This Row],[Столбец47]]*30</f>
        <v>570</v>
      </c>
      <c r="AZ212" s="6">
        <f>((((Таблица1[[#This Row],[Столбец42]]/160)*Таблица1[[#This Row],[Столбец44]])*0.25)*0.35)+((((Таблица1[[#This Row],[Столбец42]]/160)*Таблица1[[#This Row],[Столбец44]])*0.5)*0.2)</f>
        <v>243.75</v>
      </c>
      <c r="BA212" s="47"/>
      <c r="BB212" s="47">
        <f>calcTS(Таблица1[[#This Row],[Столбец5]:[Столбец36]])</f>
        <v>0</v>
      </c>
    </row>
    <row r="213" spans="1:54" x14ac:dyDescent="0.35">
      <c r="A213" s="46" t="s">
        <v>599</v>
      </c>
      <c r="B213" s="47" t="s">
        <v>600</v>
      </c>
      <c r="C213" s="48" t="s">
        <v>601</v>
      </c>
      <c r="D213" s="63" t="s">
        <v>2564</v>
      </c>
      <c r="E213" s="49" t="s">
        <v>2486</v>
      </c>
      <c r="F213" s="48" t="s">
        <v>2486</v>
      </c>
      <c r="G213" s="48" t="s">
        <v>2486</v>
      </c>
      <c r="H213" s="48" t="s">
        <v>2486</v>
      </c>
      <c r="I213" s="48" t="s">
        <v>2486</v>
      </c>
      <c r="J213" s="48" t="s">
        <v>2486</v>
      </c>
      <c r="K213" s="49" t="s">
        <v>2486</v>
      </c>
      <c r="L213" s="48" t="s">
        <v>2486</v>
      </c>
      <c r="M213" s="48" t="s">
        <v>2486</v>
      </c>
      <c r="N213" s="49" t="s">
        <v>2486</v>
      </c>
      <c r="O213" s="49" t="s">
        <v>2486</v>
      </c>
      <c r="P213" s="49" t="s">
        <v>2486</v>
      </c>
      <c r="Q213" s="49" t="s">
        <v>2486</v>
      </c>
      <c r="R213" s="48" t="s">
        <v>2486</v>
      </c>
      <c r="S213" s="48" t="s">
        <v>141</v>
      </c>
      <c r="T213" s="48" t="s">
        <v>2486</v>
      </c>
      <c r="U213" s="48" t="s">
        <v>2486</v>
      </c>
      <c r="V213" s="48" t="s">
        <v>2543</v>
      </c>
      <c r="W213" s="48" t="s">
        <v>2543</v>
      </c>
      <c r="X213" s="48" t="s">
        <v>2543</v>
      </c>
      <c r="Y213" s="48" t="s">
        <v>2543</v>
      </c>
      <c r="Z213" s="48" t="s">
        <v>2543</v>
      </c>
      <c r="AA213" s="48" t="s">
        <v>2543</v>
      </c>
      <c r="AB213" s="48" t="s">
        <v>2486</v>
      </c>
      <c r="AC213" s="48" t="s">
        <v>2543</v>
      </c>
      <c r="AD213" s="48" t="s">
        <v>2543</v>
      </c>
      <c r="AE213" s="48" t="s">
        <v>2570</v>
      </c>
      <c r="AF213" s="48" t="s">
        <v>2486</v>
      </c>
      <c r="AG213" s="48" t="s">
        <v>2486</v>
      </c>
      <c r="AH213" s="48" t="s">
        <v>2486</v>
      </c>
      <c r="AI213" s="48" t="s">
        <v>2589</v>
      </c>
      <c r="AJ213" s="50" t="s">
        <v>2589</v>
      </c>
      <c r="AK213" s="51" t="s">
        <v>55</v>
      </c>
      <c r="AL213" s="47" t="s">
        <v>54</v>
      </c>
      <c r="AM213" s="47"/>
      <c r="AN213" s="47"/>
      <c r="AO213" s="47"/>
      <c r="AP213" s="7">
        <f>VLOOKUP(B:B,Table3[#All],4,0)</f>
        <v>4200</v>
      </c>
      <c r="AQ213" s="7">
        <f>calcShift1(Таблица1[[#This Row],[Столбец5]:[Столбец36]])</f>
        <v>79</v>
      </c>
      <c r="AR213" s="7">
        <f>calcShift2(Таблица1[[#This Row],[Столбец5]:[Столбец36]])</f>
        <v>0</v>
      </c>
      <c r="AS213" s="7">
        <f>calcShift3(Таблица1[[#This Row],[Столбец5]:[Столбец36]])</f>
        <v>0</v>
      </c>
      <c r="AT213" s="47"/>
      <c r="AU213" s="7">
        <f>calcYavka(Таблица1[[#This Row],[Столбец5]:[Столбец36]])</f>
        <v>10</v>
      </c>
      <c r="AV213" s="52"/>
      <c r="AW213" s="18">
        <f>VLOOKUP(B:B,ДОП_ВСІ!B:AS,44,0)</f>
        <v>420</v>
      </c>
      <c r="AX213" s="7">
        <f>VLOOKUP(B:B,ДОП_ВСІ!B:AQ,42,0)</f>
        <v>0</v>
      </c>
      <c r="AY213" s="7">
        <f>Таблица1[[#This Row],[Столбец47]]*30</f>
        <v>300</v>
      </c>
      <c r="AZ213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213" s="47"/>
      <c r="BB213" s="47">
        <f>calcTS(Таблица1[[#This Row],[Столбец5]:[Столбец36]])</f>
        <v>0</v>
      </c>
    </row>
    <row r="214" spans="1:54" x14ac:dyDescent="0.35">
      <c r="A214" s="46" t="s">
        <v>603</v>
      </c>
      <c r="B214" s="47" t="s">
        <v>604</v>
      </c>
      <c r="C214" s="48" t="s">
        <v>605</v>
      </c>
      <c r="D214" s="63" t="s">
        <v>2564</v>
      </c>
      <c r="E214" s="49" t="s">
        <v>141</v>
      </c>
      <c r="F214" s="48" t="s">
        <v>2486</v>
      </c>
      <c r="G214" s="48" t="s">
        <v>2486</v>
      </c>
      <c r="H214" s="48" t="s">
        <v>141</v>
      </c>
      <c r="I214" s="48" t="s">
        <v>141</v>
      </c>
      <c r="J214" s="48" t="s">
        <v>141</v>
      </c>
      <c r="K214" s="49" t="s">
        <v>141</v>
      </c>
      <c r="L214" s="48" t="s">
        <v>141</v>
      </c>
      <c r="M214" s="48" t="s">
        <v>2486</v>
      </c>
      <c r="N214" s="49" t="s">
        <v>2486</v>
      </c>
      <c r="O214" s="49" t="s">
        <v>141</v>
      </c>
      <c r="P214" s="49" t="s">
        <v>141</v>
      </c>
      <c r="Q214" s="49" t="s">
        <v>141</v>
      </c>
      <c r="R214" s="48" t="s">
        <v>141</v>
      </c>
      <c r="S214" s="48" t="s">
        <v>141</v>
      </c>
      <c r="T214" s="48" t="s">
        <v>2486</v>
      </c>
      <c r="U214" s="48" t="s">
        <v>2486</v>
      </c>
      <c r="V214" s="48" t="s">
        <v>141</v>
      </c>
      <c r="W214" s="48" t="s">
        <v>141</v>
      </c>
      <c r="X214" s="48" t="s">
        <v>141</v>
      </c>
      <c r="Y214" s="48" t="s">
        <v>141</v>
      </c>
      <c r="Z214" s="48" t="s">
        <v>2543</v>
      </c>
      <c r="AA214" s="48" t="s">
        <v>2543</v>
      </c>
      <c r="AB214" s="48" t="s">
        <v>2486</v>
      </c>
      <c r="AC214" s="48" t="s">
        <v>2501</v>
      </c>
      <c r="AD214" s="48" t="s">
        <v>2501</v>
      </c>
      <c r="AE214" s="48" t="s">
        <v>2501</v>
      </c>
      <c r="AF214" s="48" t="s">
        <v>2501</v>
      </c>
      <c r="AG214" s="48" t="s">
        <v>2501</v>
      </c>
      <c r="AH214" s="48" t="s">
        <v>2501</v>
      </c>
      <c r="AI214" s="48" t="s">
        <v>2586</v>
      </c>
      <c r="AJ214" s="50" t="s">
        <v>2567</v>
      </c>
      <c r="AK214" s="51" t="s">
        <v>52</v>
      </c>
      <c r="AL214" s="47" t="s">
        <v>69</v>
      </c>
      <c r="AM214" s="47"/>
      <c r="AN214" s="47"/>
      <c r="AO214" s="47"/>
      <c r="AP214" s="7">
        <f>VLOOKUP(B:B,Table3[#All],4,0)</f>
        <v>4200</v>
      </c>
      <c r="AQ214" s="7">
        <f>calcShift1(Таблица1[[#This Row],[Столбец5]:[Столбец36]])</f>
        <v>135.99999999999997</v>
      </c>
      <c r="AR214" s="7">
        <f>calcShift2(Таблица1[[#This Row],[Столбец5]:[Столбец36]])</f>
        <v>0</v>
      </c>
      <c r="AS214" s="7">
        <f>calcShift3(Таблица1[[#This Row],[Столбец5]:[Столбец36]])</f>
        <v>0</v>
      </c>
      <c r="AT214" s="47"/>
      <c r="AU214" s="7">
        <f>calcYavka(Таблица1[[#This Row],[Столбец5]:[Столбец36]])</f>
        <v>17</v>
      </c>
      <c r="AV214" s="52"/>
      <c r="AW214" s="18">
        <f>VLOOKUP(B:B,ДОП_ВСІ!B:AS,44,0)</f>
        <v>0</v>
      </c>
      <c r="AX214" s="7">
        <f>VLOOKUP(B:B,ДОП_ВСІ!B:AQ,42,0)</f>
        <v>0</v>
      </c>
      <c r="AY214" s="7">
        <f>Таблица1[[#This Row],[Столбец47]]*30</f>
        <v>510</v>
      </c>
      <c r="AZ214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214" s="47"/>
      <c r="BB214" s="47">
        <f>calcTS(Таблица1[[#This Row],[Столбец5]:[Столбец36]])</f>
        <v>0</v>
      </c>
    </row>
    <row r="215" spans="1:54" ht="42" x14ac:dyDescent="0.35">
      <c r="A215" s="46" t="s">
        <v>2480</v>
      </c>
      <c r="B215" s="47" t="s">
        <v>2481</v>
      </c>
      <c r="C215" s="48" t="s">
        <v>605</v>
      </c>
      <c r="D215" s="63" t="s">
        <v>2564</v>
      </c>
      <c r="E215" s="49" t="s">
        <v>141</v>
      </c>
      <c r="F215" s="48" t="s">
        <v>2486</v>
      </c>
      <c r="G215" s="48" t="s">
        <v>2486</v>
      </c>
      <c r="H215" s="48" t="s">
        <v>2543</v>
      </c>
      <c r="I215" s="48" t="s">
        <v>2543</v>
      </c>
      <c r="J215" s="48" t="s">
        <v>2543</v>
      </c>
      <c r="K215" s="49" t="s">
        <v>2543</v>
      </c>
      <c r="L215" s="48" t="s">
        <v>2543</v>
      </c>
      <c r="M215" s="48" t="s">
        <v>2486</v>
      </c>
      <c r="N215" s="49" t="s">
        <v>2486</v>
      </c>
      <c r="O215" s="49" t="s">
        <v>2543</v>
      </c>
      <c r="P215" s="49" t="s">
        <v>2543</v>
      </c>
      <c r="Q215" s="49" t="s">
        <v>2543</v>
      </c>
      <c r="R215" s="48" t="s">
        <v>2543</v>
      </c>
      <c r="S215" s="48" t="s">
        <v>2486</v>
      </c>
      <c r="T215" s="48" t="s">
        <v>2486</v>
      </c>
      <c r="U215" s="48" t="s">
        <v>2486</v>
      </c>
      <c r="V215" s="48" t="s">
        <v>2486</v>
      </c>
      <c r="W215" s="48" t="s">
        <v>2486</v>
      </c>
      <c r="X215" s="48" t="s">
        <v>2486</v>
      </c>
      <c r="Y215" s="48" t="s">
        <v>2486</v>
      </c>
      <c r="Z215" s="48" t="s">
        <v>2486</v>
      </c>
      <c r="AA215" s="48" t="s">
        <v>2486</v>
      </c>
      <c r="AB215" s="48" t="s">
        <v>2486</v>
      </c>
      <c r="AC215" s="48" t="s">
        <v>2486</v>
      </c>
      <c r="AD215" s="48" t="s">
        <v>2486</v>
      </c>
      <c r="AE215" s="48" t="s">
        <v>2486</v>
      </c>
      <c r="AF215" s="48" t="s">
        <v>2486</v>
      </c>
      <c r="AG215" s="48" t="s">
        <v>2486</v>
      </c>
      <c r="AH215" s="48" t="s">
        <v>2486</v>
      </c>
      <c r="AI215" s="48" t="s">
        <v>2642</v>
      </c>
      <c r="AJ215" s="50" t="s">
        <v>2642</v>
      </c>
      <c r="AK215" s="51" t="s">
        <v>55</v>
      </c>
      <c r="AL215" s="47" t="s">
        <v>55</v>
      </c>
      <c r="AM215" s="47"/>
      <c r="AN215" s="47"/>
      <c r="AO215" s="47"/>
      <c r="AP215" s="7">
        <f>VLOOKUP(B:B,Table3[#All],4,0)</f>
        <v>30.13</v>
      </c>
      <c r="AQ215" s="7">
        <f>calcShift1(Таблица1[[#This Row],[Столбец5]:[Столбец36]])</f>
        <v>80</v>
      </c>
      <c r="AR215" s="7">
        <f>calcShift2(Таблица1[[#This Row],[Столбец5]:[Столбец36]])</f>
        <v>0</v>
      </c>
      <c r="AS215" s="7">
        <f>calcShift3(Таблица1[[#This Row],[Столбец5]:[Столбец36]])</f>
        <v>0</v>
      </c>
      <c r="AT215" s="47"/>
      <c r="AU215" s="7">
        <f>calcYavka(Таблица1[[#This Row],[Столбец5]:[Столбец36]])</f>
        <v>10</v>
      </c>
      <c r="AV215" s="52"/>
      <c r="AW215" s="18">
        <f>VLOOKUP(B:B,ДОП_ВСІ!B:AS,44,0)</f>
        <v>0</v>
      </c>
      <c r="AX215" s="7">
        <f>VLOOKUP(B:B,ДОП_ВСІ!B:AQ,42,0)</f>
        <v>0</v>
      </c>
      <c r="AY215" s="7">
        <f>Таблица1[[#This Row],[Столбец47]]*30</f>
        <v>300</v>
      </c>
      <c r="AZ215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215" s="47"/>
      <c r="BB215" s="47">
        <f>calcTS(Таблица1[[#This Row],[Столбец5]:[Столбец36]])</f>
        <v>0</v>
      </c>
    </row>
    <row r="216" spans="1:54" ht="42" x14ac:dyDescent="0.35">
      <c r="A216" s="46" t="s">
        <v>606</v>
      </c>
      <c r="B216" s="47" t="s">
        <v>607</v>
      </c>
      <c r="C216" s="48" t="s">
        <v>605</v>
      </c>
      <c r="D216" s="63" t="s">
        <v>2564</v>
      </c>
      <c r="E216" s="49" t="s">
        <v>2543</v>
      </c>
      <c r="F216" s="48" t="s">
        <v>2486</v>
      </c>
      <c r="G216" s="48" t="s">
        <v>2486</v>
      </c>
      <c r="H216" s="48" t="s">
        <v>135</v>
      </c>
      <c r="I216" s="48" t="s">
        <v>135</v>
      </c>
      <c r="J216" s="48" t="s">
        <v>135</v>
      </c>
      <c r="K216" s="49" t="s">
        <v>135</v>
      </c>
      <c r="L216" s="48" t="s">
        <v>2486</v>
      </c>
      <c r="M216" s="48" t="s">
        <v>2486</v>
      </c>
      <c r="N216" s="49" t="s">
        <v>2543</v>
      </c>
      <c r="O216" s="49" t="s">
        <v>2543</v>
      </c>
      <c r="P216" s="49" t="s">
        <v>2543</v>
      </c>
      <c r="Q216" s="49" t="s">
        <v>2543</v>
      </c>
      <c r="R216" s="48" t="s">
        <v>2486</v>
      </c>
      <c r="S216" s="48" t="s">
        <v>2486</v>
      </c>
      <c r="T216" s="48" t="s">
        <v>135</v>
      </c>
      <c r="U216" s="48" t="s">
        <v>135</v>
      </c>
      <c r="V216" s="48" t="s">
        <v>135</v>
      </c>
      <c r="W216" s="48" t="s">
        <v>135</v>
      </c>
      <c r="X216" s="48" t="s">
        <v>2486</v>
      </c>
      <c r="Y216" s="48" t="s">
        <v>2486</v>
      </c>
      <c r="Z216" s="48" t="s">
        <v>2543</v>
      </c>
      <c r="AA216" s="48" t="s">
        <v>2543</v>
      </c>
      <c r="AB216" s="48" t="s">
        <v>2543</v>
      </c>
      <c r="AC216" s="48" t="s">
        <v>2543</v>
      </c>
      <c r="AD216" s="48" t="s">
        <v>2486</v>
      </c>
      <c r="AE216" s="48" t="s">
        <v>2486</v>
      </c>
      <c r="AF216" s="48" t="s">
        <v>2542</v>
      </c>
      <c r="AG216" s="48" t="s">
        <v>2542</v>
      </c>
      <c r="AH216" s="48" t="s">
        <v>2542</v>
      </c>
      <c r="AI216" s="48" t="s">
        <v>2580</v>
      </c>
      <c r="AJ216" s="50" t="s">
        <v>2580</v>
      </c>
      <c r="AK216" s="51" t="s">
        <v>54</v>
      </c>
      <c r="AL216" s="47" t="s">
        <v>55</v>
      </c>
      <c r="AM216" s="47"/>
      <c r="AN216" s="47"/>
      <c r="AO216" s="47"/>
      <c r="AP216" s="7">
        <f>VLOOKUP(B:B,Table3[#All],4,0)</f>
        <v>4200</v>
      </c>
      <c r="AQ216" s="7">
        <f>calcShift1(Таблица1[[#This Row],[Столбец5]:[Столбец36]])</f>
        <v>72</v>
      </c>
      <c r="AR216" s="7">
        <f>calcShift2(Таблица1[[#This Row],[Столбец5]:[Столбец36]])</f>
        <v>88</v>
      </c>
      <c r="AS216" s="7">
        <f>calcShift3(Таблица1[[#This Row],[Столбец5]:[Столбец36]])</f>
        <v>0</v>
      </c>
      <c r="AT216" s="47"/>
      <c r="AU216" s="7">
        <f>calcYavka(Таблица1[[#This Row],[Столбец5]:[Столбец36]])</f>
        <v>20</v>
      </c>
      <c r="AV216" s="52"/>
      <c r="AW216" s="18">
        <f>VLOOKUP(B:B,ДОП_ВСІ!B:AS,44,0)</f>
        <v>1680</v>
      </c>
      <c r="AX216" s="7">
        <f>VLOOKUP(B:B,ДОП_ВСІ!B:AQ,42,0)</f>
        <v>0</v>
      </c>
      <c r="AY216" s="7">
        <f>Таблица1[[#This Row],[Столбец47]]*30</f>
        <v>600</v>
      </c>
      <c r="AZ216" s="6">
        <f>((((Таблица1[[#This Row],[Столбец42]]/160)*Таблица1[[#This Row],[Столбец44]])*0.25)*0.35)+((((Таблица1[[#This Row],[Столбец42]]/160)*Таблица1[[#This Row],[Столбец44]])*0.5)*0.2)</f>
        <v>433.125</v>
      </c>
      <c r="BA216" s="47"/>
      <c r="BB216" s="47">
        <f>calcTS(Таблица1[[#This Row],[Столбец5]:[Столбец36]])</f>
        <v>0</v>
      </c>
    </row>
    <row r="217" spans="1:54" ht="42" x14ac:dyDescent="0.35">
      <c r="A217" s="46" t="s">
        <v>608</v>
      </c>
      <c r="B217" s="47" t="s">
        <v>609</v>
      </c>
      <c r="C217" s="48" t="s">
        <v>610</v>
      </c>
      <c r="D217" s="63" t="s">
        <v>2564</v>
      </c>
      <c r="E217" s="49" t="s">
        <v>2543</v>
      </c>
      <c r="F217" s="48" t="s">
        <v>2486</v>
      </c>
      <c r="G217" s="48" t="s">
        <v>2486</v>
      </c>
      <c r="H217" s="48" t="s">
        <v>135</v>
      </c>
      <c r="I217" s="48" t="s">
        <v>135</v>
      </c>
      <c r="J217" s="48" t="s">
        <v>135</v>
      </c>
      <c r="K217" s="49" t="s">
        <v>135</v>
      </c>
      <c r="L217" s="48" t="s">
        <v>2486</v>
      </c>
      <c r="M217" s="48" t="s">
        <v>2486</v>
      </c>
      <c r="N217" s="49" t="s">
        <v>2543</v>
      </c>
      <c r="O217" s="49" t="s">
        <v>2543</v>
      </c>
      <c r="P217" s="49" t="s">
        <v>2543</v>
      </c>
      <c r="Q217" s="49" t="s">
        <v>2543</v>
      </c>
      <c r="R217" s="48" t="s">
        <v>2486</v>
      </c>
      <c r="S217" s="48" t="s">
        <v>2486</v>
      </c>
      <c r="T217" s="48" t="s">
        <v>135</v>
      </c>
      <c r="U217" s="48" t="s">
        <v>135</v>
      </c>
      <c r="V217" s="48" t="s">
        <v>135</v>
      </c>
      <c r="W217" s="48" t="s">
        <v>135</v>
      </c>
      <c r="X217" s="48" t="s">
        <v>2486</v>
      </c>
      <c r="Y217" s="48" t="s">
        <v>2486</v>
      </c>
      <c r="Z217" s="48" t="s">
        <v>2543</v>
      </c>
      <c r="AA217" s="48" t="s">
        <v>2543</v>
      </c>
      <c r="AB217" s="48" t="s">
        <v>2543</v>
      </c>
      <c r="AC217" s="48" t="s">
        <v>2543</v>
      </c>
      <c r="AD217" s="48" t="s">
        <v>2486</v>
      </c>
      <c r="AE217" s="48" t="s">
        <v>2486</v>
      </c>
      <c r="AF217" s="48" t="s">
        <v>2542</v>
      </c>
      <c r="AG217" s="48" t="s">
        <v>2542</v>
      </c>
      <c r="AH217" s="48" t="s">
        <v>2542</v>
      </c>
      <c r="AI217" s="48" t="s">
        <v>2580</v>
      </c>
      <c r="AJ217" s="50" t="s">
        <v>2580</v>
      </c>
      <c r="AK217" s="51" t="s">
        <v>54</v>
      </c>
      <c r="AL217" s="47" t="s">
        <v>55</v>
      </c>
      <c r="AM217" s="47"/>
      <c r="AN217" s="47"/>
      <c r="AO217" s="47"/>
      <c r="AP217" s="7">
        <f>VLOOKUP(B:B,Table3[#All],4,0)</f>
        <v>4200</v>
      </c>
      <c r="AQ217" s="7">
        <f>calcShift1(Таблица1[[#This Row],[Столбец5]:[Столбец36]])</f>
        <v>72</v>
      </c>
      <c r="AR217" s="7">
        <f>calcShift2(Таблица1[[#This Row],[Столбец5]:[Столбец36]])</f>
        <v>88</v>
      </c>
      <c r="AS217" s="7">
        <f>calcShift3(Таблица1[[#This Row],[Столбец5]:[Столбец36]])</f>
        <v>0</v>
      </c>
      <c r="AT217" s="47"/>
      <c r="AU217" s="7">
        <f>calcYavka(Таблица1[[#This Row],[Столбец5]:[Столбец36]])</f>
        <v>20</v>
      </c>
      <c r="AV217" s="52"/>
      <c r="AW217" s="18">
        <f>VLOOKUP(B:B,ДОП_ВСІ!B:AS,44,0)</f>
        <v>1260</v>
      </c>
      <c r="AX217" s="7">
        <f>VLOOKUP(B:B,ДОП_ВСІ!B:AQ,42,0)</f>
        <v>0</v>
      </c>
      <c r="AY217" s="7">
        <f>Таблица1[[#This Row],[Столбец47]]*30</f>
        <v>600</v>
      </c>
      <c r="AZ217" s="6">
        <f>((((Таблица1[[#This Row],[Столбец42]]/160)*Таблица1[[#This Row],[Столбец44]])*0.25)*0.35)+((((Таблица1[[#This Row],[Столбец42]]/160)*Таблица1[[#This Row],[Столбец44]])*0.5)*0.2)</f>
        <v>433.125</v>
      </c>
      <c r="BA217" s="47"/>
      <c r="BB217" s="47">
        <f>calcTS(Таблица1[[#This Row],[Столбец5]:[Столбец36]])</f>
        <v>0</v>
      </c>
    </row>
    <row r="218" spans="1:54" ht="42" x14ac:dyDescent="0.35">
      <c r="A218" s="46" t="s">
        <v>611</v>
      </c>
      <c r="B218" s="47" t="s">
        <v>612</v>
      </c>
      <c r="C218" s="48" t="s">
        <v>605</v>
      </c>
      <c r="D218" s="63" t="s">
        <v>2564</v>
      </c>
      <c r="E218" s="49" t="s">
        <v>2543</v>
      </c>
      <c r="F218" s="48" t="s">
        <v>2486</v>
      </c>
      <c r="G218" s="48" t="s">
        <v>2486</v>
      </c>
      <c r="H218" s="48" t="s">
        <v>135</v>
      </c>
      <c r="I218" s="48" t="s">
        <v>135</v>
      </c>
      <c r="J218" s="48" t="s">
        <v>135</v>
      </c>
      <c r="K218" s="49" t="s">
        <v>135</v>
      </c>
      <c r="L218" s="48" t="s">
        <v>2486</v>
      </c>
      <c r="M218" s="48" t="s">
        <v>2486</v>
      </c>
      <c r="N218" s="49" t="s">
        <v>2543</v>
      </c>
      <c r="O218" s="49" t="s">
        <v>2543</v>
      </c>
      <c r="P218" s="49" t="s">
        <v>2543</v>
      </c>
      <c r="Q218" s="49" t="s">
        <v>2543</v>
      </c>
      <c r="R218" s="48" t="s">
        <v>2486</v>
      </c>
      <c r="S218" s="48" t="s">
        <v>2486</v>
      </c>
      <c r="T218" s="48" t="s">
        <v>135</v>
      </c>
      <c r="U218" s="48" t="s">
        <v>135</v>
      </c>
      <c r="V218" s="48" t="s">
        <v>135</v>
      </c>
      <c r="W218" s="48" t="s">
        <v>135</v>
      </c>
      <c r="X218" s="48" t="s">
        <v>2486</v>
      </c>
      <c r="Y218" s="48" t="s">
        <v>2486</v>
      </c>
      <c r="Z218" s="48" t="s">
        <v>2543</v>
      </c>
      <c r="AA218" s="48" t="s">
        <v>2543</v>
      </c>
      <c r="AB218" s="48" t="s">
        <v>2543</v>
      </c>
      <c r="AC218" s="48" t="s">
        <v>2543</v>
      </c>
      <c r="AD218" s="48" t="s">
        <v>2486</v>
      </c>
      <c r="AE218" s="48" t="s">
        <v>2486</v>
      </c>
      <c r="AF218" s="48" t="s">
        <v>2542</v>
      </c>
      <c r="AG218" s="48" t="s">
        <v>2542</v>
      </c>
      <c r="AH218" s="48" t="s">
        <v>2542</v>
      </c>
      <c r="AI218" s="48" t="s">
        <v>2580</v>
      </c>
      <c r="AJ218" s="50" t="s">
        <v>2580</v>
      </c>
      <c r="AK218" s="51" t="s">
        <v>54</v>
      </c>
      <c r="AL218" s="47" t="s">
        <v>55</v>
      </c>
      <c r="AM218" s="47"/>
      <c r="AN218" s="47"/>
      <c r="AO218" s="47"/>
      <c r="AP218" s="7">
        <f>VLOOKUP(B:B,Table3[#All],4,0)</f>
        <v>4200</v>
      </c>
      <c r="AQ218" s="7">
        <f>calcShift1(Таблица1[[#This Row],[Столбец5]:[Столбец36]])</f>
        <v>72</v>
      </c>
      <c r="AR218" s="7">
        <f>calcShift2(Таблица1[[#This Row],[Столбец5]:[Столбец36]])</f>
        <v>88</v>
      </c>
      <c r="AS218" s="7">
        <f>calcShift3(Таблица1[[#This Row],[Столбец5]:[Столбец36]])</f>
        <v>0</v>
      </c>
      <c r="AT218" s="47"/>
      <c r="AU218" s="7">
        <f>calcYavka(Таблица1[[#This Row],[Столбец5]:[Столбец36]])</f>
        <v>20</v>
      </c>
      <c r="AV218" s="52"/>
      <c r="AW218" s="18">
        <f>VLOOKUP(B:B,ДОП_ВСІ!B:AS,44,0)</f>
        <v>2100</v>
      </c>
      <c r="AX218" s="7">
        <f>VLOOKUP(B:B,ДОП_ВСІ!B:AQ,42,0)</f>
        <v>0</v>
      </c>
      <c r="AY218" s="7">
        <f>Таблица1[[#This Row],[Столбец47]]*30</f>
        <v>600</v>
      </c>
      <c r="AZ218" s="6">
        <f>((((Таблица1[[#This Row],[Столбец42]]/160)*Таблица1[[#This Row],[Столбец44]])*0.25)*0.35)+((((Таблица1[[#This Row],[Столбец42]]/160)*Таблица1[[#This Row],[Столбец44]])*0.5)*0.2)</f>
        <v>433.125</v>
      </c>
      <c r="BA218" s="47"/>
      <c r="BB218" s="47">
        <f>calcTS(Таблица1[[#This Row],[Столбец5]:[Столбец36]])</f>
        <v>0</v>
      </c>
    </row>
    <row r="219" spans="1:54" ht="42" x14ac:dyDescent="0.35">
      <c r="A219" s="46" t="s">
        <v>613</v>
      </c>
      <c r="B219" s="47" t="s">
        <v>614</v>
      </c>
      <c r="C219" s="48" t="s">
        <v>610</v>
      </c>
      <c r="D219" s="63" t="s">
        <v>2564</v>
      </c>
      <c r="E219" s="49" t="s">
        <v>2543</v>
      </c>
      <c r="F219" s="48" t="s">
        <v>2486</v>
      </c>
      <c r="G219" s="48" t="s">
        <v>2486</v>
      </c>
      <c r="H219" s="48" t="s">
        <v>135</v>
      </c>
      <c r="I219" s="48" t="s">
        <v>135</v>
      </c>
      <c r="J219" s="48" t="s">
        <v>135</v>
      </c>
      <c r="K219" s="49" t="s">
        <v>135</v>
      </c>
      <c r="L219" s="48" t="s">
        <v>2486</v>
      </c>
      <c r="M219" s="48" t="s">
        <v>2486</v>
      </c>
      <c r="N219" s="49" t="s">
        <v>2543</v>
      </c>
      <c r="O219" s="49" t="s">
        <v>2543</v>
      </c>
      <c r="P219" s="49" t="s">
        <v>2543</v>
      </c>
      <c r="Q219" s="49" t="s">
        <v>2543</v>
      </c>
      <c r="R219" s="48" t="s">
        <v>2486</v>
      </c>
      <c r="S219" s="48" t="s">
        <v>2486</v>
      </c>
      <c r="T219" s="48" t="s">
        <v>135</v>
      </c>
      <c r="U219" s="48" t="s">
        <v>135</v>
      </c>
      <c r="V219" s="48" t="s">
        <v>135</v>
      </c>
      <c r="W219" s="48" t="s">
        <v>135</v>
      </c>
      <c r="X219" s="48" t="s">
        <v>2486</v>
      </c>
      <c r="Y219" s="48" t="s">
        <v>2486</v>
      </c>
      <c r="Z219" s="48" t="s">
        <v>2543</v>
      </c>
      <c r="AA219" s="48" t="s">
        <v>2543</v>
      </c>
      <c r="AB219" s="48" t="s">
        <v>2543</v>
      </c>
      <c r="AC219" s="48" t="s">
        <v>2543</v>
      </c>
      <c r="AD219" s="48" t="s">
        <v>2486</v>
      </c>
      <c r="AE219" s="48" t="s">
        <v>2486</v>
      </c>
      <c r="AF219" s="48" t="s">
        <v>2542</v>
      </c>
      <c r="AG219" s="48" t="s">
        <v>2542</v>
      </c>
      <c r="AH219" s="48" t="s">
        <v>2542</v>
      </c>
      <c r="AI219" s="48" t="s">
        <v>2580</v>
      </c>
      <c r="AJ219" s="50" t="s">
        <v>2580</v>
      </c>
      <c r="AK219" s="51" t="s">
        <v>54</v>
      </c>
      <c r="AL219" s="47" t="s">
        <v>55</v>
      </c>
      <c r="AM219" s="47"/>
      <c r="AN219" s="47"/>
      <c r="AO219" s="47"/>
      <c r="AP219" s="7">
        <f>VLOOKUP(B:B,Table3[#All],4,0)</f>
        <v>4200</v>
      </c>
      <c r="AQ219" s="7">
        <f>calcShift1(Таблица1[[#This Row],[Столбец5]:[Столбец36]])</f>
        <v>72</v>
      </c>
      <c r="AR219" s="7">
        <f>calcShift2(Таблица1[[#This Row],[Столбец5]:[Столбец36]])</f>
        <v>88</v>
      </c>
      <c r="AS219" s="7">
        <f>calcShift3(Таблица1[[#This Row],[Столбец5]:[Столбец36]])</f>
        <v>0</v>
      </c>
      <c r="AT219" s="47"/>
      <c r="AU219" s="7">
        <f>calcYavka(Таблица1[[#This Row],[Столбец5]:[Столбец36]])</f>
        <v>20</v>
      </c>
      <c r="AV219" s="52"/>
      <c r="AW219" s="18">
        <f>VLOOKUP(B:B,ДОП_ВСІ!B:AS,44,0)</f>
        <v>1260</v>
      </c>
      <c r="AX219" s="7">
        <f>VLOOKUP(B:B,ДОП_ВСІ!B:AQ,42,0)</f>
        <v>0</v>
      </c>
      <c r="AY219" s="7">
        <f>Таблица1[[#This Row],[Столбец47]]*30</f>
        <v>600</v>
      </c>
      <c r="AZ219" s="6">
        <f>((((Таблица1[[#This Row],[Столбец42]]/160)*Таблица1[[#This Row],[Столбец44]])*0.25)*0.35)+((((Таблица1[[#This Row],[Столбец42]]/160)*Таблица1[[#This Row],[Столбец44]])*0.5)*0.2)</f>
        <v>433.125</v>
      </c>
      <c r="BA219" s="47"/>
      <c r="BB219" s="47">
        <f>calcTS(Таблица1[[#This Row],[Столбец5]:[Столбец36]])</f>
        <v>0</v>
      </c>
    </row>
    <row r="220" spans="1:54" ht="42" x14ac:dyDescent="0.35">
      <c r="A220" s="46" t="s">
        <v>615</v>
      </c>
      <c r="B220" s="47" t="s">
        <v>616</v>
      </c>
      <c r="C220" s="48" t="s">
        <v>610</v>
      </c>
      <c r="D220" s="63" t="s">
        <v>2564</v>
      </c>
      <c r="E220" s="49" t="s">
        <v>2543</v>
      </c>
      <c r="F220" s="48" t="s">
        <v>2486</v>
      </c>
      <c r="G220" s="48" t="s">
        <v>2486</v>
      </c>
      <c r="H220" s="48" t="s">
        <v>135</v>
      </c>
      <c r="I220" s="48" t="s">
        <v>135</v>
      </c>
      <c r="J220" s="48" t="s">
        <v>135</v>
      </c>
      <c r="K220" s="49" t="s">
        <v>135</v>
      </c>
      <c r="L220" s="48" t="s">
        <v>2486</v>
      </c>
      <c r="M220" s="48" t="s">
        <v>2486</v>
      </c>
      <c r="N220" s="49" t="s">
        <v>2543</v>
      </c>
      <c r="O220" s="49" t="s">
        <v>2543</v>
      </c>
      <c r="P220" s="49" t="s">
        <v>2543</v>
      </c>
      <c r="Q220" s="49" t="s">
        <v>2543</v>
      </c>
      <c r="R220" s="48" t="s">
        <v>2486</v>
      </c>
      <c r="S220" s="48" t="s">
        <v>2486</v>
      </c>
      <c r="T220" s="48" t="s">
        <v>135</v>
      </c>
      <c r="U220" s="48" t="s">
        <v>135</v>
      </c>
      <c r="V220" s="48" t="s">
        <v>135</v>
      </c>
      <c r="W220" s="48" t="s">
        <v>135</v>
      </c>
      <c r="X220" s="48" t="s">
        <v>2486</v>
      </c>
      <c r="Y220" s="48" t="s">
        <v>2486</v>
      </c>
      <c r="Z220" s="48" t="s">
        <v>2543</v>
      </c>
      <c r="AA220" s="48" t="s">
        <v>2543</v>
      </c>
      <c r="AB220" s="48" t="s">
        <v>2543</v>
      </c>
      <c r="AC220" s="48" t="s">
        <v>2543</v>
      </c>
      <c r="AD220" s="48" t="s">
        <v>2486</v>
      </c>
      <c r="AE220" s="48" t="s">
        <v>2486</v>
      </c>
      <c r="AF220" s="48" t="s">
        <v>2542</v>
      </c>
      <c r="AG220" s="48" t="s">
        <v>2542</v>
      </c>
      <c r="AH220" s="48" t="s">
        <v>2542</v>
      </c>
      <c r="AI220" s="48" t="s">
        <v>2580</v>
      </c>
      <c r="AJ220" s="50" t="s">
        <v>2580</v>
      </c>
      <c r="AK220" s="51" t="s">
        <v>54</v>
      </c>
      <c r="AL220" s="47" t="s">
        <v>55</v>
      </c>
      <c r="AM220" s="47"/>
      <c r="AN220" s="47"/>
      <c r="AO220" s="47"/>
      <c r="AP220" s="7">
        <f>VLOOKUP(B:B,Table3[#All],4,0)</f>
        <v>4200</v>
      </c>
      <c r="AQ220" s="7">
        <f>calcShift1(Таблица1[[#This Row],[Столбец5]:[Столбец36]])</f>
        <v>72</v>
      </c>
      <c r="AR220" s="7">
        <f>calcShift2(Таблица1[[#This Row],[Столбец5]:[Столбец36]])</f>
        <v>88</v>
      </c>
      <c r="AS220" s="7">
        <f>calcShift3(Таблица1[[#This Row],[Столбец5]:[Столбец36]])</f>
        <v>0</v>
      </c>
      <c r="AT220" s="47"/>
      <c r="AU220" s="7">
        <f>calcYavka(Таблица1[[#This Row],[Столбец5]:[Столбец36]])</f>
        <v>20</v>
      </c>
      <c r="AV220" s="52"/>
      <c r="AW220" s="18">
        <f>VLOOKUP(B:B,ДОП_ВСІ!B:AS,44,0)</f>
        <v>1260</v>
      </c>
      <c r="AX220" s="7">
        <f>VLOOKUP(B:B,ДОП_ВСІ!B:AQ,42,0)</f>
        <v>0</v>
      </c>
      <c r="AY220" s="7">
        <f>Таблица1[[#This Row],[Столбец47]]*30</f>
        <v>600</v>
      </c>
      <c r="AZ220" s="6">
        <f>((((Таблица1[[#This Row],[Столбец42]]/160)*Таблица1[[#This Row],[Столбец44]])*0.25)*0.35)+((((Таблица1[[#This Row],[Столбец42]]/160)*Таблица1[[#This Row],[Столбец44]])*0.5)*0.2)</f>
        <v>433.125</v>
      </c>
      <c r="BA220" s="47"/>
      <c r="BB220" s="47">
        <f>calcTS(Таблица1[[#This Row],[Столбец5]:[Столбец36]])</f>
        <v>0</v>
      </c>
    </row>
    <row r="221" spans="1:54" ht="42" x14ac:dyDescent="0.35">
      <c r="A221" s="46" t="s">
        <v>617</v>
      </c>
      <c r="B221" s="47" t="s">
        <v>618</v>
      </c>
      <c r="C221" s="48" t="s">
        <v>605</v>
      </c>
      <c r="D221" s="63" t="s">
        <v>2564</v>
      </c>
      <c r="E221" s="49" t="s">
        <v>2486</v>
      </c>
      <c r="F221" s="48" t="s">
        <v>2543</v>
      </c>
      <c r="G221" s="48" t="s">
        <v>2543</v>
      </c>
      <c r="H221" s="48" t="s">
        <v>2543</v>
      </c>
      <c r="I221" s="48" t="s">
        <v>2543</v>
      </c>
      <c r="J221" s="48" t="s">
        <v>2486</v>
      </c>
      <c r="K221" s="49" t="s">
        <v>2486</v>
      </c>
      <c r="L221" s="48" t="s">
        <v>2542</v>
      </c>
      <c r="M221" s="48" t="s">
        <v>2542</v>
      </c>
      <c r="N221" s="49" t="s">
        <v>2542</v>
      </c>
      <c r="O221" s="49" t="s">
        <v>2542</v>
      </c>
      <c r="P221" s="49" t="s">
        <v>2486</v>
      </c>
      <c r="Q221" s="49" t="s">
        <v>2486</v>
      </c>
      <c r="R221" s="48" t="s">
        <v>2543</v>
      </c>
      <c r="S221" s="48" t="s">
        <v>2543</v>
      </c>
      <c r="T221" s="48" t="s">
        <v>2543</v>
      </c>
      <c r="U221" s="48" t="s">
        <v>2543</v>
      </c>
      <c r="V221" s="48" t="s">
        <v>2486</v>
      </c>
      <c r="W221" s="48" t="s">
        <v>2486</v>
      </c>
      <c r="X221" s="48" t="s">
        <v>2542</v>
      </c>
      <c r="Y221" s="48" t="s">
        <v>2542</v>
      </c>
      <c r="Z221" s="48" t="s">
        <v>2542</v>
      </c>
      <c r="AA221" s="48" t="s">
        <v>2542</v>
      </c>
      <c r="AB221" s="48" t="s">
        <v>2486</v>
      </c>
      <c r="AC221" s="48" t="s">
        <v>2486</v>
      </c>
      <c r="AD221" s="48" t="s">
        <v>2543</v>
      </c>
      <c r="AE221" s="48" t="s">
        <v>2543</v>
      </c>
      <c r="AF221" s="48" t="s">
        <v>2543</v>
      </c>
      <c r="AG221" s="48" t="s">
        <v>2543</v>
      </c>
      <c r="AH221" s="48" t="s">
        <v>2486</v>
      </c>
      <c r="AI221" s="48" t="s">
        <v>2580</v>
      </c>
      <c r="AJ221" s="50" t="s">
        <v>2580</v>
      </c>
      <c r="AK221" s="51" t="s">
        <v>54</v>
      </c>
      <c r="AL221" s="47" t="s">
        <v>55</v>
      </c>
      <c r="AM221" s="47"/>
      <c r="AN221" s="47"/>
      <c r="AO221" s="47"/>
      <c r="AP221" s="7">
        <f>VLOOKUP(B:B,Table3[#All],4,0)</f>
        <v>4200</v>
      </c>
      <c r="AQ221" s="7">
        <f>calcShift1(Таблица1[[#This Row],[Столбец5]:[Столбец36]])</f>
        <v>96</v>
      </c>
      <c r="AR221" s="7">
        <f>calcShift2(Таблица1[[#This Row],[Столбец5]:[Столбец36]])</f>
        <v>64</v>
      </c>
      <c r="AS221" s="7">
        <f>calcShift3(Таблица1[[#This Row],[Столбец5]:[Столбец36]])</f>
        <v>0</v>
      </c>
      <c r="AT221" s="47"/>
      <c r="AU221" s="7">
        <f>calcYavka(Таблица1[[#This Row],[Столбец5]:[Столбец36]])</f>
        <v>20</v>
      </c>
      <c r="AV221" s="52"/>
      <c r="AW221" s="18">
        <f>VLOOKUP(B:B,ДОП_ВСІ!B:AS,44,0)</f>
        <v>420</v>
      </c>
      <c r="AX221" s="7">
        <f>VLOOKUP(B:B,ДОП_ВСІ!B:AQ,42,0)</f>
        <v>0</v>
      </c>
      <c r="AY221" s="7">
        <f>Таблица1[[#This Row],[Столбец47]]*30</f>
        <v>600</v>
      </c>
      <c r="AZ221" s="6">
        <f>((((Таблица1[[#This Row],[Столбец42]]/160)*Таблица1[[#This Row],[Столбец44]])*0.25)*0.35)+((((Таблица1[[#This Row],[Столбец42]]/160)*Таблица1[[#This Row],[Столбец44]])*0.5)*0.2)</f>
        <v>315</v>
      </c>
      <c r="BA221" s="47"/>
      <c r="BB221" s="47">
        <f>calcTS(Таблица1[[#This Row],[Столбец5]:[Столбец36]])</f>
        <v>0</v>
      </c>
    </row>
    <row r="222" spans="1:54" ht="42" x14ac:dyDescent="0.35">
      <c r="A222" s="46" t="s">
        <v>619</v>
      </c>
      <c r="B222" s="47" t="s">
        <v>620</v>
      </c>
      <c r="C222" s="48" t="s">
        <v>610</v>
      </c>
      <c r="D222" s="63" t="s">
        <v>2564</v>
      </c>
      <c r="E222" s="49" t="s">
        <v>2501</v>
      </c>
      <c r="F222" s="48" t="s">
        <v>2501</v>
      </c>
      <c r="G222" s="48" t="s">
        <v>2501</v>
      </c>
      <c r="H222" s="48" t="s">
        <v>2501</v>
      </c>
      <c r="I222" s="48" t="s">
        <v>2501</v>
      </c>
      <c r="J222" s="48" t="s">
        <v>2501</v>
      </c>
      <c r="K222" s="49" t="s">
        <v>2501</v>
      </c>
      <c r="L222" s="48" t="s">
        <v>2542</v>
      </c>
      <c r="M222" s="48" t="s">
        <v>2542</v>
      </c>
      <c r="N222" s="49" t="s">
        <v>2542</v>
      </c>
      <c r="O222" s="49" t="s">
        <v>2542</v>
      </c>
      <c r="P222" s="49" t="s">
        <v>2486</v>
      </c>
      <c r="Q222" s="49" t="s">
        <v>2486</v>
      </c>
      <c r="R222" s="48" t="s">
        <v>2543</v>
      </c>
      <c r="S222" s="48" t="s">
        <v>2543</v>
      </c>
      <c r="T222" s="48" t="s">
        <v>2543</v>
      </c>
      <c r="U222" s="48" t="s">
        <v>2543</v>
      </c>
      <c r="V222" s="48" t="s">
        <v>2486</v>
      </c>
      <c r="W222" s="48" t="s">
        <v>2486</v>
      </c>
      <c r="X222" s="48" t="s">
        <v>2542</v>
      </c>
      <c r="Y222" s="48" t="s">
        <v>2542</v>
      </c>
      <c r="Z222" s="48" t="s">
        <v>2542</v>
      </c>
      <c r="AA222" s="48" t="s">
        <v>2542</v>
      </c>
      <c r="AB222" s="48" t="s">
        <v>2486</v>
      </c>
      <c r="AC222" s="48" t="s">
        <v>2486</v>
      </c>
      <c r="AD222" s="48" t="s">
        <v>2543</v>
      </c>
      <c r="AE222" s="48" t="s">
        <v>2543</v>
      </c>
      <c r="AF222" s="48" t="s">
        <v>2543</v>
      </c>
      <c r="AG222" s="48" t="s">
        <v>2543</v>
      </c>
      <c r="AH222" s="48" t="s">
        <v>2486</v>
      </c>
      <c r="AI222" s="48" t="s">
        <v>2578</v>
      </c>
      <c r="AJ222" s="50" t="s">
        <v>2580</v>
      </c>
      <c r="AK222" s="51" t="s">
        <v>76</v>
      </c>
      <c r="AL222" s="47" t="s">
        <v>74</v>
      </c>
      <c r="AM222" s="47"/>
      <c r="AN222" s="47"/>
      <c r="AO222" s="47"/>
      <c r="AP222" s="7">
        <f>VLOOKUP(B:B,Table3[#All],4,0)</f>
        <v>4200</v>
      </c>
      <c r="AQ222" s="7">
        <f>calcShift1(Таблица1[[#This Row],[Столбец5]:[Столбец36]])</f>
        <v>64</v>
      </c>
      <c r="AR222" s="7">
        <f>calcShift2(Таблица1[[#This Row],[Столбец5]:[Столбец36]])</f>
        <v>64</v>
      </c>
      <c r="AS222" s="7">
        <f>calcShift3(Таблица1[[#This Row],[Столбец5]:[Столбец36]])</f>
        <v>0</v>
      </c>
      <c r="AT222" s="47"/>
      <c r="AU222" s="7">
        <f>calcYavka(Таблица1[[#This Row],[Столбец5]:[Столбец36]])</f>
        <v>16</v>
      </c>
      <c r="AV222" s="52"/>
      <c r="AW222" s="18">
        <f>VLOOKUP(B:B,ДОП_ВСІ!B:AS,44,0)</f>
        <v>420</v>
      </c>
      <c r="AX222" s="7">
        <f>VLOOKUP(B:B,ДОП_ВСІ!B:AQ,42,0)</f>
        <v>0</v>
      </c>
      <c r="AY222" s="7">
        <f>Таблица1[[#This Row],[Столбец47]]*30</f>
        <v>480</v>
      </c>
      <c r="AZ222" s="6">
        <f>((((Таблица1[[#This Row],[Столбец42]]/160)*Таблица1[[#This Row],[Столбец44]])*0.25)*0.35)+((((Таблица1[[#This Row],[Столбец42]]/160)*Таблица1[[#This Row],[Столбец44]])*0.5)*0.2)</f>
        <v>315</v>
      </c>
      <c r="BA222" s="47"/>
      <c r="BB222" s="47">
        <f>calcTS(Таблица1[[#This Row],[Столбец5]:[Столбец36]])</f>
        <v>0</v>
      </c>
    </row>
    <row r="223" spans="1:54" ht="42" x14ac:dyDescent="0.35">
      <c r="A223" s="46" t="s">
        <v>621</v>
      </c>
      <c r="B223" s="47" t="s">
        <v>622</v>
      </c>
      <c r="C223" s="48" t="s">
        <v>605</v>
      </c>
      <c r="D223" s="63" t="s">
        <v>2564</v>
      </c>
      <c r="E223" s="49" t="s">
        <v>2486</v>
      </c>
      <c r="F223" s="48" t="s">
        <v>2543</v>
      </c>
      <c r="G223" s="48" t="s">
        <v>2543</v>
      </c>
      <c r="H223" s="48" t="s">
        <v>2543</v>
      </c>
      <c r="I223" s="48" t="s">
        <v>2543</v>
      </c>
      <c r="J223" s="48" t="s">
        <v>2486</v>
      </c>
      <c r="K223" s="49" t="s">
        <v>2486</v>
      </c>
      <c r="L223" s="48" t="s">
        <v>2542</v>
      </c>
      <c r="M223" s="48" t="s">
        <v>2542</v>
      </c>
      <c r="N223" s="49" t="s">
        <v>2542</v>
      </c>
      <c r="O223" s="49" t="s">
        <v>2542</v>
      </c>
      <c r="P223" s="49" t="s">
        <v>2486</v>
      </c>
      <c r="Q223" s="49" t="s">
        <v>2486</v>
      </c>
      <c r="R223" s="48" t="s">
        <v>2543</v>
      </c>
      <c r="S223" s="48" t="s">
        <v>2543</v>
      </c>
      <c r="T223" s="48" t="s">
        <v>2543</v>
      </c>
      <c r="U223" s="48" t="s">
        <v>2543</v>
      </c>
      <c r="V223" s="48" t="s">
        <v>2486</v>
      </c>
      <c r="W223" s="48" t="s">
        <v>2486</v>
      </c>
      <c r="X223" s="48" t="s">
        <v>2542</v>
      </c>
      <c r="Y223" s="48" t="s">
        <v>2542</v>
      </c>
      <c r="Z223" s="48" t="s">
        <v>2542</v>
      </c>
      <c r="AA223" s="48" t="s">
        <v>2542</v>
      </c>
      <c r="AB223" s="48" t="s">
        <v>2486</v>
      </c>
      <c r="AC223" s="48" t="s">
        <v>2486</v>
      </c>
      <c r="AD223" s="48" t="s">
        <v>2543</v>
      </c>
      <c r="AE223" s="48" t="s">
        <v>2543</v>
      </c>
      <c r="AF223" s="48" t="s">
        <v>2543</v>
      </c>
      <c r="AG223" s="48" t="s">
        <v>2543</v>
      </c>
      <c r="AH223" s="48" t="s">
        <v>2486</v>
      </c>
      <c r="AI223" s="48" t="s">
        <v>2580</v>
      </c>
      <c r="AJ223" s="50" t="s">
        <v>2580</v>
      </c>
      <c r="AK223" s="51" t="s">
        <v>54</v>
      </c>
      <c r="AL223" s="47" t="s">
        <v>55</v>
      </c>
      <c r="AM223" s="47"/>
      <c r="AN223" s="47"/>
      <c r="AO223" s="47"/>
      <c r="AP223" s="7">
        <f>VLOOKUP(B:B,Table3[#All],4,0)</f>
        <v>4200</v>
      </c>
      <c r="AQ223" s="7">
        <f>calcShift1(Таблица1[[#This Row],[Столбец5]:[Столбец36]])</f>
        <v>96</v>
      </c>
      <c r="AR223" s="7">
        <f>calcShift2(Таблица1[[#This Row],[Столбец5]:[Столбец36]])</f>
        <v>64</v>
      </c>
      <c r="AS223" s="7">
        <f>calcShift3(Таблица1[[#This Row],[Столбец5]:[Столбец36]])</f>
        <v>0</v>
      </c>
      <c r="AT223" s="47"/>
      <c r="AU223" s="7">
        <f>calcYavka(Таблица1[[#This Row],[Столбец5]:[Столбец36]])</f>
        <v>20</v>
      </c>
      <c r="AV223" s="52"/>
      <c r="AW223" s="18">
        <f>VLOOKUP(B:B,ДОП_ВСІ!B:AS,44,0)</f>
        <v>2520</v>
      </c>
      <c r="AX223" s="7">
        <f>VLOOKUP(B:B,ДОП_ВСІ!B:AQ,42,0)</f>
        <v>0</v>
      </c>
      <c r="AY223" s="7">
        <f>Таблица1[[#This Row],[Столбец47]]*30</f>
        <v>600</v>
      </c>
      <c r="AZ223" s="6">
        <f>((((Таблица1[[#This Row],[Столбец42]]/160)*Таблица1[[#This Row],[Столбец44]])*0.25)*0.35)+((((Таблица1[[#This Row],[Столбец42]]/160)*Таблица1[[#This Row],[Столбец44]])*0.5)*0.2)</f>
        <v>315</v>
      </c>
      <c r="BA223" s="47"/>
      <c r="BB223" s="47">
        <f>calcTS(Таблица1[[#This Row],[Столбец5]:[Столбец36]])</f>
        <v>0</v>
      </c>
    </row>
    <row r="224" spans="1:54" ht="42" x14ac:dyDescent="0.35">
      <c r="A224" s="46" t="s">
        <v>623</v>
      </c>
      <c r="B224" s="47" t="s">
        <v>624</v>
      </c>
      <c r="C224" s="48" t="s">
        <v>610</v>
      </c>
      <c r="D224" s="63" t="s">
        <v>2564</v>
      </c>
      <c r="E224" s="49" t="s">
        <v>2486</v>
      </c>
      <c r="F224" s="48" t="s">
        <v>2543</v>
      </c>
      <c r="G224" s="48" t="s">
        <v>2543</v>
      </c>
      <c r="H224" s="48" t="s">
        <v>2543</v>
      </c>
      <c r="I224" s="48" t="s">
        <v>2543</v>
      </c>
      <c r="J224" s="48" t="s">
        <v>2486</v>
      </c>
      <c r="K224" s="49" t="s">
        <v>2486</v>
      </c>
      <c r="L224" s="48" t="s">
        <v>2542</v>
      </c>
      <c r="M224" s="48" t="s">
        <v>2542</v>
      </c>
      <c r="N224" s="49" t="s">
        <v>2542</v>
      </c>
      <c r="O224" s="49" t="s">
        <v>2542</v>
      </c>
      <c r="P224" s="49" t="s">
        <v>2486</v>
      </c>
      <c r="Q224" s="49" t="s">
        <v>2486</v>
      </c>
      <c r="R224" s="48" t="s">
        <v>2543</v>
      </c>
      <c r="S224" s="48" t="s">
        <v>2543</v>
      </c>
      <c r="T224" s="48" t="s">
        <v>2543</v>
      </c>
      <c r="U224" s="48" t="s">
        <v>2543</v>
      </c>
      <c r="V224" s="48" t="s">
        <v>2486</v>
      </c>
      <c r="W224" s="48" t="s">
        <v>2486</v>
      </c>
      <c r="X224" s="48" t="s">
        <v>2542</v>
      </c>
      <c r="Y224" s="48" t="s">
        <v>2542</v>
      </c>
      <c r="Z224" s="48" t="s">
        <v>2542</v>
      </c>
      <c r="AA224" s="48" t="s">
        <v>2542</v>
      </c>
      <c r="AB224" s="48" t="s">
        <v>2486</v>
      </c>
      <c r="AC224" s="48" t="s">
        <v>2486</v>
      </c>
      <c r="AD224" s="48" t="s">
        <v>2543</v>
      </c>
      <c r="AE224" s="48" t="s">
        <v>2543</v>
      </c>
      <c r="AF224" s="48" t="s">
        <v>2543</v>
      </c>
      <c r="AG224" s="48" t="s">
        <v>2543</v>
      </c>
      <c r="AH224" s="48" t="s">
        <v>2486</v>
      </c>
      <c r="AI224" s="48" t="s">
        <v>2580</v>
      </c>
      <c r="AJ224" s="50" t="s">
        <v>2580</v>
      </c>
      <c r="AK224" s="51" t="s">
        <v>54</v>
      </c>
      <c r="AL224" s="47" t="s">
        <v>55</v>
      </c>
      <c r="AM224" s="47"/>
      <c r="AN224" s="47"/>
      <c r="AO224" s="47"/>
      <c r="AP224" s="7">
        <f>VLOOKUP(B:B,Table3[#All],4,0)</f>
        <v>4200</v>
      </c>
      <c r="AQ224" s="7">
        <f>calcShift1(Таблица1[[#This Row],[Столбец5]:[Столбец36]])</f>
        <v>96</v>
      </c>
      <c r="AR224" s="7">
        <f>calcShift2(Таблица1[[#This Row],[Столбец5]:[Столбец36]])</f>
        <v>64</v>
      </c>
      <c r="AS224" s="7">
        <f>calcShift3(Таблица1[[#This Row],[Столбец5]:[Столбец36]])</f>
        <v>0</v>
      </c>
      <c r="AT224" s="47"/>
      <c r="AU224" s="7">
        <f>calcYavka(Таблица1[[#This Row],[Столбец5]:[Столбец36]])</f>
        <v>20</v>
      </c>
      <c r="AV224" s="52"/>
      <c r="AW224" s="18">
        <f>VLOOKUP(B:B,ДОП_ВСІ!B:AS,44,0)</f>
        <v>1680</v>
      </c>
      <c r="AX224" s="7">
        <f>VLOOKUP(B:B,ДОП_ВСІ!B:AQ,42,0)</f>
        <v>0</v>
      </c>
      <c r="AY224" s="7">
        <f>Таблица1[[#This Row],[Столбец47]]*30</f>
        <v>600</v>
      </c>
      <c r="AZ224" s="6">
        <f>((((Таблица1[[#This Row],[Столбец42]]/160)*Таблица1[[#This Row],[Столбец44]])*0.25)*0.35)+((((Таблица1[[#This Row],[Столбец42]]/160)*Таблица1[[#This Row],[Столбец44]])*0.5)*0.2)</f>
        <v>315</v>
      </c>
      <c r="BA224" s="47"/>
      <c r="BB224" s="47">
        <f>calcTS(Таблица1[[#This Row],[Столбец5]:[Столбец36]])</f>
        <v>0</v>
      </c>
    </row>
    <row r="225" spans="1:54" ht="42" x14ac:dyDescent="0.35">
      <c r="A225" s="46" t="s">
        <v>625</v>
      </c>
      <c r="B225" s="47" t="s">
        <v>626</v>
      </c>
      <c r="C225" s="48" t="s">
        <v>605</v>
      </c>
      <c r="D225" s="63" t="s">
        <v>2564</v>
      </c>
      <c r="E225" s="49" t="s">
        <v>2486</v>
      </c>
      <c r="F225" s="48" t="s">
        <v>2543</v>
      </c>
      <c r="G225" s="48" t="s">
        <v>2543</v>
      </c>
      <c r="H225" s="48" t="s">
        <v>2543</v>
      </c>
      <c r="I225" s="48" t="s">
        <v>2543</v>
      </c>
      <c r="J225" s="48" t="s">
        <v>2486</v>
      </c>
      <c r="K225" s="49" t="s">
        <v>2486</v>
      </c>
      <c r="L225" s="48" t="s">
        <v>2542</v>
      </c>
      <c r="M225" s="48" t="s">
        <v>2542</v>
      </c>
      <c r="N225" s="49" t="s">
        <v>2542</v>
      </c>
      <c r="O225" s="49" t="s">
        <v>2542</v>
      </c>
      <c r="P225" s="49" t="s">
        <v>2486</v>
      </c>
      <c r="Q225" s="49" t="s">
        <v>2486</v>
      </c>
      <c r="R225" s="48" t="s">
        <v>2543</v>
      </c>
      <c r="S225" s="48" t="s">
        <v>2543</v>
      </c>
      <c r="T225" s="48" t="s">
        <v>2543</v>
      </c>
      <c r="U225" s="48" t="s">
        <v>2543</v>
      </c>
      <c r="V225" s="48" t="s">
        <v>2486</v>
      </c>
      <c r="W225" s="48" t="s">
        <v>2486</v>
      </c>
      <c r="X225" s="48" t="s">
        <v>2542</v>
      </c>
      <c r="Y225" s="48" t="s">
        <v>2542</v>
      </c>
      <c r="Z225" s="48" t="s">
        <v>2542</v>
      </c>
      <c r="AA225" s="48" t="s">
        <v>2542</v>
      </c>
      <c r="AB225" s="48" t="s">
        <v>2486</v>
      </c>
      <c r="AC225" s="48" t="s">
        <v>2486</v>
      </c>
      <c r="AD225" s="48" t="s">
        <v>2543</v>
      </c>
      <c r="AE225" s="48" t="s">
        <v>2543</v>
      </c>
      <c r="AF225" s="48" t="s">
        <v>2543</v>
      </c>
      <c r="AG225" s="48" t="s">
        <v>2543</v>
      </c>
      <c r="AH225" s="48" t="s">
        <v>2486</v>
      </c>
      <c r="AI225" s="48" t="s">
        <v>2580</v>
      </c>
      <c r="AJ225" s="50" t="s">
        <v>2580</v>
      </c>
      <c r="AK225" s="51" t="s">
        <v>54</v>
      </c>
      <c r="AL225" s="47" t="s">
        <v>55</v>
      </c>
      <c r="AM225" s="47"/>
      <c r="AN225" s="47"/>
      <c r="AO225" s="47"/>
      <c r="AP225" s="7">
        <f>VLOOKUP(B:B,Table3[#All],4,0)</f>
        <v>4200</v>
      </c>
      <c r="AQ225" s="7">
        <f>calcShift1(Таблица1[[#This Row],[Столбец5]:[Столбец36]])</f>
        <v>96</v>
      </c>
      <c r="AR225" s="7">
        <f>calcShift2(Таблица1[[#This Row],[Столбец5]:[Столбец36]])</f>
        <v>64</v>
      </c>
      <c r="AS225" s="7">
        <f>calcShift3(Таблица1[[#This Row],[Столбец5]:[Столбец36]])</f>
        <v>0</v>
      </c>
      <c r="AT225" s="47"/>
      <c r="AU225" s="7">
        <f>calcYavka(Таблица1[[#This Row],[Столбец5]:[Столбец36]])</f>
        <v>20</v>
      </c>
      <c r="AV225" s="52"/>
      <c r="AW225" s="18">
        <f>VLOOKUP(B:B,ДОП_ВСІ!B:AS,44,0)</f>
        <v>420</v>
      </c>
      <c r="AX225" s="7">
        <f>VLOOKUP(B:B,ДОП_ВСІ!B:AQ,42,0)</f>
        <v>0</v>
      </c>
      <c r="AY225" s="7">
        <f>Таблица1[[#This Row],[Столбец47]]*30</f>
        <v>600</v>
      </c>
      <c r="AZ225" s="6">
        <f>((((Таблица1[[#This Row],[Столбец42]]/160)*Таблица1[[#This Row],[Столбец44]])*0.25)*0.35)+((((Таблица1[[#This Row],[Столбец42]]/160)*Таблица1[[#This Row],[Столбец44]])*0.5)*0.2)</f>
        <v>315</v>
      </c>
      <c r="BA225" s="47"/>
      <c r="BB225" s="47">
        <f>calcTS(Таблица1[[#This Row],[Столбец5]:[Столбец36]])</f>
        <v>0</v>
      </c>
    </row>
    <row r="226" spans="1:54" ht="42" x14ac:dyDescent="0.35">
      <c r="A226" s="46" t="s">
        <v>627</v>
      </c>
      <c r="B226" s="47" t="s">
        <v>628</v>
      </c>
      <c r="C226" s="48" t="s">
        <v>605</v>
      </c>
      <c r="D226" s="63" t="s">
        <v>2564</v>
      </c>
      <c r="E226" s="49" t="s">
        <v>135</v>
      </c>
      <c r="F226" s="48" t="s">
        <v>135</v>
      </c>
      <c r="G226" s="48" t="s">
        <v>135</v>
      </c>
      <c r="H226" s="48" t="s">
        <v>2486</v>
      </c>
      <c r="I226" s="48" t="s">
        <v>2486</v>
      </c>
      <c r="J226" s="48" t="s">
        <v>2543</v>
      </c>
      <c r="K226" s="49" t="s">
        <v>2543</v>
      </c>
      <c r="L226" s="48" t="s">
        <v>2543</v>
      </c>
      <c r="M226" s="48" t="s">
        <v>2543</v>
      </c>
      <c r="N226" s="49" t="s">
        <v>2486</v>
      </c>
      <c r="O226" s="49" t="s">
        <v>2486</v>
      </c>
      <c r="P226" s="49" t="s">
        <v>2542</v>
      </c>
      <c r="Q226" s="49" t="s">
        <v>2542</v>
      </c>
      <c r="R226" s="48" t="s">
        <v>2542</v>
      </c>
      <c r="S226" s="48" t="s">
        <v>2542</v>
      </c>
      <c r="T226" s="48" t="s">
        <v>2486</v>
      </c>
      <c r="U226" s="48" t="s">
        <v>2486</v>
      </c>
      <c r="V226" s="48" t="s">
        <v>2543</v>
      </c>
      <c r="W226" s="48" t="s">
        <v>2543</v>
      </c>
      <c r="X226" s="48" t="s">
        <v>2543</v>
      </c>
      <c r="Y226" s="48" t="s">
        <v>2543</v>
      </c>
      <c r="Z226" s="48" t="s">
        <v>2486</v>
      </c>
      <c r="AA226" s="48" t="s">
        <v>2486</v>
      </c>
      <c r="AB226" s="48" t="s">
        <v>2542</v>
      </c>
      <c r="AC226" s="48" t="s">
        <v>2542</v>
      </c>
      <c r="AD226" s="48" t="s">
        <v>2542</v>
      </c>
      <c r="AE226" s="48" t="s">
        <v>2542</v>
      </c>
      <c r="AF226" s="48" t="s">
        <v>2486</v>
      </c>
      <c r="AG226" s="48" t="s">
        <v>2486</v>
      </c>
      <c r="AH226" s="48" t="s">
        <v>2543</v>
      </c>
      <c r="AI226" s="48" t="s">
        <v>2580</v>
      </c>
      <c r="AJ226" s="50" t="s">
        <v>2580</v>
      </c>
      <c r="AK226" s="51" t="s">
        <v>54</v>
      </c>
      <c r="AL226" s="47" t="s">
        <v>55</v>
      </c>
      <c r="AM226" s="47"/>
      <c r="AN226" s="47"/>
      <c r="AO226" s="47"/>
      <c r="AP226" s="7">
        <f>VLOOKUP(B:B,Table3[#All],4,0)</f>
        <v>4200</v>
      </c>
      <c r="AQ226" s="7">
        <f>calcShift1(Таблица1[[#This Row],[Столбец5]:[Столбец36]])</f>
        <v>72</v>
      </c>
      <c r="AR226" s="7">
        <f>calcShift2(Таблица1[[#This Row],[Столбец5]:[Столбец36]])</f>
        <v>88</v>
      </c>
      <c r="AS226" s="7">
        <f>calcShift3(Таблица1[[#This Row],[Столбец5]:[Столбец36]])</f>
        <v>0</v>
      </c>
      <c r="AT226" s="47"/>
      <c r="AU226" s="7">
        <f>calcYavka(Таблица1[[#This Row],[Столбец5]:[Столбец36]])</f>
        <v>20</v>
      </c>
      <c r="AV226" s="52"/>
      <c r="AW226" s="18">
        <f>VLOOKUP(B:B,ДОП_ВСІ!B:AS,44,0)</f>
        <v>1260</v>
      </c>
      <c r="AX226" s="7">
        <f>VLOOKUP(B:B,ДОП_ВСІ!B:AQ,42,0)</f>
        <v>0</v>
      </c>
      <c r="AY226" s="7">
        <f>Таблица1[[#This Row],[Столбец47]]*30</f>
        <v>600</v>
      </c>
      <c r="AZ226" s="6">
        <f>((((Таблица1[[#This Row],[Столбец42]]/160)*Таблица1[[#This Row],[Столбец44]])*0.25)*0.35)+((((Таблица1[[#This Row],[Столбец42]]/160)*Таблица1[[#This Row],[Столбец44]])*0.5)*0.2)</f>
        <v>433.125</v>
      </c>
      <c r="BA226" s="47"/>
      <c r="BB226" s="47">
        <f>calcTS(Таблица1[[#This Row],[Столбец5]:[Столбец36]])</f>
        <v>0</v>
      </c>
    </row>
    <row r="227" spans="1:54" ht="42" x14ac:dyDescent="0.35">
      <c r="A227" s="46" t="s">
        <v>629</v>
      </c>
      <c r="B227" s="47" t="s">
        <v>630</v>
      </c>
      <c r="C227" s="48" t="s">
        <v>605</v>
      </c>
      <c r="D227" s="63" t="s">
        <v>2564</v>
      </c>
      <c r="E227" s="49" t="s">
        <v>135</v>
      </c>
      <c r="F227" s="48" t="s">
        <v>135</v>
      </c>
      <c r="G227" s="48" t="s">
        <v>135</v>
      </c>
      <c r="H227" s="48" t="s">
        <v>2486</v>
      </c>
      <c r="I227" s="48" t="s">
        <v>2486</v>
      </c>
      <c r="J227" s="48" t="s">
        <v>2543</v>
      </c>
      <c r="K227" s="49" t="s">
        <v>2543</v>
      </c>
      <c r="L227" s="48" t="s">
        <v>2543</v>
      </c>
      <c r="M227" s="48" t="s">
        <v>2543</v>
      </c>
      <c r="N227" s="49" t="s">
        <v>2486</v>
      </c>
      <c r="O227" s="49" t="s">
        <v>2486</v>
      </c>
      <c r="P227" s="49" t="s">
        <v>2542</v>
      </c>
      <c r="Q227" s="49" t="s">
        <v>2542</v>
      </c>
      <c r="R227" s="48" t="s">
        <v>2542</v>
      </c>
      <c r="S227" s="48" t="s">
        <v>2542</v>
      </c>
      <c r="T227" s="48" t="s">
        <v>2486</v>
      </c>
      <c r="U227" s="48" t="s">
        <v>2486</v>
      </c>
      <c r="V227" s="48" t="s">
        <v>2543</v>
      </c>
      <c r="W227" s="48" t="s">
        <v>2543</v>
      </c>
      <c r="X227" s="48" t="s">
        <v>2543</v>
      </c>
      <c r="Y227" s="48" t="s">
        <v>2543</v>
      </c>
      <c r="Z227" s="48" t="s">
        <v>2486</v>
      </c>
      <c r="AA227" s="48" t="s">
        <v>2486</v>
      </c>
      <c r="AB227" s="48" t="s">
        <v>2542</v>
      </c>
      <c r="AC227" s="48" t="s">
        <v>2542</v>
      </c>
      <c r="AD227" s="48" t="s">
        <v>2542</v>
      </c>
      <c r="AE227" s="48" t="s">
        <v>2542</v>
      </c>
      <c r="AF227" s="48" t="s">
        <v>2486</v>
      </c>
      <c r="AG227" s="48" t="s">
        <v>2486</v>
      </c>
      <c r="AH227" s="48" t="s">
        <v>2543</v>
      </c>
      <c r="AI227" s="48" t="s">
        <v>2580</v>
      </c>
      <c r="AJ227" s="50" t="s">
        <v>2580</v>
      </c>
      <c r="AK227" s="51" t="s">
        <v>54</v>
      </c>
      <c r="AL227" s="47" t="s">
        <v>55</v>
      </c>
      <c r="AM227" s="47"/>
      <c r="AN227" s="47"/>
      <c r="AO227" s="47"/>
      <c r="AP227" s="7">
        <f>VLOOKUP(B:B,Table3[#All],4,0)</f>
        <v>4200</v>
      </c>
      <c r="AQ227" s="7">
        <f>calcShift1(Таблица1[[#This Row],[Столбец5]:[Столбец36]])</f>
        <v>72</v>
      </c>
      <c r="AR227" s="7">
        <f>calcShift2(Таблица1[[#This Row],[Столбец5]:[Столбец36]])</f>
        <v>88</v>
      </c>
      <c r="AS227" s="7">
        <f>calcShift3(Таблица1[[#This Row],[Столбец5]:[Столбец36]])</f>
        <v>0</v>
      </c>
      <c r="AT227" s="47"/>
      <c r="AU227" s="7">
        <f>calcYavka(Таблица1[[#This Row],[Столбец5]:[Столбец36]])</f>
        <v>20</v>
      </c>
      <c r="AV227" s="52"/>
      <c r="AW227" s="18">
        <f>VLOOKUP(B:B,ДОП_ВСІ!B:AS,44,0)</f>
        <v>840</v>
      </c>
      <c r="AX227" s="7">
        <f>VLOOKUP(B:B,ДОП_ВСІ!B:AQ,42,0)</f>
        <v>0</v>
      </c>
      <c r="AY227" s="7">
        <f>Таблица1[[#This Row],[Столбец47]]*30</f>
        <v>600</v>
      </c>
      <c r="AZ227" s="6">
        <f>((((Таблица1[[#This Row],[Столбец42]]/160)*Таблица1[[#This Row],[Столбец44]])*0.25)*0.35)+((((Таблица1[[#This Row],[Столбец42]]/160)*Таблица1[[#This Row],[Столбец44]])*0.5)*0.2)</f>
        <v>433.125</v>
      </c>
      <c r="BA227" s="47"/>
      <c r="BB227" s="47">
        <f>calcTS(Таблица1[[#This Row],[Столбец5]:[Столбец36]])</f>
        <v>0</v>
      </c>
    </row>
    <row r="228" spans="1:54" ht="42" x14ac:dyDescent="0.35">
      <c r="A228" s="46" t="s">
        <v>631</v>
      </c>
      <c r="B228" s="47" t="s">
        <v>632</v>
      </c>
      <c r="C228" s="48" t="s">
        <v>605</v>
      </c>
      <c r="D228" s="63" t="s">
        <v>2564</v>
      </c>
      <c r="E228" s="49" t="s">
        <v>135</v>
      </c>
      <c r="F228" s="48" t="s">
        <v>135</v>
      </c>
      <c r="G228" s="48" t="s">
        <v>135</v>
      </c>
      <c r="H228" s="48" t="s">
        <v>2486</v>
      </c>
      <c r="I228" s="48" t="s">
        <v>2486</v>
      </c>
      <c r="J228" s="48" t="s">
        <v>2543</v>
      </c>
      <c r="K228" s="49" t="s">
        <v>2543</v>
      </c>
      <c r="L228" s="48" t="s">
        <v>2543</v>
      </c>
      <c r="M228" s="48" t="s">
        <v>2543</v>
      </c>
      <c r="N228" s="49" t="s">
        <v>2486</v>
      </c>
      <c r="O228" s="49" t="s">
        <v>2486</v>
      </c>
      <c r="P228" s="49" t="s">
        <v>2542</v>
      </c>
      <c r="Q228" s="49" t="s">
        <v>2542</v>
      </c>
      <c r="R228" s="48" t="s">
        <v>2542</v>
      </c>
      <c r="S228" s="48" t="s">
        <v>2542</v>
      </c>
      <c r="T228" s="48" t="s">
        <v>2486</v>
      </c>
      <c r="U228" s="48" t="s">
        <v>2486</v>
      </c>
      <c r="V228" s="48" t="s">
        <v>2543</v>
      </c>
      <c r="W228" s="48" t="s">
        <v>2543</v>
      </c>
      <c r="X228" s="48" t="s">
        <v>2543</v>
      </c>
      <c r="Y228" s="48" t="s">
        <v>2543</v>
      </c>
      <c r="Z228" s="48" t="s">
        <v>2486</v>
      </c>
      <c r="AA228" s="48" t="s">
        <v>2486</v>
      </c>
      <c r="AB228" s="48" t="s">
        <v>2542</v>
      </c>
      <c r="AC228" s="48" t="s">
        <v>2542</v>
      </c>
      <c r="AD228" s="48" t="s">
        <v>2542</v>
      </c>
      <c r="AE228" s="48" t="s">
        <v>2542</v>
      </c>
      <c r="AF228" s="48" t="s">
        <v>2486</v>
      </c>
      <c r="AG228" s="48" t="s">
        <v>2486</v>
      </c>
      <c r="AH228" s="48" t="s">
        <v>2543</v>
      </c>
      <c r="AI228" s="48" t="s">
        <v>2580</v>
      </c>
      <c r="AJ228" s="50" t="s">
        <v>2580</v>
      </c>
      <c r="AK228" s="51" t="s">
        <v>54</v>
      </c>
      <c r="AL228" s="47" t="s">
        <v>55</v>
      </c>
      <c r="AM228" s="47"/>
      <c r="AN228" s="47"/>
      <c r="AO228" s="47"/>
      <c r="AP228" s="7">
        <f>VLOOKUP(B:B,Table3[#All],4,0)</f>
        <v>4200</v>
      </c>
      <c r="AQ228" s="7">
        <f>calcShift1(Таблица1[[#This Row],[Столбец5]:[Столбец36]])</f>
        <v>72</v>
      </c>
      <c r="AR228" s="7">
        <f>calcShift2(Таблица1[[#This Row],[Столбец5]:[Столбец36]])</f>
        <v>88</v>
      </c>
      <c r="AS228" s="7">
        <f>calcShift3(Таблица1[[#This Row],[Столбец5]:[Столбец36]])</f>
        <v>0</v>
      </c>
      <c r="AT228" s="47"/>
      <c r="AU228" s="7">
        <f>calcYavka(Таблица1[[#This Row],[Столбец5]:[Столбец36]])</f>
        <v>20</v>
      </c>
      <c r="AV228" s="52"/>
      <c r="AW228" s="18">
        <f>VLOOKUP(B:B,ДОП_ВСІ!B:AS,44,0)</f>
        <v>1260</v>
      </c>
      <c r="AX228" s="7">
        <f>VLOOKUP(B:B,ДОП_ВСІ!B:AQ,42,0)</f>
        <v>0</v>
      </c>
      <c r="AY228" s="7">
        <f>Таблица1[[#This Row],[Столбец47]]*30</f>
        <v>600</v>
      </c>
      <c r="AZ228" s="6">
        <f>((((Таблица1[[#This Row],[Столбец42]]/160)*Таблица1[[#This Row],[Столбец44]])*0.25)*0.35)+((((Таблица1[[#This Row],[Столбец42]]/160)*Таблица1[[#This Row],[Столбец44]])*0.5)*0.2)</f>
        <v>433.125</v>
      </c>
      <c r="BA228" s="47"/>
      <c r="BB228" s="47">
        <f>calcTS(Таблица1[[#This Row],[Столбец5]:[Столбец36]])</f>
        <v>0</v>
      </c>
    </row>
    <row r="229" spans="1:54" ht="42" x14ac:dyDescent="0.35">
      <c r="A229" s="46" t="s">
        <v>633</v>
      </c>
      <c r="B229" s="47" t="s">
        <v>634</v>
      </c>
      <c r="C229" s="48" t="s">
        <v>605</v>
      </c>
      <c r="D229" s="63" t="s">
        <v>2564</v>
      </c>
      <c r="E229" s="49" t="s">
        <v>135</v>
      </c>
      <c r="F229" s="48" t="s">
        <v>135</v>
      </c>
      <c r="G229" s="48" t="s">
        <v>135</v>
      </c>
      <c r="H229" s="48" t="s">
        <v>2486</v>
      </c>
      <c r="I229" s="48" t="s">
        <v>2486</v>
      </c>
      <c r="J229" s="48" t="s">
        <v>2543</v>
      </c>
      <c r="K229" s="49" t="s">
        <v>2543</v>
      </c>
      <c r="L229" s="48" t="s">
        <v>2543</v>
      </c>
      <c r="M229" s="48" t="s">
        <v>2543</v>
      </c>
      <c r="N229" s="49" t="s">
        <v>2486</v>
      </c>
      <c r="O229" s="49" t="s">
        <v>2486</v>
      </c>
      <c r="P229" s="49" t="s">
        <v>2542</v>
      </c>
      <c r="Q229" s="49" t="s">
        <v>2542</v>
      </c>
      <c r="R229" s="48" t="s">
        <v>2542</v>
      </c>
      <c r="S229" s="48" t="s">
        <v>2542</v>
      </c>
      <c r="T229" s="48" t="s">
        <v>2486</v>
      </c>
      <c r="U229" s="48" t="s">
        <v>2486</v>
      </c>
      <c r="V229" s="48" t="s">
        <v>2543</v>
      </c>
      <c r="W229" s="48" t="s">
        <v>2543</v>
      </c>
      <c r="X229" s="48" t="s">
        <v>2543</v>
      </c>
      <c r="Y229" s="48" t="s">
        <v>2543</v>
      </c>
      <c r="Z229" s="48" t="s">
        <v>2486</v>
      </c>
      <c r="AA229" s="48" t="s">
        <v>2486</v>
      </c>
      <c r="AB229" s="48" t="s">
        <v>2542</v>
      </c>
      <c r="AC229" s="48" t="s">
        <v>2542</v>
      </c>
      <c r="AD229" s="48" t="s">
        <v>2542</v>
      </c>
      <c r="AE229" s="48" t="s">
        <v>2542</v>
      </c>
      <c r="AF229" s="48" t="s">
        <v>2486</v>
      </c>
      <c r="AG229" s="48" t="s">
        <v>2486</v>
      </c>
      <c r="AH229" s="48" t="s">
        <v>2543</v>
      </c>
      <c r="AI229" s="48" t="s">
        <v>2580</v>
      </c>
      <c r="AJ229" s="50" t="s">
        <v>2580</v>
      </c>
      <c r="AK229" s="51" t="s">
        <v>54</v>
      </c>
      <c r="AL229" s="47" t="s">
        <v>55</v>
      </c>
      <c r="AM229" s="47"/>
      <c r="AN229" s="47"/>
      <c r="AO229" s="47"/>
      <c r="AP229" s="7">
        <f>VLOOKUP(B:B,Table3[#All],4,0)</f>
        <v>4200</v>
      </c>
      <c r="AQ229" s="7">
        <f>calcShift1(Таблица1[[#This Row],[Столбец5]:[Столбец36]])</f>
        <v>72</v>
      </c>
      <c r="AR229" s="7">
        <f>calcShift2(Таблица1[[#This Row],[Столбец5]:[Столбец36]])</f>
        <v>88</v>
      </c>
      <c r="AS229" s="7">
        <f>calcShift3(Таблица1[[#This Row],[Столбец5]:[Столбец36]])</f>
        <v>0</v>
      </c>
      <c r="AT229" s="47"/>
      <c r="AU229" s="7">
        <f>calcYavka(Таблица1[[#This Row],[Столбец5]:[Столбец36]])</f>
        <v>20</v>
      </c>
      <c r="AV229" s="52"/>
      <c r="AW229" s="18">
        <f>VLOOKUP(B:B,ДОП_ВСІ!B:AS,44,0)</f>
        <v>1260</v>
      </c>
      <c r="AX229" s="7">
        <f>VLOOKUP(B:B,ДОП_ВСІ!B:AQ,42,0)</f>
        <v>0</v>
      </c>
      <c r="AY229" s="7">
        <f>Таблица1[[#This Row],[Столбец47]]*30</f>
        <v>600</v>
      </c>
      <c r="AZ229" s="6">
        <f>((((Таблица1[[#This Row],[Столбец42]]/160)*Таблица1[[#This Row],[Столбец44]])*0.25)*0.35)+((((Таблица1[[#This Row],[Столбец42]]/160)*Таблица1[[#This Row],[Столбец44]])*0.5)*0.2)</f>
        <v>433.125</v>
      </c>
      <c r="BA229" s="47"/>
      <c r="BB229" s="47">
        <f>calcTS(Таблица1[[#This Row],[Столбец5]:[Столбец36]])</f>
        <v>0</v>
      </c>
    </row>
    <row r="230" spans="1:54" ht="42" x14ac:dyDescent="0.35">
      <c r="A230" s="46" t="s">
        <v>635</v>
      </c>
      <c r="B230" s="47" t="s">
        <v>636</v>
      </c>
      <c r="C230" s="48" t="s">
        <v>605</v>
      </c>
      <c r="D230" s="63" t="s">
        <v>2564</v>
      </c>
      <c r="E230" s="49" t="s">
        <v>135</v>
      </c>
      <c r="F230" s="48" t="s">
        <v>135</v>
      </c>
      <c r="G230" s="48" t="s">
        <v>135</v>
      </c>
      <c r="H230" s="48" t="s">
        <v>2486</v>
      </c>
      <c r="I230" s="48" t="s">
        <v>2486</v>
      </c>
      <c r="J230" s="48" t="s">
        <v>2543</v>
      </c>
      <c r="K230" s="49" t="s">
        <v>2543</v>
      </c>
      <c r="L230" s="48" t="s">
        <v>2543</v>
      </c>
      <c r="M230" s="48" t="s">
        <v>2543</v>
      </c>
      <c r="N230" s="49" t="s">
        <v>2486</v>
      </c>
      <c r="O230" s="49" t="s">
        <v>2486</v>
      </c>
      <c r="P230" s="49" t="s">
        <v>2542</v>
      </c>
      <c r="Q230" s="49" t="s">
        <v>2542</v>
      </c>
      <c r="R230" s="48" t="s">
        <v>2542</v>
      </c>
      <c r="S230" s="48" t="s">
        <v>2542</v>
      </c>
      <c r="T230" s="48" t="s">
        <v>2486</v>
      </c>
      <c r="U230" s="48" t="s">
        <v>2486</v>
      </c>
      <c r="V230" s="48" t="s">
        <v>2543</v>
      </c>
      <c r="W230" s="48" t="s">
        <v>2543</v>
      </c>
      <c r="X230" s="48" t="s">
        <v>2543</v>
      </c>
      <c r="Y230" s="48" t="s">
        <v>2543</v>
      </c>
      <c r="Z230" s="48" t="s">
        <v>2486</v>
      </c>
      <c r="AA230" s="48" t="s">
        <v>2486</v>
      </c>
      <c r="AB230" s="48" t="s">
        <v>2542</v>
      </c>
      <c r="AC230" s="48" t="s">
        <v>2542</v>
      </c>
      <c r="AD230" s="48" t="s">
        <v>2542</v>
      </c>
      <c r="AE230" s="48" t="s">
        <v>2542</v>
      </c>
      <c r="AF230" s="48" t="s">
        <v>2486</v>
      </c>
      <c r="AG230" s="48" t="s">
        <v>2486</v>
      </c>
      <c r="AH230" s="48" t="s">
        <v>2543</v>
      </c>
      <c r="AI230" s="48" t="s">
        <v>2580</v>
      </c>
      <c r="AJ230" s="50" t="s">
        <v>2580</v>
      </c>
      <c r="AK230" s="51" t="s">
        <v>54</v>
      </c>
      <c r="AL230" s="47" t="s">
        <v>55</v>
      </c>
      <c r="AM230" s="47"/>
      <c r="AN230" s="47"/>
      <c r="AO230" s="47"/>
      <c r="AP230" s="7">
        <f>VLOOKUP(B:B,Table3[#All],4,0)</f>
        <v>4200</v>
      </c>
      <c r="AQ230" s="7">
        <f>calcShift1(Таблица1[[#This Row],[Столбец5]:[Столбец36]])</f>
        <v>72</v>
      </c>
      <c r="AR230" s="7">
        <f>calcShift2(Таблица1[[#This Row],[Столбец5]:[Столбец36]])</f>
        <v>88</v>
      </c>
      <c r="AS230" s="7">
        <f>calcShift3(Таблица1[[#This Row],[Столбец5]:[Столбец36]])</f>
        <v>0</v>
      </c>
      <c r="AT230" s="47"/>
      <c r="AU230" s="7">
        <f>calcYavka(Таблица1[[#This Row],[Столбец5]:[Столбец36]])</f>
        <v>20</v>
      </c>
      <c r="AV230" s="52"/>
      <c r="AW230" s="18">
        <f>VLOOKUP(B:B,ДОП_ВСІ!B:AS,44,0)</f>
        <v>420</v>
      </c>
      <c r="AX230" s="7">
        <f>VLOOKUP(B:B,ДОП_ВСІ!B:AQ,42,0)</f>
        <v>0</v>
      </c>
      <c r="AY230" s="7">
        <f>Таблица1[[#This Row],[Столбец47]]*30</f>
        <v>600</v>
      </c>
      <c r="AZ230" s="6">
        <f>((((Таблица1[[#This Row],[Столбец42]]/160)*Таблица1[[#This Row],[Столбец44]])*0.25)*0.35)+((((Таблица1[[#This Row],[Столбец42]]/160)*Таблица1[[#This Row],[Столбец44]])*0.5)*0.2)</f>
        <v>433.125</v>
      </c>
      <c r="BA230" s="47"/>
      <c r="BB230" s="47">
        <f>calcTS(Таблица1[[#This Row],[Столбец5]:[Столбец36]])</f>
        <v>0</v>
      </c>
    </row>
    <row r="231" spans="1:54" x14ac:dyDescent="0.35">
      <c r="A231" s="46" t="s">
        <v>506</v>
      </c>
      <c r="B231" s="47" t="s">
        <v>507</v>
      </c>
      <c r="C231" s="48" t="s">
        <v>118</v>
      </c>
      <c r="D231" s="63" t="s">
        <v>2564</v>
      </c>
      <c r="E231" s="49" t="s">
        <v>2486</v>
      </c>
      <c r="F231" s="48" t="s">
        <v>2486</v>
      </c>
      <c r="G231" s="48" t="s">
        <v>2486</v>
      </c>
      <c r="H231" s="48" t="s">
        <v>2486</v>
      </c>
      <c r="I231" s="48" t="s">
        <v>2486</v>
      </c>
      <c r="J231" s="48" t="s">
        <v>2486</v>
      </c>
      <c r="K231" s="49" t="s">
        <v>2486</v>
      </c>
      <c r="L231" s="48" t="s">
        <v>2486</v>
      </c>
      <c r="M231" s="48" t="s">
        <v>2486</v>
      </c>
      <c r="N231" s="49" t="s">
        <v>2486</v>
      </c>
      <c r="O231" s="49" t="s">
        <v>2486</v>
      </c>
      <c r="P231" s="49" t="s">
        <v>2486</v>
      </c>
      <c r="Q231" s="49" t="s">
        <v>2486</v>
      </c>
      <c r="R231" s="48" t="s">
        <v>2486</v>
      </c>
      <c r="S231" s="48" t="s">
        <v>2486</v>
      </c>
      <c r="T231" s="48" t="s">
        <v>2486</v>
      </c>
      <c r="U231" s="48" t="s">
        <v>2486</v>
      </c>
      <c r="V231" s="48" t="s">
        <v>2486</v>
      </c>
      <c r="W231" s="48" t="s">
        <v>141</v>
      </c>
      <c r="X231" s="48" t="s">
        <v>2543</v>
      </c>
      <c r="Y231" s="48" t="s">
        <v>2485</v>
      </c>
      <c r="Z231" s="48" t="s">
        <v>2485</v>
      </c>
      <c r="AA231" s="48" t="s">
        <v>2485</v>
      </c>
      <c r="AB231" s="48" t="s">
        <v>2485</v>
      </c>
      <c r="AC231" s="48" t="s">
        <v>2543</v>
      </c>
      <c r="AD231" s="48" t="s">
        <v>2485</v>
      </c>
      <c r="AE231" s="48" t="s">
        <v>2485</v>
      </c>
      <c r="AF231" s="48" t="s">
        <v>2485</v>
      </c>
      <c r="AG231" s="48" t="s">
        <v>2485</v>
      </c>
      <c r="AH231" s="48" t="s">
        <v>2485</v>
      </c>
      <c r="AI231" s="48" t="s">
        <v>2643</v>
      </c>
      <c r="AJ231" s="50" t="s">
        <v>2644</v>
      </c>
      <c r="AK231" s="51" t="s">
        <v>2645</v>
      </c>
      <c r="AL231" s="47" t="s">
        <v>92</v>
      </c>
      <c r="AM231" s="47"/>
      <c r="AN231" s="47"/>
      <c r="AO231" s="47"/>
      <c r="AP231" s="7">
        <f>VLOOKUP(B:B,Table3[#All],4,0)</f>
        <v>4500</v>
      </c>
      <c r="AQ231" s="7">
        <f>calcShift1(Таблица1[[#This Row],[Столбец5]:[Столбец36]])</f>
        <v>24</v>
      </c>
      <c r="AR231" s="7">
        <f>calcShift2(Таблица1[[#This Row],[Столбец5]:[Столбец36]])</f>
        <v>0</v>
      </c>
      <c r="AS231" s="7">
        <f>calcShift3(Таблица1[[#This Row],[Столбец5]:[Столбец36]])</f>
        <v>0</v>
      </c>
      <c r="AT231" s="47"/>
      <c r="AU231" s="7">
        <f>calcYavka(Таблица1[[#This Row],[Столбец5]:[Столбец36]])</f>
        <v>3</v>
      </c>
      <c r="AV231" s="52"/>
      <c r="AW231" s="18">
        <f>VLOOKUP(B:B,ДОП_ВСІ!B:AS,44,0)</f>
        <v>0</v>
      </c>
      <c r="AX231" s="7">
        <f>VLOOKUP(B:B,ДОП_ВСІ!B:AQ,42,0)</f>
        <v>0</v>
      </c>
      <c r="AY231" s="7">
        <f>Таблица1[[#This Row],[Столбец47]]*30</f>
        <v>90</v>
      </c>
      <c r="AZ231" s="6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231" s="47"/>
      <c r="BB231" s="47">
        <f>calcTS(Таблица1[[#This Row],[Столбец5]:[Столбец36]])</f>
        <v>0</v>
      </c>
    </row>
    <row r="232" spans="1:54" ht="42" x14ac:dyDescent="0.35">
      <c r="A232" s="46" t="s">
        <v>508</v>
      </c>
      <c r="B232" s="47" t="s">
        <v>509</v>
      </c>
      <c r="C232" s="48" t="s">
        <v>118</v>
      </c>
      <c r="D232" s="63" t="s">
        <v>2564</v>
      </c>
      <c r="E232" s="49" t="s">
        <v>2486</v>
      </c>
      <c r="F232" s="48" t="s">
        <v>2543</v>
      </c>
      <c r="G232" s="48" t="s">
        <v>2486</v>
      </c>
      <c r="H232" s="48" t="s">
        <v>2543</v>
      </c>
      <c r="I232" s="48" t="s">
        <v>2543</v>
      </c>
      <c r="J232" s="48" t="s">
        <v>2486</v>
      </c>
      <c r="K232" s="49" t="s">
        <v>2486</v>
      </c>
      <c r="L232" s="48" t="s">
        <v>2542</v>
      </c>
      <c r="M232" s="48" t="s">
        <v>2542</v>
      </c>
      <c r="N232" s="49" t="s">
        <v>2486</v>
      </c>
      <c r="O232" s="49" t="s">
        <v>2543</v>
      </c>
      <c r="P232" s="49" t="s">
        <v>2543</v>
      </c>
      <c r="Q232" s="49" t="s">
        <v>2543</v>
      </c>
      <c r="R232" s="48" t="s">
        <v>2543</v>
      </c>
      <c r="S232" s="48" t="s">
        <v>2543</v>
      </c>
      <c r="T232" s="48" t="s">
        <v>2486</v>
      </c>
      <c r="U232" s="48" t="s">
        <v>2543</v>
      </c>
      <c r="V232" s="48" t="s">
        <v>2486</v>
      </c>
      <c r="W232" s="48" t="s">
        <v>2486</v>
      </c>
      <c r="X232" s="48" t="s">
        <v>2542</v>
      </c>
      <c r="Y232" s="48" t="s">
        <v>141</v>
      </c>
      <c r="Z232" s="48" t="s">
        <v>141</v>
      </c>
      <c r="AA232" s="48" t="s">
        <v>2542</v>
      </c>
      <c r="AB232" s="48" t="s">
        <v>2486</v>
      </c>
      <c r="AC232" s="48" t="s">
        <v>2486</v>
      </c>
      <c r="AD232" s="48" t="s">
        <v>2543</v>
      </c>
      <c r="AE232" s="48" t="s">
        <v>141</v>
      </c>
      <c r="AF232" s="48" t="s">
        <v>2543</v>
      </c>
      <c r="AG232" s="48" t="s">
        <v>2543</v>
      </c>
      <c r="AH232" s="48" t="s">
        <v>2486</v>
      </c>
      <c r="AI232" s="48" t="s">
        <v>2597</v>
      </c>
      <c r="AJ232" s="50" t="s">
        <v>2597</v>
      </c>
      <c r="AK232" s="51" t="s">
        <v>72</v>
      </c>
      <c r="AL232" s="47" t="s">
        <v>71</v>
      </c>
      <c r="AM232" s="47"/>
      <c r="AN232" s="47"/>
      <c r="AO232" s="47"/>
      <c r="AP232" s="7">
        <f>VLOOKUP(B:B,Table3[#All],4,0)</f>
        <v>4500</v>
      </c>
      <c r="AQ232" s="7">
        <f>calcShift1(Таблица1[[#This Row],[Столбец5]:[Столбец36]])</f>
        <v>119.99999999999997</v>
      </c>
      <c r="AR232" s="7">
        <f>calcShift2(Таблица1[[#This Row],[Столбец5]:[Столбец36]])</f>
        <v>32</v>
      </c>
      <c r="AS232" s="7">
        <f>calcShift3(Таблица1[[#This Row],[Столбец5]:[Столбец36]])</f>
        <v>0</v>
      </c>
      <c r="AT232" s="47"/>
      <c r="AU232" s="7">
        <f>calcYavka(Таблица1[[#This Row],[Столбец5]:[Столбец36]])</f>
        <v>19</v>
      </c>
      <c r="AV232" s="52"/>
      <c r="AW232" s="18">
        <f>VLOOKUP(B:B,ДОП_ВСІ!B:AS,44,0)</f>
        <v>0</v>
      </c>
      <c r="AX232" s="7">
        <f>VLOOKUP(B:B,ДОП_ВСІ!B:AQ,42,0)</f>
        <v>0</v>
      </c>
      <c r="AY232" s="7">
        <f>Таблица1[[#This Row],[Столбец47]]*30</f>
        <v>570</v>
      </c>
      <c r="AZ232" s="6">
        <f>((((Таблица1[[#This Row],[Столбец42]]/160)*Таблица1[[#This Row],[Столбец44]])*0.25)*0.35)+((((Таблица1[[#This Row],[Столбец42]]/160)*Таблица1[[#This Row],[Столбец44]])*0.5)*0.2)</f>
        <v>168.75</v>
      </c>
      <c r="BA232" s="47"/>
      <c r="BB232" s="47">
        <f>calcTS(Таблица1[[#This Row],[Столбец5]:[Столбец36]])</f>
        <v>0</v>
      </c>
    </row>
    <row r="233" spans="1:54" ht="42" x14ac:dyDescent="0.35">
      <c r="A233" s="46" t="s">
        <v>510</v>
      </c>
      <c r="B233" s="47" t="s">
        <v>511</v>
      </c>
      <c r="C233" s="48" t="s">
        <v>118</v>
      </c>
      <c r="D233" s="63" t="s">
        <v>2564</v>
      </c>
      <c r="E233" s="49" t="s">
        <v>2486</v>
      </c>
      <c r="F233" s="48" t="s">
        <v>2543</v>
      </c>
      <c r="G233" s="48" t="s">
        <v>2543</v>
      </c>
      <c r="H233" s="48" t="s">
        <v>2543</v>
      </c>
      <c r="I233" s="48" t="s">
        <v>2543</v>
      </c>
      <c r="J233" s="48" t="s">
        <v>2486</v>
      </c>
      <c r="K233" s="49" t="s">
        <v>2486</v>
      </c>
      <c r="L233" s="48" t="s">
        <v>2542</v>
      </c>
      <c r="M233" s="48" t="s">
        <v>2542</v>
      </c>
      <c r="N233" s="49" t="s">
        <v>2486</v>
      </c>
      <c r="O233" s="49" t="s">
        <v>2543</v>
      </c>
      <c r="P233" s="49" t="s">
        <v>2543</v>
      </c>
      <c r="Q233" s="49" t="s">
        <v>2543</v>
      </c>
      <c r="R233" s="48" t="s">
        <v>2543</v>
      </c>
      <c r="S233" s="48" t="s">
        <v>2543</v>
      </c>
      <c r="T233" s="48" t="s">
        <v>2486</v>
      </c>
      <c r="U233" s="48" t="s">
        <v>2543</v>
      </c>
      <c r="V233" s="48" t="s">
        <v>2486</v>
      </c>
      <c r="W233" s="48" t="s">
        <v>141</v>
      </c>
      <c r="X233" s="48" t="s">
        <v>2542</v>
      </c>
      <c r="Y233" s="48" t="s">
        <v>2485</v>
      </c>
      <c r="Z233" s="48" t="s">
        <v>2485</v>
      </c>
      <c r="AA233" s="48" t="s">
        <v>2485</v>
      </c>
      <c r="AB233" s="48" t="s">
        <v>2485</v>
      </c>
      <c r="AC233" s="48" t="s">
        <v>2485</v>
      </c>
      <c r="AD233" s="48" t="s">
        <v>2485</v>
      </c>
      <c r="AE233" s="48" t="s">
        <v>2485</v>
      </c>
      <c r="AF233" s="48" t="s">
        <v>2485</v>
      </c>
      <c r="AG233" s="48" t="s">
        <v>2485</v>
      </c>
      <c r="AH233" s="48" t="s">
        <v>2485</v>
      </c>
      <c r="AI233" s="48" t="s">
        <v>2583</v>
      </c>
      <c r="AJ233" s="50" t="s">
        <v>2597</v>
      </c>
      <c r="AK233" s="51" t="s">
        <v>74</v>
      </c>
      <c r="AL233" s="47" t="s">
        <v>76</v>
      </c>
      <c r="AM233" s="47"/>
      <c r="AN233" s="47"/>
      <c r="AO233" s="47"/>
      <c r="AP233" s="7">
        <f>VLOOKUP(B:B,Table3[#All],4,0)</f>
        <v>4500</v>
      </c>
      <c r="AQ233" s="7">
        <f>calcShift1(Таблица1[[#This Row],[Столбец5]:[Столбец36]])</f>
        <v>88</v>
      </c>
      <c r="AR233" s="7">
        <f>calcShift2(Таблица1[[#This Row],[Столбец5]:[Столбец36]])</f>
        <v>24</v>
      </c>
      <c r="AS233" s="7">
        <f>calcShift3(Таблица1[[#This Row],[Столбец5]:[Столбец36]])</f>
        <v>0</v>
      </c>
      <c r="AT233" s="47"/>
      <c r="AU233" s="7">
        <f>calcYavka(Таблица1[[#This Row],[Столбец5]:[Столбец36]])</f>
        <v>14</v>
      </c>
      <c r="AV233" s="52"/>
      <c r="AW233" s="18">
        <f>VLOOKUP(B:B,ДОП_ВСІ!B:AS,44,0)</f>
        <v>0</v>
      </c>
      <c r="AX233" s="7">
        <f>VLOOKUP(B:B,ДОП_ВСІ!B:AQ,42,0)</f>
        <v>0</v>
      </c>
      <c r="AY233" s="7">
        <f>Таблица1[[#This Row],[Столбец47]]*30</f>
        <v>420</v>
      </c>
      <c r="AZ233" s="6">
        <f>((((Таблица1[[#This Row],[Столбец42]]/160)*Таблица1[[#This Row],[Столбец44]])*0.25)*0.35)+((((Таблица1[[#This Row],[Столбец42]]/160)*Таблица1[[#This Row],[Столбец44]])*0.5)*0.2)</f>
        <v>126.5625</v>
      </c>
      <c r="BA233" s="47"/>
      <c r="BB233" s="47">
        <f>calcTS(Таблица1[[#This Row],[Столбец5]:[Столбец36]])</f>
        <v>0</v>
      </c>
    </row>
    <row r="234" spans="1:54" ht="42" x14ac:dyDescent="0.35">
      <c r="A234" s="46" t="s">
        <v>512</v>
      </c>
      <c r="B234" s="47" t="s">
        <v>513</v>
      </c>
      <c r="C234" s="48" t="s">
        <v>118</v>
      </c>
      <c r="D234" s="63" t="s">
        <v>2564</v>
      </c>
      <c r="E234" s="49" t="s">
        <v>2501</v>
      </c>
      <c r="F234" s="48" t="s">
        <v>2501</v>
      </c>
      <c r="G234" s="48" t="s">
        <v>2501</v>
      </c>
      <c r="H234" s="48" t="s">
        <v>2501</v>
      </c>
      <c r="I234" s="48" t="s">
        <v>2485</v>
      </c>
      <c r="J234" s="48" t="s">
        <v>2485</v>
      </c>
      <c r="K234" s="49" t="s">
        <v>2485</v>
      </c>
      <c r="L234" s="48" t="s">
        <v>2486</v>
      </c>
      <c r="M234" s="48" t="s">
        <v>2486</v>
      </c>
      <c r="N234" s="49" t="s">
        <v>2543</v>
      </c>
      <c r="O234" s="49" t="s">
        <v>2543</v>
      </c>
      <c r="P234" s="49" t="s">
        <v>2543</v>
      </c>
      <c r="Q234" s="49" t="s">
        <v>2543</v>
      </c>
      <c r="R234" s="48" t="s">
        <v>2486</v>
      </c>
      <c r="S234" s="48" t="s">
        <v>2486</v>
      </c>
      <c r="T234" s="48" t="s">
        <v>2542</v>
      </c>
      <c r="U234" s="48" t="s">
        <v>2542</v>
      </c>
      <c r="V234" s="48" t="s">
        <v>2542</v>
      </c>
      <c r="W234" s="48" t="s">
        <v>2542</v>
      </c>
      <c r="X234" s="48" t="s">
        <v>2486</v>
      </c>
      <c r="Y234" s="48" t="s">
        <v>2486</v>
      </c>
      <c r="Z234" s="48" t="s">
        <v>141</v>
      </c>
      <c r="AA234" s="48" t="s">
        <v>141</v>
      </c>
      <c r="AB234" s="48" t="s">
        <v>141</v>
      </c>
      <c r="AC234" s="48" t="s">
        <v>141</v>
      </c>
      <c r="AD234" s="48" t="s">
        <v>2486</v>
      </c>
      <c r="AE234" s="48" t="s">
        <v>2486</v>
      </c>
      <c r="AF234" s="48" t="s">
        <v>2542</v>
      </c>
      <c r="AG234" s="48" t="s">
        <v>2542</v>
      </c>
      <c r="AH234" s="48" t="s">
        <v>135</v>
      </c>
      <c r="AI234" s="48" t="s">
        <v>2569</v>
      </c>
      <c r="AJ234" s="50" t="s">
        <v>2580</v>
      </c>
      <c r="AK234" s="51" t="s">
        <v>75</v>
      </c>
      <c r="AL234" s="47" t="s">
        <v>75</v>
      </c>
      <c r="AM234" s="47"/>
      <c r="AN234" s="47"/>
      <c r="AO234" s="47"/>
      <c r="AP234" s="7">
        <f>VLOOKUP(B:B,Table3[#All],4,0)</f>
        <v>4500</v>
      </c>
      <c r="AQ234" s="7">
        <f>calcShift1(Таблица1[[#This Row],[Столбец5]:[Столбец36]])</f>
        <v>64</v>
      </c>
      <c r="AR234" s="7">
        <f>calcShift2(Таблица1[[#This Row],[Столбец5]:[Столбец36]])</f>
        <v>55.999999999999993</v>
      </c>
      <c r="AS234" s="7">
        <f>calcShift3(Таблица1[[#This Row],[Столбец5]:[Столбец36]])</f>
        <v>0</v>
      </c>
      <c r="AT234" s="47"/>
      <c r="AU234" s="7">
        <f>calcYavka(Таблица1[[#This Row],[Столбец5]:[Столбец36]])</f>
        <v>15</v>
      </c>
      <c r="AV234" s="52"/>
      <c r="AW234" s="18">
        <f>VLOOKUP(B:B,ДОП_ВСІ!B:AS,44,0)</f>
        <v>0</v>
      </c>
      <c r="AX234" s="7">
        <f>VLOOKUP(B:B,ДОП_ВСІ!B:AQ,42,0)</f>
        <v>0</v>
      </c>
      <c r="AY234" s="7">
        <f>Таблица1[[#This Row],[Столбец47]]*30</f>
        <v>450</v>
      </c>
      <c r="AZ234" s="6">
        <f>((((Таблица1[[#This Row],[Столбец42]]/160)*Таблица1[[#This Row],[Столбец44]])*0.25)*0.35)+((((Таблица1[[#This Row],[Столбец42]]/160)*Таблица1[[#This Row],[Столбец44]])*0.5)*0.2)</f>
        <v>295.3125</v>
      </c>
      <c r="BA234" s="47"/>
      <c r="BB234" s="47">
        <f>calcTS(Таблица1[[#This Row],[Столбец5]:[Столбец36]])</f>
        <v>0</v>
      </c>
    </row>
    <row r="235" spans="1:54" ht="42" x14ac:dyDescent="0.35">
      <c r="A235" s="46" t="s">
        <v>514</v>
      </c>
      <c r="B235" s="47" t="s">
        <v>515</v>
      </c>
      <c r="C235" s="48" t="s">
        <v>118</v>
      </c>
      <c r="D235" s="63" t="s">
        <v>2564</v>
      </c>
      <c r="E235" s="49" t="s">
        <v>141</v>
      </c>
      <c r="F235" s="48" t="s">
        <v>2486</v>
      </c>
      <c r="G235" s="48" t="s">
        <v>2486</v>
      </c>
      <c r="H235" s="48" t="s">
        <v>135</v>
      </c>
      <c r="I235" s="48" t="s">
        <v>135</v>
      </c>
      <c r="J235" s="48" t="s">
        <v>135</v>
      </c>
      <c r="K235" s="49" t="s">
        <v>135</v>
      </c>
      <c r="L235" s="48" t="s">
        <v>2486</v>
      </c>
      <c r="M235" s="48" t="s">
        <v>2486</v>
      </c>
      <c r="N235" s="49" t="s">
        <v>2543</v>
      </c>
      <c r="O235" s="49" t="s">
        <v>2543</v>
      </c>
      <c r="P235" s="49" t="s">
        <v>2543</v>
      </c>
      <c r="Q235" s="49" t="s">
        <v>2543</v>
      </c>
      <c r="R235" s="48" t="s">
        <v>2486</v>
      </c>
      <c r="S235" s="48" t="s">
        <v>2486</v>
      </c>
      <c r="T235" s="48" t="s">
        <v>2542</v>
      </c>
      <c r="U235" s="48" t="s">
        <v>2542</v>
      </c>
      <c r="V235" s="48" t="s">
        <v>2542</v>
      </c>
      <c r="W235" s="48" t="s">
        <v>2542</v>
      </c>
      <c r="X235" s="48" t="s">
        <v>2486</v>
      </c>
      <c r="Y235" s="48" t="s">
        <v>2486</v>
      </c>
      <c r="Z235" s="48" t="s">
        <v>141</v>
      </c>
      <c r="AA235" s="48" t="s">
        <v>141</v>
      </c>
      <c r="AB235" s="48" t="s">
        <v>141</v>
      </c>
      <c r="AC235" s="48" t="s">
        <v>141</v>
      </c>
      <c r="AD235" s="48" t="s">
        <v>2486</v>
      </c>
      <c r="AE235" s="48" t="s">
        <v>2486</v>
      </c>
      <c r="AF235" s="48" t="s">
        <v>2542</v>
      </c>
      <c r="AG235" s="48" t="s">
        <v>2542</v>
      </c>
      <c r="AH235" s="48" t="s">
        <v>135</v>
      </c>
      <c r="AI235" s="48" t="s">
        <v>2580</v>
      </c>
      <c r="AJ235" s="50" t="s">
        <v>2580</v>
      </c>
      <c r="AK235" s="51" t="s">
        <v>54</v>
      </c>
      <c r="AL235" s="47" t="s">
        <v>55</v>
      </c>
      <c r="AM235" s="47"/>
      <c r="AN235" s="47"/>
      <c r="AO235" s="47"/>
      <c r="AP235" s="7">
        <f>VLOOKUP(B:B,Table3[#All],4,0)</f>
        <v>4500</v>
      </c>
      <c r="AQ235" s="7">
        <f>calcShift1(Таблица1[[#This Row],[Столбец5]:[Столбец36]])</f>
        <v>72</v>
      </c>
      <c r="AR235" s="7">
        <f>calcShift2(Таблица1[[#This Row],[Столбец5]:[Столбец36]])</f>
        <v>88</v>
      </c>
      <c r="AS235" s="7">
        <f>calcShift3(Таблица1[[#This Row],[Столбец5]:[Столбец36]])</f>
        <v>0</v>
      </c>
      <c r="AT235" s="47"/>
      <c r="AU235" s="7">
        <f>calcYavka(Таблица1[[#This Row],[Столбец5]:[Столбец36]])</f>
        <v>20</v>
      </c>
      <c r="AV235" s="52"/>
      <c r="AW235" s="18">
        <f>VLOOKUP(B:B,ДОП_ВСІ!B:AS,44,0)</f>
        <v>0</v>
      </c>
      <c r="AX235" s="7">
        <f>VLOOKUP(B:B,ДОП_ВСІ!B:AQ,42,0)</f>
        <v>0</v>
      </c>
      <c r="AY235" s="7">
        <f>Таблица1[[#This Row],[Столбец47]]*30</f>
        <v>600</v>
      </c>
      <c r="AZ235" s="6">
        <f>((((Таблица1[[#This Row],[Столбец42]]/160)*Таблица1[[#This Row],[Столбец44]])*0.25)*0.35)+((((Таблица1[[#This Row],[Столбец42]]/160)*Таблица1[[#This Row],[Столбец44]])*0.5)*0.2)</f>
        <v>464.0625</v>
      </c>
      <c r="BA235" s="47"/>
      <c r="BB235" s="47">
        <f>calcTS(Таблица1[[#This Row],[Столбец5]:[Столбец36]])</f>
        <v>0</v>
      </c>
    </row>
    <row r="236" spans="1:54" ht="42" x14ac:dyDescent="0.35">
      <c r="A236" s="46" t="s">
        <v>516</v>
      </c>
      <c r="B236" s="47" t="s">
        <v>517</v>
      </c>
      <c r="C236" s="48" t="s">
        <v>118</v>
      </c>
      <c r="D236" s="63" t="s">
        <v>2564</v>
      </c>
      <c r="E236" s="49" t="s">
        <v>141</v>
      </c>
      <c r="F236" s="48" t="s">
        <v>2486</v>
      </c>
      <c r="G236" s="48" t="s">
        <v>2486</v>
      </c>
      <c r="H236" s="48" t="s">
        <v>135</v>
      </c>
      <c r="I236" s="48" t="s">
        <v>135</v>
      </c>
      <c r="J236" s="48" t="s">
        <v>135</v>
      </c>
      <c r="K236" s="49" t="s">
        <v>135</v>
      </c>
      <c r="L236" s="48" t="s">
        <v>2486</v>
      </c>
      <c r="M236" s="48" t="s">
        <v>2486</v>
      </c>
      <c r="N236" s="49" t="s">
        <v>2543</v>
      </c>
      <c r="O236" s="49" t="s">
        <v>2543</v>
      </c>
      <c r="P236" s="49" t="s">
        <v>2543</v>
      </c>
      <c r="Q236" s="49" t="s">
        <v>2543</v>
      </c>
      <c r="R236" s="48" t="s">
        <v>2486</v>
      </c>
      <c r="S236" s="48" t="s">
        <v>2486</v>
      </c>
      <c r="T236" s="48" t="s">
        <v>2501</v>
      </c>
      <c r="U236" s="48" t="s">
        <v>2501</v>
      </c>
      <c r="V236" s="48" t="s">
        <v>2501</v>
      </c>
      <c r="W236" s="48" t="s">
        <v>2501</v>
      </c>
      <c r="X236" s="48" t="s">
        <v>2501</v>
      </c>
      <c r="Y236" s="48" t="s">
        <v>2501</v>
      </c>
      <c r="Z236" s="48" t="s">
        <v>2501</v>
      </c>
      <c r="AA236" s="48" t="s">
        <v>2501</v>
      </c>
      <c r="AB236" s="48" t="s">
        <v>2501</v>
      </c>
      <c r="AC236" s="48" t="s">
        <v>2501</v>
      </c>
      <c r="AD236" s="48" t="s">
        <v>2501</v>
      </c>
      <c r="AE236" s="48" t="s">
        <v>2501</v>
      </c>
      <c r="AF236" s="48" t="s">
        <v>2501</v>
      </c>
      <c r="AG236" s="48" t="s">
        <v>2501</v>
      </c>
      <c r="AH236" s="48" t="s">
        <v>135</v>
      </c>
      <c r="AI236" s="48" t="s">
        <v>2588</v>
      </c>
      <c r="AJ236" s="50" t="s">
        <v>2580</v>
      </c>
      <c r="AK236" s="51" t="s">
        <v>55</v>
      </c>
      <c r="AL236" s="47" t="s">
        <v>54</v>
      </c>
      <c r="AM236" s="47"/>
      <c r="AN236" s="47"/>
      <c r="AO236" s="47"/>
      <c r="AP236" s="7">
        <f>VLOOKUP(B:B,Table3[#All],4,0)</f>
        <v>4500</v>
      </c>
      <c r="AQ236" s="7">
        <f>calcShift1(Таблица1[[#This Row],[Столбец5]:[Столбец36]])</f>
        <v>40</v>
      </c>
      <c r="AR236" s="7">
        <f>calcShift2(Таблица1[[#This Row],[Столбец5]:[Столбец36]])</f>
        <v>40</v>
      </c>
      <c r="AS236" s="7">
        <f>calcShift3(Таблица1[[#This Row],[Столбец5]:[Столбец36]])</f>
        <v>0</v>
      </c>
      <c r="AT236" s="47"/>
      <c r="AU236" s="7">
        <f>calcYavka(Таблица1[[#This Row],[Столбец5]:[Столбец36]])</f>
        <v>10</v>
      </c>
      <c r="AV236" s="52"/>
      <c r="AW236" s="18">
        <f>VLOOKUP(B:B,ДОП_ВСІ!B:AS,44,0)</f>
        <v>0</v>
      </c>
      <c r="AX236" s="7">
        <f>VLOOKUP(B:B,ДОП_ВСІ!B:AQ,42,0)</f>
        <v>0</v>
      </c>
      <c r="AY236" s="7">
        <f>Таблица1[[#This Row],[Столбец47]]*30</f>
        <v>300</v>
      </c>
      <c r="AZ236" s="6">
        <f>((((Таблица1[[#This Row],[Столбец42]]/160)*Таблица1[[#This Row],[Столбец44]])*0.25)*0.35)+((((Таблица1[[#This Row],[Столбец42]]/160)*Таблица1[[#This Row],[Столбец44]])*0.5)*0.2)</f>
        <v>210.9375</v>
      </c>
      <c r="BA236" s="47"/>
      <c r="BB236" s="47">
        <f>calcTS(Таблица1[[#This Row],[Столбец5]:[Столбец36]])</f>
        <v>0</v>
      </c>
    </row>
    <row r="237" spans="1:54" ht="42" x14ac:dyDescent="0.35">
      <c r="A237" s="46" t="s">
        <v>518</v>
      </c>
      <c r="B237" s="47" t="s">
        <v>519</v>
      </c>
      <c r="C237" s="48" t="s">
        <v>118</v>
      </c>
      <c r="D237" s="63" t="s">
        <v>2564</v>
      </c>
      <c r="E237" s="49" t="s">
        <v>141</v>
      </c>
      <c r="F237" s="48" t="s">
        <v>2486</v>
      </c>
      <c r="G237" s="48" t="s">
        <v>2486</v>
      </c>
      <c r="H237" s="48" t="s">
        <v>135</v>
      </c>
      <c r="I237" s="48" t="s">
        <v>135</v>
      </c>
      <c r="J237" s="48" t="s">
        <v>135</v>
      </c>
      <c r="K237" s="49" t="s">
        <v>135</v>
      </c>
      <c r="L237" s="48" t="s">
        <v>2486</v>
      </c>
      <c r="M237" s="48" t="s">
        <v>2486</v>
      </c>
      <c r="N237" s="49" t="s">
        <v>2543</v>
      </c>
      <c r="O237" s="49" t="s">
        <v>2543</v>
      </c>
      <c r="P237" s="49" t="s">
        <v>2501</v>
      </c>
      <c r="Q237" s="49" t="s">
        <v>2501</v>
      </c>
      <c r="R237" s="48" t="s">
        <v>2501</v>
      </c>
      <c r="S237" s="48" t="s">
        <v>2501</v>
      </c>
      <c r="T237" s="48" t="s">
        <v>2501</v>
      </c>
      <c r="U237" s="48" t="s">
        <v>2501</v>
      </c>
      <c r="V237" s="48" t="s">
        <v>2501</v>
      </c>
      <c r="W237" s="48" t="s">
        <v>2501</v>
      </c>
      <c r="X237" s="48" t="s">
        <v>2501</v>
      </c>
      <c r="Y237" s="48" t="s">
        <v>2501</v>
      </c>
      <c r="Z237" s="48" t="s">
        <v>2501</v>
      </c>
      <c r="AA237" s="48" t="s">
        <v>2501</v>
      </c>
      <c r="AB237" s="48" t="s">
        <v>2501</v>
      </c>
      <c r="AC237" s="48" t="s">
        <v>2501</v>
      </c>
      <c r="AD237" s="48" t="s">
        <v>2486</v>
      </c>
      <c r="AE237" s="48" t="s">
        <v>2486</v>
      </c>
      <c r="AF237" s="48" t="s">
        <v>2485</v>
      </c>
      <c r="AG237" s="48" t="s">
        <v>2485</v>
      </c>
      <c r="AH237" s="48" t="s">
        <v>2485</v>
      </c>
      <c r="AI237" s="48" t="s">
        <v>2599</v>
      </c>
      <c r="AJ237" s="50" t="s">
        <v>2580</v>
      </c>
      <c r="AK237" s="51" t="s">
        <v>2600</v>
      </c>
      <c r="AL237" s="47" t="s">
        <v>88</v>
      </c>
      <c r="AM237" s="47"/>
      <c r="AN237" s="47"/>
      <c r="AO237" s="47"/>
      <c r="AP237" s="7">
        <f>VLOOKUP(B:B,Table3[#All],4,0)</f>
        <v>4500</v>
      </c>
      <c r="AQ237" s="7">
        <f>calcShift1(Таблица1[[#This Row],[Столбец5]:[Столбец36]])</f>
        <v>24</v>
      </c>
      <c r="AR237" s="7">
        <f>calcShift2(Таблица1[[#This Row],[Столбец5]:[Столбец36]])</f>
        <v>32</v>
      </c>
      <c r="AS237" s="7">
        <f>calcShift3(Таблица1[[#This Row],[Столбец5]:[Столбец36]])</f>
        <v>0</v>
      </c>
      <c r="AT237" s="47"/>
      <c r="AU237" s="7">
        <f>calcYavka(Таблица1[[#This Row],[Столбец5]:[Столбец36]])</f>
        <v>7</v>
      </c>
      <c r="AV237" s="52"/>
      <c r="AW237" s="18">
        <f>VLOOKUP(B:B,ДОП_ВСІ!B:AS,44,0)</f>
        <v>0</v>
      </c>
      <c r="AX237" s="7">
        <f>VLOOKUP(B:B,ДОП_ВСІ!B:AQ,42,0)</f>
        <v>0</v>
      </c>
      <c r="AY237" s="7">
        <f>Таблица1[[#This Row],[Столбец47]]*30</f>
        <v>210</v>
      </c>
      <c r="AZ237" s="6">
        <f>((((Таблица1[[#This Row],[Столбец42]]/160)*Таблица1[[#This Row],[Столбец44]])*0.25)*0.35)+((((Таблица1[[#This Row],[Столбец42]]/160)*Таблица1[[#This Row],[Столбец44]])*0.5)*0.2)</f>
        <v>168.75</v>
      </c>
      <c r="BA237" s="47"/>
      <c r="BB237" s="47">
        <f>calcTS(Таблица1[[#This Row],[Столбец5]:[Столбец36]])</f>
        <v>0</v>
      </c>
    </row>
    <row r="238" spans="1:54" ht="42" x14ac:dyDescent="0.35">
      <c r="A238" s="46" t="s">
        <v>520</v>
      </c>
      <c r="B238" s="47" t="s">
        <v>521</v>
      </c>
      <c r="C238" s="48" t="s">
        <v>118</v>
      </c>
      <c r="D238" s="63" t="s">
        <v>2564</v>
      </c>
      <c r="E238" s="49" t="s">
        <v>141</v>
      </c>
      <c r="F238" s="48" t="s">
        <v>2486</v>
      </c>
      <c r="G238" s="48" t="s">
        <v>2486</v>
      </c>
      <c r="H238" s="48" t="s">
        <v>135</v>
      </c>
      <c r="I238" s="48" t="s">
        <v>135</v>
      </c>
      <c r="J238" s="48" t="s">
        <v>135</v>
      </c>
      <c r="K238" s="49" t="s">
        <v>135</v>
      </c>
      <c r="L238" s="48" t="s">
        <v>2486</v>
      </c>
      <c r="M238" s="48" t="s">
        <v>2486</v>
      </c>
      <c r="N238" s="49" t="s">
        <v>2543</v>
      </c>
      <c r="O238" s="49" t="s">
        <v>2543</v>
      </c>
      <c r="P238" s="49" t="s">
        <v>2543</v>
      </c>
      <c r="Q238" s="49" t="s">
        <v>2543</v>
      </c>
      <c r="R238" s="48" t="s">
        <v>2486</v>
      </c>
      <c r="S238" s="48" t="s">
        <v>2486</v>
      </c>
      <c r="T238" s="48" t="s">
        <v>2542</v>
      </c>
      <c r="U238" s="48" t="s">
        <v>2542</v>
      </c>
      <c r="V238" s="48" t="s">
        <v>2542</v>
      </c>
      <c r="W238" s="48" t="s">
        <v>2485</v>
      </c>
      <c r="X238" s="48" t="s">
        <v>2486</v>
      </c>
      <c r="Y238" s="48" t="s">
        <v>2486</v>
      </c>
      <c r="Z238" s="48" t="s">
        <v>141</v>
      </c>
      <c r="AA238" s="48" t="s">
        <v>141</v>
      </c>
      <c r="AB238" s="48" t="s">
        <v>141</v>
      </c>
      <c r="AC238" s="48" t="s">
        <v>141</v>
      </c>
      <c r="AD238" s="48" t="s">
        <v>2486</v>
      </c>
      <c r="AE238" s="48" t="s">
        <v>2486</v>
      </c>
      <c r="AF238" s="48" t="s">
        <v>2542</v>
      </c>
      <c r="AG238" s="48" t="s">
        <v>2542</v>
      </c>
      <c r="AH238" s="48" t="s">
        <v>2542</v>
      </c>
      <c r="AI238" s="48" t="s">
        <v>2597</v>
      </c>
      <c r="AJ238" s="50" t="s">
        <v>2580</v>
      </c>
      <c r="AK238" s="51" t="s">
        <v>72</v>
      </c>
      <c r="AL238" s="47" t="s">
        <v>71</v>
      </c>
      <c r="AM238" s="47"/>
      <c r="AN238" s="47"/>
      <c r="AO238" s="47"/>
      <c r="AP238" s="7">
        <f>VLOOKUP(B:B,Table3[#All],4,0)</f>
        <v>4500</v>
      </c>
      <c r="AQ238" s="7">
        <f>calcShift1(Таблица1[[#This Row],[Столбец5]:[Столбец36]])</f>
        <v>72</v>
      </c>
      <c r="AR238" s="7">
        <f>calcShift2(Таблица1[[#This Row],[Столбец5]:[Столбец36]])</f>
        <v>80</v>
      </c>
      <c r="AS238" s="7">
        <f>calcShift3(Таблица1[[#This Row],[Столбец5]:[Столбец36]])</f>
        <v>0</v>
      </c>
      <c r="AT238" s="47"/>
      <c r="AU238" s="7">
        <f>calcYavka(Таблица1[[#This Row],[Столбец5]:[Столбец36]])</f>
        <v>19</v>
      </c>
      <c r="AV238" s="52"/>
      <c r="AW238" s="18">
        <f>VLOOKUP(B:B,ДОП_ВСІ!B:AS,44,0)</f>
        <v>0</v>
      </c>
      <c r="AX238" s="7">
        <f>VLOOKUP(B:B,ДОП_ВСІ!B:AQ,42,0)</f>
        <v>0</v>
      </c>
      <c r="AY238" s="7">
        <f>Таблица1[[#This Row],[Столбец47]]*30</f>
        <v>570</v>
      </c>
      <c r="AZ238" s="6">
        <f>((((Таблица1[[#This Row],[Столбец42]]/160)*Таблица1[[#This Row],[Столбец44]])*0.25)*0.35)+((((Таблица1[[#This Row],[Столбец42]]/160)*Таблица1[[#This Row],[Столбец44]])*0.5)*0.2)</f>
        <v>421.875</v>
      </c>
      <c r="BA238" s="47"/>
      <c r="BB238" s="47">
        <f>calcTS(Таблица1[[#This Row],[Столбец5]:[Столбец36]])</f>
        <v>0</v>
      </c>
    </row>
    <row r="239" spans="1:54" ht="42" x14ac:dyDescent="0.35">
      <c r="A239" s="46" t="s">
        <v>522</v>
      </c>
      <c r="B239" s="47" t="s">
        <v>523</v>
      </c>
      <c r="C239" s="48" t="s">
        <v>118</v>
      </c>
      <c r="D239" s="63" t="s">
        <v>2564</v>
      </c>
      <c r="E239" s="49" t="s">
        <v>141</v>
      </c>
      <c r="F239" s="48" t="s">
        <v>2486</v>
      </c>
      <c r="G239" s="48" t="s">
        <v>2486</v>
      </c>
      <c r="H239" s="48" t="s">
        <v>135</v>
      </c>
      <c r="I239" s="48" t="s">
        <v>135</v>
      </c>
      <c r="J239" s="48" t="s">
        <v>135</v>
      </c>
      <c r="K239" s="49" t="s">
        <v>135</v>
      </c>
      <c r="L239" s="48" t="s">
        <v>2486</v>
      </c>
      <c r="M239" s="48" t="s">
        <v>2486</v>
      </c>
      <c r="N239" s="49" t="s">
        <v>2543</v>
      </c>
      <c r="O239" s="49" t="s">
        <v>2543</v>
      </c>
      <c r="P239" s="49" t="s">
        <v>2543</v>
      </c>
      <c r="Q239" s="49" t="s">
        <v>2543</v>
      </c>
      <c r="R239" s="48" t="s">
        <v>2486</v>
      </c>
      <c r="S239" s="48" t="s">
        <v>2486</v>
      </c>
      <c r="T239" s="48" t="s">
        <v>2542</v>
      </c>
      <c r="U239" s="48" t="s">
        <v>2542</v>
      </c>
      <c r="V239" s="48" t="s">
        <v>2542</v>
      </c>
      <c r="W239" s="48" t="s">
        <v>2542</v>
      </c>
      <c r="X239" s="48" t="s">
        <v>2486</v>
      </c>
      <c r="Y239" s="48" t="s">
        <v>2486</v>
      </c>
      <c r="Z239" s="48" t="s">
        <v>141</v>
      </c>
      <c r="AA239" s="48" t="s">
        <v>141</v>
      </c>
      <c r="AB239" s="48" t="s">
        <v>141</v>
      </c>
      <c r="AC239" s="48" t="s">
        <v>141</v>
      </c>
      <c r="AD239" s="48" t="s">
        <v>2486</v>
      </c>
      <c r="AE239" s="48" t="s">
        <v>2486</v>
      </c>
      <c r="AF239" s="48" t="s">
        <v>2542</v>
      </c>
      <c r="AG239" s="48" t="s">
        <v>2542</v>
      </c>
      <c r="AH239" s="48" t="s">
        <v>2542</v>
      </c>
      <c r="AI239" s="48" t="s">
        <v>2580</v>
      </c>
      <c r="AJ239" s="50" t="s">
        <v>2580</v>
      </c>
      <c r="AK239" s="51" t="s">
        <v>54</v>
      </c>
      <c r="AL239" s="47" t="s">
        <v>55</v>
      </c>
      <c r="AM239" s="47"/>
      <c r="AN239" s="47"/>
      <c r="AO239" s="47"/>
      <c r="AP239" s="7">
        <f>VLOOKUP(B:B,Table3[#All],4,0)</f>
        <v>4500</v>
      </c>
      <c r="AQ239" s="7">
        <f>calcShift1(Таблица1[[#This Row],[Столбец5]:[Столбец36]])</f>
        <v>72</v>
      </c>
      <c r="AR239" s="7">
        <f>calcShift2(Таблица1[[#This Row],[Столбец5]:[Столбец36]])</f>
        <v>88</v>
      </c>
      <c r="AS239" s="7">
        <f>calcShift3(Таблица1[[#This Row],[Столбец5]:[Столбец36]])</f>
        <v>0</v>
      </c>
      <c r="AT239" s="47"/>
      <c r="AU239" s="7">
        <f>calcYavka(Таблица1[[#This Row],[Столбец5]:[Столбец36]])</f>
        <v>20</v>
      </c>
      <c r="AV239" s="52"/>
      <c r="AW239" s="18">
        <f>VLOOKUP(B:B,ДОП_ВСІ!B:AS,44,0)</f>
        <v>0</v>
      </c>
      <c r="AX239" s="7">
        <f>VLOOKUP(B:B,ДОП_ВСІ!B:AQ,42,0)</f>
        <v>0</v>
      </c>
      <c r="AY239" s="7">
        <f>Таблица1[[#This Row],[Столбец47]]*30</f>
        <v>600</v>
      </c>
      <c r="AZ239" s="6">
        <f>((((Таблица1[[#This Row],[Столбец42]]/160)*Таблица1[[#This Row],[Столбец44]])*0.25)*0.35)+((((Таблица1[[#This Row],[Столбец42]]/160)*Таблица1[[#This Row],[Столбец44]])*0.5)*0.2)</f>
        <v>464.0625</v>
      </c>
      <c r="BA239" s="47"/>
      <c r="BB239" s="47">
        <f>calcTS(Таблица1[[#This Row],[Столбец5]:[Столбец36]])</f>
        <v>0</v>
      </c>
    </row>
    <row r="240" spans="1:54" ht="42" x14ac:dyDescent="0.35">
      <c r="A240" s="46" t="s">
        <v>524</v>
      </c>
      <c r="B240" s="47" t="s">
        <v>525</v>
      </c>
      <c r="C240" s="48" t="s">
        <v>118</v>
      </c>
      <c r="D240" s="63" t="s">
        <v>2564</v>
      </c>
      <c r="E240" s="49" t="s">
        <v>141</v>
      </c>
      <c r="F240" s="48" t="s">
        <v>2486</v>
      </c>
      <c r="G240" s="48" t="s">
        <v>2486</v>
      </c>
      <c r="H240" s="48" t="s">
        <v>135</v>
      </c>
      <c r="I240" s="48" t="s">
        <v>135</v>
      </c>
      <c r="J240" s="48" t="s">
        <v>135</v>
      </c>
      <c r="K240" s="49" t="s">
        <v>135</v>
      </c>
      <c r="L240" s="48" t="s">
        <v>2486</v>
      </c>
      <c r="M240" s="48" t="s">
        <v>2486</v>
      </c>
      <c r="N240" s="49" t="s">
        <v>2543</v>
      </c>
      <c r="O240" s="49" t="s">
        <v>2543</v>
      </c>
      <c r="P240" s="49" t="s">
        <v>2543</v>
      </c>
      <c r="Q240" s="49" t="s">
        <v>2543</v>
      </c>
      <c r="R240" s="48" t="s">
        <v>2486</v>
      </c>
      <c r="S240" s="48" t="s">
        <v>2486</v>
      </c>
      <c r="T240" s="48" t="s">
        <v>2501</v>
      </c>
      <c r="U240" s="48" t="s">
        <v>2501</v>
      </c>
      <c r="V240" s="48" t="s">
        <v>2501</v>
      </c>
      <c r="W240" s="48" t="s">
        <v>2501</v>
      </c>
      <c r="X240" s="48" t="s">
        <v>2501</v>
      </c>
      <c r="Y240" s="48" t="s">
        <v>2501</v>
      </c>
      <c r="Z240" s="48" t="s">
        <v>2501</v>
      </c>
      <c r="AA240" s="48" t="s">
        <v>2501</v>
      </c>
      <c r="AB240" s="48" t="s">
        <v>2501</v>
      </c>
      <c r="AC240" s="48" t="s">
        <v>2501</v>
      </c>
      <c r="AD240" s="48" t="s">
        <v>2501</v>
      </c>
      <c r="AE240" s="48" t="s">
        <v>2501</v>
      </c>
      <c r="AF240" s="48" t="s">
        <v>2501</v>
      </c>
      <c r="AG240" s="48" t="s">
        <v>2501</v>
      </c>
      <c r="AH240" s="48" t="s">
        <v>2501</v>
      </c>
      <c r="AI240" s="48" t="s">
        <v>2584</v>
      </c>
      <c r="AJ240" s="50" t="s">
        <v>2580</v>
      </c>
      <c r="AK240" s="51" t="s">
        <v>2585</v>
      </c>
      <c r="AL240" s="47" t="s">
        <v>53</v>
      </c>
      <c r="AM240" s="47"/>
      <c r="AN240" s="47"/>
      <c r="AO240" s="47"/>
      <c r="AP240" s="7">
        <f>VLOOKUP(B:B,Table3[#All],4,0)</f>
        <v>4500</v>
      </c>
      <c r="AQ240" s="7">
        <f>calcShift1(Таблица1[[#This Row],[Столбец5]:[Столбец36]])</f>
        <v>40</v>
      </c>
      <c r="AR240" s="7">
        <f>calcShift2(Таблица1[[#This Row],[Столбец5]:[Столбец36]])</f>
        <v>32</v>
      </c>
      <c r="AS240" s="7">
        <f>calcShift3(Таблица1[[#This Row],[Столбец5]:[Столбец36]])</f>
        <v>0</v>
      </c>
      <c r="AT240" s="47"/>
      <c r="AU240" s="7">
        <f>calcYavka(Таблица1[[#This Row],[Столбец5]:[Столбец36]])</f>
        <v>9</v>
      </c>
      <c r="AV240" s="52"/>
      <c r="AW240" s="18">
        <f>VLOOKUP(B:B,ДОП_ВСІ!B:AS,44,0)</f>
        <v>0</v>
      </c>
      <c r="AX240" s="7">
        <f>VLOOKUP(B:B,ДОП_ВСІ!B:AQ,42,0)</f>
        <v>0</v>
      </c>
      <c r="AY240" s="7">
        <f>Таблица1[[#This Row],[Столбец47]]*30</f>
        <v>270</v>
      </c>
      <c r="AZ240" s="6">
        <f>((((Таблица1[[#This Row],[Столбец42]]/160)*Таблица1[[#This Row],[Столбец44]])*0.25)*0.35)+((((Таблица1[[#This Row],[Столбец42]]/160)*Таблица1[[#This Row],[Столбец44]])*0.5)*0.2)</f>
        <v>168.75</v>
      </c>
      <c r="BA240" s="47"/>
      <c r="BB240" s="47">
        <f>calcTS(Таблица1[[#This Row],[Столбец5]:[Столбец36]])</f>
        <v>0</v>
      </c>
    </row>
    <row r="241" spans="1:54" ht="42" x14ac:dyDescent="0.35">
      <c r="A241" s="46" t="s">
        <v>526</v>
      </c>
      <c r="B241" s="47" t="s">
        <v>527</v>
      </c>
      <c r="C241" s="48" t="s">
        <v>118</v>
      </c>
      <c r="D241" s="63" t="s">
        <v>2564</v>
      </c>
      <c r="E241" s="49" t="s">
        <v>141</v>
      </c>
      <c r="F241" s="48" t="s">
        <v>2486</v>
      </c>
      <c r="G241" s="48" t="s">
        <v>2486</v>
      </c>
      <c r="H241" s="48" t="s">
        <v>135</v>
      </c>
      <c r="I241" s="48" t="s">
        <v>135</v>
      </c>
      <c r="J241" s="48" t="s">
        <v>135</v>
      </c>
      <c r="K241" s="49" t="s">
        <v>135</v>
      </c>
      <c r="L241" s="48" t="s">
        <v>2486</v>
      </c>
      <c r="M241" s="48" t="s">
        <v>2486</v>
      </c>
      <c r="N241" s="49" t="s">
        <v>2543</v>
      </c>
      <c r="O241" s="49" t="s">
        <v>2543</v>
      </c>
      <c r="P241" s="49" t="s">
        <v>141</v>
      </c>
      <c r="Q241" s="49" t="s">
        <v>141</v>
      </c>
      <c r="R241" s="48" t="s">
        <v>2486</v>
      </c>
      <c r="S241" s="48" t="s">
        <v>2486</v>
      </c>
      <c r="T241" s="48" t="s">
        <v>135</v>
      </c>
      <c r="U241" s="48" t="s">
        <v>135</v>
      </c>
      <c r="V241" s="48" t="s">
        <v>135</v>
      </c>
      <c r="W241" s="48" t="s">
        <v>135</v>
      </c>
      <c r="X241" s="48" t="s">
        <v>2486</v>
      </c>
      <c r="Y241" s="48" t="s">
        <v>2486</v>
      </c>
      <c r="Z241" s="48" t="s">
        <v>2543</v>
      </c>
      <c r="AA241" s="48" t="s">
        <v>141</v>
      </c>
      <c r="AB241" s="48" t="s">
        <v>141</v>
      </c>
      <c r="AC241" s="48" t="s">
        <v>141</v>
      </c>
      <c r="AD241" s="48" t="s">
        <v>2486</v>
      </c>
      <c r="AE241" s="48" t="s">
        <v>2486</v>
      </c>
      <c r="AF241" s="48" t="s">
        <v>135</v>
      </c>
      <c r="AG241" s="48" t="s">
        <v>135</v>
      </c>
      <c r="AH241" s="48" t="s">
        <v>135</v>
      </c>
      <c r="AI241" s="48" t="s">
        <v>2580</v>
      </c>
      <c r="AJ241" s="50" t="s">
        <v>2580</v>
      </c>
      <c r="AK241" s="51" t="s">
        <v>54</v>
      </c>
      <c r="AL241" s="47" t="s">
        <v>55</v>
      </c>
      <c r="AM241" s="47"/>
      <c r="AN241" s="47"/>
      <c r="AO241" s="47"/>
      <c r="AP241" s="7">
        <f>VLOOKUP(B:B,Table3[#All],4,0)</f>
        <v>4500</v>
      </c>
      <c r="AQ241" s="7">
        <f>calcShift1(Таблица1[[#This Row],[Столбец5]:[Столбец36]])</f>
        <v>72</v>
      </c>
      <c r="AR241" s="7">
        <f>calcShift2(Таблица1[[#This Row],[Столбец5]:[Столбец36]])</f>
        <v>88</v>
      </c>
      <c r="AS241" s="7">
        <f>calcShift3(Таблица1[[#This Row],[Столбец5]:[Столбец36]])</f>
        <v>0</v>
      </c>
      <c r="AT241" s="47"/>
      <c r="AU241" s="7">
        <f>calcYavka(Таблица1[[#This Row],[Столбец5]:[Столбец36]])</f>
        <v>20</v>
      </c>
      <c r="AV241" s="52"/>
      <c r="AW241" s="18">
        <f>VLOOKUP(B:B,ДОП_ВСІ!B:AS,44,0)</f>
        <v>168.75</v>
      </c>
      <c r="AX241" s="7">
        <f>VLOOKUP(B:B,ДОП_ВСІ!B:AQ,42,0)</f>
        <v>0</v>
      </c>
      <c r="AY241" s="7">
        <f>Таблица1[[#This Row],[Столбец47]]*30</f>
        <v>600</v>
      </c>
      <c r="AZ241" s="6">
        <f>((((Таблица1[[#This Row],[Столбец42]]/160)*Таблица1[[#This Row],[Столбец44]])*0.25)*0.35)+((((Таблица1[[#This Row],[Столбец42]]/160)*Таблица1[[#This Row],[Столбец44]])*0.5)*0.2)</f>
        <v>464.0625</v>
      </c>
      <c r="BA241" s="47"/>
      <c r="BB241" s="47">
        <f>calcTS(Таблица1[[#This Row],[Столбец5]:[Столбец36]])</f>
        <v>0</v>
      </c>
    </row>
    <row r="242" spans="1:54" ht="42" x14ac:dyDescent="0.35">
      <c r="A242" s="46" t="s">
        <v>528</v>
      </c>
      <c r="B242" s="47" t="s">
        <v>529</v>
      </c>
      <c r="C242" s="48" t="s">
        <v>118</v>
      </c>
      <c r="D242" s="63" t="s">
        <v>2564</v>
      </c>
      <c r="E242" s="49" t="s">
        <v>141</v>
      </c>
      <c r="F242" s="48" t="s">
        <v>2486</v>
      </c>
      <c r="G242" s="48" t="s">
        <v>2486</v>
      </c>
      <c r="H242" s="48" t="s">
        <v>135</v>
      </c>
      <c r="I242" s="48" t="s">
        <v>135</v>
      </c>
      <c r="J242" s="48" t="s">
        <v>135</v>
      </c>
      <c r="K242" s="49" t="s">
        <v>135</v>
      </c>
      <c r="L242" s="48" t="s">
        <v>2486</v>
      </c>
      <c r="M242" s="48" t="s">
        <v>2486</v>
      </c>
      <c r="N242" s="49" t="s">
        <v>2543</v>
      </c>
      <c r="O242" s="49" t="s">
        <v>141</v>
      </c>
      <c r="P242" s="49" t="s">
        <v>141</v>
      </c>
      <c r="Q242" s="49" t="s">
        <v>141</v>
      </c>
      <c r="R242" s="48" t="s">
        <v>2486</v>
      </c>
      <c r="S242" s="48" t="s">
        <v>2486</v>
      </c>
      <c r="T242" s="48" t="s">
        <v>135</v>
      </c>
      <c r="U242" s="48" t="s">
        <v>135</v>
      </c>
      <c r="V242" s="48" t="s">
        <v>135</v>
      </c>
      <c r="W242" s="48" t="s">
        <v>135</v>
      </c>
      <c r="X242" s="48" t="s">
        <v>2486</v>
      </c>
      <c r="Y242" s="48" t="s">
        <v>2486</v>
      </c>
      <c r="Z242" s="48" t="s">
        <v>141</v>
      </c>
      <c r="AA242" s="48" t="s">
        <v>141</v>
      </c>
      <c r="AB242" s="48" t="s">
        <v>141</v>
      </c>
      <c r="AC242" s="48" t="s">
        <v>141</v>
      </c>
      <c r="AD242" s="48" t="s">
        <v>2486</v>
      </c>
      <c r="AE242" s="48" t="s">
        <v>2486</v>
      </c>
      <c r="AF242" s="48" t="s">
        <v>135</v>
      </c>
      <c r="AG242" s="48" t="s">
        <v>135</v>
      </c>
      <c r="AH242" s="48" t="s">
        <v>135</v>
      </c>
      <c r="AI242" s="48" t="s">
        <v>2580</v>
      </c>
      <c r="AJ242" s="50" t="s">
        <v>2580</v>
      </c>
      <c r="AK242" s="51" t="s">
        <v>54</v>
      </c>
      <c r="AL242" s="47" t="s">
        <v>55</v>
      </c>
      <c r="AM242" s="47"/>
      <c r="AN242" s="47"/>
      <c r="AO242" s="47"/>
      <c r="AP242" s="7">
        <f>VLOOKUP(B:B,Table3[#All],4,0)</f>
        <v>4500</v>
      </c>
      <c r="AQ242" s="7">
        <f>calcShift1(Таблица1[[#This Row],[Столбец5]:[Столбец36]])</f>
        <v>72</v>
      </c>
      <c r="AR242" s="7">
        <f>calcShift2(Таблица1[[#This Row],[Столбец5]:[Столбец36]])</f>
        <v>88</v>
      </c>
      <c r="AS242" s="7">
        <f>calcShift3(Таблица1[[#This Row],[Столбец5]:[Столбец36]])</f>
        <v>0</v>
      </c>
      <c r="AT242" s="47"/>
      <c r="AU242" s="7">
        <f>calcYavka(Таблица1[[#This Row],[Столбец5]:[Столбец36]])</f>
        <v>20</v>
      </c>
      <c r="AV242" s="52"/>
      <c r="AW242" s="18">
        <f>VLOOKUP(B:B,ДОП_ВСІ!B:AS,44,0)</f>
        <v>0</v>
      </c>
      <c r="AX242" s="7">
        <f>VLOOKUP(B:B,ДОП_ВСІ!B:AQ,42,0)</f>
        <v>0</v>
      </c>
      <c r="AY242" s="7">
        <f>Таблица1[[#This Row],[Столбец47]]*30</f>
        <v>600</v>
      </c>
      <c r="AZ242" s="6">
        <f>((((Таблица1[[#This Row],[Столбец42]]/160)*Таблица1[[#This Row],[Столбец44]])*0.25)*0.35)+((((Таблица1[[#This Row],[Столбец42]]/160)*Таблица1[[#This Row],[Столбец44]])*0.5)*0.2)</f>
        <v>464.0625</v>
      </c>
      <c r="BA242" s="47"/>
      <c r="BB242" s="47">
        <f>calcTS(Таблица1[[#This Row],[Столбец5]:[Столбец36]])</f>
        <v>0</v>
      </c>
    </row>
    <row r="243" spans="1:54" x14ac:dyDescent="0.35">
      <c r="A243" s="46" t="s">
        <v>530</v>
      </c>
      <c r="B243" s="47" t="s">
        <v>531</v>
      </c>
      <c r="C243" s="48" t="s">
        <v>118</v>
      </c>
      <c r="D243" s="63" t="s">
        <v>2564</v>
      </c>
      <c r="E243" s="49" t="s">
        <v>141</v>
      </c>
      <c r="F243" s="48" t="s">
        <v>2486</v>
      </c>
      <c r="G243" s="48" t="s">
        <v>2486</v>
      </c>
      <c r="H243" s="48" t="s">
        <v>135</v>
      </c>
      <c r="I243" s="48" t="s">
        <v>135</v>
      </c>
      <c r="J243" s="48" t="s">
        <v>135</v>
      </c>
      <c r="K243" s="49" t="s">
        <v>135</v>
      </c>
      <c r="L243" s="48" t="s">
        <v>2486</v>
      </c>
      <c r="M243" s="48" t="s">
        <v>2486</v>
      </c>
      <c r="N243" s="49" t="s">
        <v>141</v>
      </c>
      <c r="O243" s="49" t="s">
        <v>141</v>
      </c>
      <c r="P243" s="49" t="s">
        <v>141</v>
      </c>
      <c r="Q243" s="49" t="s">
        <v>141</v>
      </c>
      <c r="R243" s="48" t="s">
        <v>2486</v>
      </c>
      <c r="S243" s="48" t="s">
        <v>2486</v>
      </c>
      <c r="T243" s="48" t="s">
        <v>135</v>
      </c>
      <c r="U243" s="48" t="s">
        <v>2485</v>
      </c>
      <c r="V243" s="48" t="s">
        <v>135</v>
      </c>
      <c r="W243" s="48" t="s">
        <v>135</v>
      </c>
      <c r="X243" s="48" t="s">
        <v>2486</v>
      </c>
      <c r="Y243" s="48" t="s">
        <v>2486</v>
      </c>
      <c r="Z243" s="48" t="s">
        <v>2543</v>
      </c>
      <c r="AA243" s="48" t="s">
        <v>141</v>
      </c>
      <c r="AB243" s="48" t="s">
        <v>141</v>
      </c>
      <c r="AC243" s="48" t="s">
        <v>141</v>
      </c>
      <c r="AD243" s="48" t="s">
        <v>2486</v>
      </c>
      <c r="AE243" s="48" t="s">
        <v>2486</v>
      </c>
      <c r="AF243" s="48" t="s">
        <v>135</v>
      </c>
      <c r="AG243" s="48" t="s">
        <v>135</v>
      </c>
      <c r="AH243" s="48" t="s">
        <v>135</v>
      </c>
      <c r="AI243" s="48" t="s">
        <v>2597</v>
      </c>
      <c r="AJ243" s="50" t="s">
        <v>2580</v>
      </c>
      <c r="AK243" s="51" t="s">
        <v>72</v>
      </c>
      <c r="AL243" s="47" t="s">
        <v>71</v>
      </c>
      <c r="AM243" s="47"/>
      <c r="AN243" s="47"/>
      <c r="AO243" s="47"/>
      <c r="AP243" s="7">
        <f>VLOOKUP(B:B,Table3[#All],4,0)</f>
        <v>4500</v>
      </c>
      <c r="AQ243" s="7">
        <f>calcShift1(Таблица1[[#This Row],[Столбец5]:[Столбец36]])</f>
        <v>72</v>
      </c>
      <c r="AR243" s="7">
        <f>calcShift2(Таблица1[[#This Row],[Столбец5]:[Столбец36]])</f>
        <v>80</v>
      </c>
      <c r="AS243" s="7">
        <f>calcShift3(Таблица1[[#This Row],[Столбец5]:[Столбец36]])</f>
        <v>0</v>
      </c>
      <c r="AT243" s="47"/>
      <c r="AU243" s="7">
        <f>calcYavka(Таблица1[[#This Row],[Столбец5]:[Столбец36]])</f>
        <v>19</v>
      </c>
      <c r="AV243" s="52"/>
      <c r="AW243" s="18">
        <f>VLOOKUP(B:B,ДОП_ВСІ!B:AS,44,0)</f>
        <v>0</v>
      </c>
      <c r="AX243" s="7">
        <f>VLOOKUP(B:B,ДОП_ВСІ!B:AQ,42,0)</f>
        <v>0</v>
      </c>
      <c r="AY243" s="7">
        <f>Таблица1[[#This Row],[Столбец47]]*30</f>
        <v>570</v>
      </c>
      <c r="AZ243" s="6">
        <f>((((Таблица1[[#This Row],[Столбец42]]/160)*Таблица1[[#This Row],[Столбец44]])*0.25)*0.35)+((((Таблица1[[#This Row],[Столбец42]]/160)*Таблица1[[#This Row],[Столбец44]])*0.5)*0.2)</f>
        <v>421.875</v>
      </c>
      <c r="BA243" s="47"/>
      <c r="BB243" s="47">
        <f>calcTS(Таблица1[[#This Row],[Столбец5]:[Столбец36]])</f>
        <v>0</v>
      </c>
    </row>
    <row r="244" spans="1:54" x14ac:dyDescent="0.35">
      <c r="A244" s="46" t="s">
        <v>532</v>
      </c>
      <c r="B244" s="47" t="s">
        <v>533</v>
      </c>
      <c r="C244" s="48" t="s">
        <v>2646</v>
      </c>
      <c r="D244" s="63" t="s">
        <v>2564</v>
      </c>
      <c r="E244" s="49" t="s">
        <v>141</v>
      </c>
      <c r="F244" s="48" t="s">
        <v>2486</v>
      </c>
      <c r="G244" s="48" t="s">
        <v>2486</v>
      </c>
      <c r="H244" s="48" t="s">
        <v>135</v>
      </c>
      <c r="I244" s="48" t="s">
        <v>135</v>
      </c>
      <c r="J244" s="48" t="s">
        <v>135</v>
      </c>
      <c r="K244" s="49" t="s">
        <v>135</v>
      </c>
      <c r="L244" s="48" t="s">
        <v>2486</v>
      </c>
      <c r="M244" s="48" t="s">
        <v>2486</v>
      </c>
      <c r="N244" s="49" t="s">
        <v>141</v>
      </c>
      <c r="O244" s="49" t="s">
        <v>141</v>
      </c>
      <c r="P244" s="49" t="s">
        <v>141</v>
      </c>
      <c r="Q244" s="49" t="s">
        <v>141</v>
      </c>
      <c r="R244" s="48" t="s">
        <v>2486</v>
      </c>
      <c r="S244" s="48" t="s">
        <v>2486</v>
      </c>
      <c r="T244" s="48" t="s">
        <v>135</v>
      </c>
      <c r="U244" s="48" t="s">
        <v>135</v>
      </c>
      <c r="V244" s="48" t="s">
        <v>135</v>
      </c>
      <c r="W244" s="48" t="s">
        <v>135</v>
      </c>
      <c r="X244" s="48" t="s">
        <v>2486</v>
      </c>
      <c r="Y244" s="48" t="s">
        <v>2486</v>
      </c>
      <c r="Z244" s="48" t="s">
        <v>2543</v>
      </c>
      <c r="AA244" s="48" t="s">
        <v>141</v>
      </c>
      <c r="AB244" s="48" t="s">
        <v>141</v>
      </c>
      <c r="AC244" s="48" t="s">
        <v>141</v>
      </c>
      <c r="AD244" s="48" t="s">
        <v>2486</v>
      </c>
      <c r="AE244" s="48" t="s">
        <v>2486</v>
      </c>
      <c r="AF244" s="48" t="s">
        <v>135</v>
      </c>
      <c r="AG244" s="48" t="s">
        <v>135</v>
      </c>
      <c r="AH244" s="48" t="s">
        <v>135</v>
      </c>
      <c r="AI244" s="48" t="s">
        <v>2580</v>
      </c>
      <c r="AJ244" s="50" t="s">
        <v>2580</v>
      </c>
      <c r="AK244" s="51" t="s">
        <v>54</v>
      </c>
      <c r="AL244" s="47" t="s">
        <v>55</v>
      </c>
      <c r="AM244" s="47"/>
      <c r="AN244" s="47"/>
      <c r="AO244" s="47"/>
      <c r="AP244" s="7">
        <f>VLOOKUP(B:B,Table3[#All],4,0)</f>
        <v>4500</v>
      </c>
      <c r="AQ244" s="7">
        <f>calcShift1(Таблица1[[#This Row],[Столбец5]:[Столбец36]])</f>
        <v>72</v>
      </c>
      <c r="AR244" s="7">
        <f>calcShift2(Таблица1[[#This Row],[Столбец5]:[Столбец36]])</f>
        <v>88</v>
      </c>
      <c r="AS244" s="7">
        <f>calcShift3(Таблица1[[#This Row],[Столбец5]:[Столбец36]])</f>
        <v>0</v>
      </c>
      <c r="AT244" s="47"/>
      <c r="AU244" s="7">
        <f>calcYavka(Таблица1[[#This Row],[Столбец5]:[Столбец36]])</f>
        <v>20</v>
      </c>
      <c r="AV244" s="52"/>
      <c r="AW244" s="18">
        <f>VLOOKUP(B:B,ДОП_ВСІ!B:AS,44,0)</f>
        <v>0</v>
      </c>
      <c r="AX244" s="7">
        <f>VLOOKUP(B:B,ДОП_ВСІ!B:AQ,42,0)</f>
        <v>0</v>
      </c>
      <c r="AY244" s="7">
        <f>Таблица1[[#This Row],[Столбец47]]*30</f>
        <v>600</v>
      </c>
      <c r="AZ244" s="6">
        <f>((((Таблица1[[#This Row],[Столбец42]]/160)*Таблица1[[#This Row],[Столбец44]])*0.25)*0.35)+((((Таблица1[[#This Row],[Столбец42]]/160)*Таблица1[[#This Row],[Столбец44]])*0.5)*0.2)</f>
        <v>464.0625</v>
      </c>
      <c r="BA244" s="47"/>
      <c r="BB244" s="47">
        <f>calcTS(Таблица1[[#This Row],[Столбец5]:[Столбец36]])</f>
        <v>0</v>
      </c>
    </row>
    <row r="245" spans="1:54" x14ac:dyDescent="0.35">
      <c r="A245" s="46" t="s">
        <v>534</v>
      </c>
      <c r="B245" s="47" t="s">
        <v>535</v>
      </c>
      <c r="C245" s="48" t="s">
        <v>118</v>
      </c>
      <c r="D245" s="63" t="s">
        <v>2564</v>
      </c>
      <c r="E245" s="49" t="s">
        <v>2485</v>
      </c>
      <c r="F245" s="48" t="s">
        <v>2486</v>
      </c>
      <c r="G245" s="48" t="s">
        <v>2486</v>
      </c>
      <c r="H245" s="48" t="s">
        <v>135</v>
      </c>
      <c r="I245" s="48" t="s">
        <v>135</v>
      </c>
      <c r="J245" s="48" t="s">
        <v>135</v>
      </c>
      <c r="K245" s="49" t="s">
        <v>135</v>
      </c>
      <c r="L245" s="48" t="s">
        <v>2486</v>
      </c>
      <c r="M245" s="48" t="s">
        <v>2486</v>
      </c>
      <c r="N245" s="49" t="s">
        <v>141</v>
      </c>
      <c r="O245" s="49" t="s">
        <v>141</v>
      </c>
      <c r="P245" s="49" t="s">
        <v>141</v>
      </c>
      <c r="Q245" s="49" t="s">
        <v>141</v>
      </c>
      <c r="R245" s="48" t="s">
        <v>2486</v>
      </c>
      <c r="S245" s="48" t="s">
        <v>2486</v>
      </c>
      <c r="T245" s="48" t="s">
        <v>135</v>
      </c>
      <c r="U245" s="48" t="s">
        <v>135</v>
      </c>
      <c r="V245" s="48" t="s">
        <v>135</v>
      </c>
      <c r="W245" s="48" t="s">
        <v>135</v>
      </c>
      <c r="X245" s="48" t="s">
        <v>2486</v>
      </c>
      <c r="Y245" s="48" t="s">
        <v>2486</v>
      </c>
      <c r="Z245" s="48" t="s">
        <v>2543</v>
      </c>
      <c r="AA245" s="48" t="s">
        <v>141</v>
      </c>
      <c r="AB245" s="48" t="s">
        <v>141</v>
      </c>
      <c r="AC245" s="48" t="s">
        <v>141</v>
      </c>
      <c r="AD245" s="48" t="s">
        <v>2486</v>
      </c>
      <c r="AE245" s="48" t="s">
        <v>2486</v>
      </c>
      <c r="AF245" s="48" t="s">
        <v>135</v>
      </c>
      <c r="AG245" s="48" t="s">
        <v>135</v>
      </c>
      <c r="AH245" s="48" t="s">
        <v>135</v>
      </c>
      <c r="AI245" s="48" t="s">
        <v>2597</v>
      </c>
      <c r="AJ245" s="50" t="s">
        <v>2580</v>
      </c>
      <c r="AK245" s="51" t="s">
        <v>72</v>
      </c>
      <c r="AL245" s="47" t="s">
        <v>71</v>
      </c>
      <c r="AM245" s="47"/>
      <c r="AN245" s="47"/>
      <c r="AO245" s="47"/>
      <c r="AP245" s="7">
        <f>VLOOKUP(B:B,Table3[#All],4,0)</f>
        <v>4500</v>
      </c>
      <c r="AQ245" s="7">
        <f>calcShift1(Таблица1[[#This Row],[Столбец5]:[Столбец36]])</f>
        <v>64</v>
      </c>
      <c r="AR245" s="7">
        <f>calcShift2(Таблица1[[#This Row],[Столбец5]:[Столбец36]])</f>
        <v>88</v>
      </c>
      <c r="AS245" s="7">
        <f>calcShift3(Таблица1[[#This Row],[Столбец5]:[Столбец36]])</f>
        <v>0</v>
      </c>
      <c r="AT245" s="47"/>
      <c r="AU245" s="7">
        <f>calcYavka(Таблица1[[#This Row],[Столбец5]:[Столбец36]])</f>
        <v>19</v>
      </c>
      <c r="AV245" s="52"/>
      <c r="AW245" s="18">
        <f>VLOOKUP(B:B,ДОП_ВСІ!B:AS,44,0)</f>
        <v>0</v>
      </c>
      <c r="AX245" s="7">
        <f>VLOOKUP(B:B,ДОП_ВСІ!B:AQ,42,0)</f>
        <v>0</v>
      </c>
      <c r="AY245" s="7">
        <f>Таблица1[[#This Row],[Столбец47]]*30</f>
        <v>570</v>
      </c>
      <c r="AZ245" s="6">
        <f>((((Таблица1[[#This Row],[Столбец42]]/160)*Таблица1[[#This Row],[Столбец44]])*0.25)*0.35)+((((Таблица1[[#This Row],[Столбец42]]/160)*Таблица1[[#This Row],[Столбец44]])*0.5)*0.2)</f>
        <v>464.0625</v>
      </c>
      <c r="BA245" s="47"/>
      <c r="BB245" s="47">
        <f>calcTS(Таблица1[[#This Row],[Столбец5]:[Столбец36]])</f>
        <v>0</v>
      </c>
    </row>
    <row r="246" spans="1:54" ht="42" x14ac:dyDescent="0.35">
      <c r="A246" s="46" t="s">
        <v>536</v>
      </c>
      <c r="B246" s="47" t="s">
        <v>537</v>
      </c>
      <c r="C246" s="48" t="s">
        <v>118</v>
      </c>
      <c r="D246" s="63" t="s">
        <v>2564</v>
      </c>
      <c r="E246" s="49" t="s">
        <v>2543</v>
      </c>
      <c r="F246" s="48" t="s">
        <v>2486</v>
      </c>
      <c r="G246" s="48" t="s">
        <v>2486</v>
      </c>
      <c r="H246" s="48" t="s">
        <v>135</v>
      </c>
      <c r="I246" s="48" t="s">
        <v>135</v>
      </c>
      <c r="J246" s="48" t="s">
        <v>135</v>
      </c>
      <c r="K246" s="49" t="s">
        <v>135</v>
      </c>
      <c r="L246" s="48" t="s">
        <v>2486</v>
      </c>
      <c r="M246" s="48" t="s">
        <v>2486</v>
      </c>
      <c r="N246" s="49" t="s">
        <v>141</v>
      </c>
      <c r="O246" s="49" t="s">
        <v>141</v>
      </c>
      <c r="P246" s="49" t="s">
        <v>141</v>
      </c>
      <c r="Q246" s="49" t="s">
        <v>141</v>
      </c>
      <c r="R246" s="48" t="s">
        <v>2486</v>
      </c>
      <c r="S246" s="48" t="s">
        <v>2486</v>
      </c>
      <c r="T246" s="48" t="s">
        <v>135</v>
      </c>
      <c r="U246" s="48" t="s">
        <v>135</v>
      </c>
      <c r="V246" s="48" t="s">
        <v>135</v>
      </c>
      <c r="W246" s="48" t="s">
        <v>135</v>
      </c>
      <c r="X246" s="48" t="s">
        <v>2486</v>
      </c>
      <c r="Y246" s="48" t="s">
        <v>2486</v>
      </c>
      <c r="Z246" s="48" t="s">
        <v>2543</v>
      </c>
      <c r="AA246" s="48" t="s">
        <v>141</v>
      </c>
      <c r="AB246" s="48" t="s">
        <v>141</v>
      </c>
      <c r="AC246" s="48" t="s">
        <v>141</v>
      </c>
      <c r="AD246" s="48" t="s">
        <v>2486</v>
      </c>
      <c r="AE246" s="48" t="s">
        <v>2486</v>
      </c>
      <c r="AF246" s="48" t="s">
        <v>135</v>
      </c>
      <c r="AG246" s="48" t="s">
        <v>135</v>
      </c>
      <c r="AH246" s="48" t="s">
        <v>135</v>
      </c>
      <c r="AI246" s="48" t="s">
        <v>2580</v>
      </c>
      <c r="AJ246" s="50" t="s">
        <v>2580</v>
      </c>
      <c r="AK246" s="51" t="s">
        <v>54</v>
      </c>
      <c r="AL246" s="47" t="s">
        <v>55</v>
      </c>
      <c r="AM246" s="47"/>
      <c r="AN246" s="47"/>
      <c r="AO246" s="47"/>
      <c r="AP246" s="7">
        <f>VLOOKUP(B:B,Table3[#All],4,0)</f>
        <v>4500</v>
      </c>
      <c r="AQ246" s="7">
        <f>calcShift1(Таблица1[[#This Row],[Столбец5]:[Столбец36]])</f>
        <v>72</v>
      </c>
      <c r="AR246" s="7">
        <f>calcShift2(Таблица1[[#This Row],[Столбец5]:[Столбец36]])</f>
        <v>88</v>
      </c>
      <c r="AS246" s="7">
        <f>calcShift3(Таблица1[[#This Row],[Столбец5]:[Столбец36]])</f>
        <v>0</v>
      </c>
      <c r="AT246" s="47"/>
      <c r="AU246" s="7">
        <f>calcYavka(Таблица1[[#This Row],[Столбец5]:[Столбец36]])</f>
        <v>20</v>
      </c>
      <c r="AV246" s="52"/>
      <c r="AW246" s="18">
        <f>VLOOKUP(B:B,ДОП_ВСІ!B:AS,44,0)</f>
        <v>0</v>
      </c>
      <c r="AX246" s="7">
        <f>VLOOKUP(B:B,ДОП_ВСІ!B:AQ,42,0)</f>
        <v>0</v>
      </c>
      <c r="AY246" s="7">
        <f>Таблица1[[#This Row],[Столбец47]]*30</f>
        <v>600</v>
      </c>
      <c r="AZ246" s="6">
        <f>((((Таблица1[[#This Row],[Столбец42]]/160)*Таблица1[[#This Row],[Столбец44]])*0.25)*0.35)+((((Таблица1[[#This Row],[Столбец42]]/160)*Таблица1[[#This Row],[Столбец44]])*0.5)*0.2)</f>
        <v>464.0625</v>
      </c>
      <c r="BA246" s="47"/>
      <c r="BB246" s="47">
        <f>calcTS(Таблица1[[#This Row],[Столбец5]:[Столбец36]])</f>
        <v>0</v>
      </c>
    </row>
    <row r="247" spans="1:54" ht="42" x14ac:dyDescent="0.35">
      <c r="A247" s="55" t="s">
        <v>538</v>
      </c>
      <c r="B247" s="56" t="s">
        <v>539</v>
      </c>
      <c r="C247" s="57" t="s">
        <v>118</v>
      </c>
      <c r="D247" s="71" t="s">
        <v>2564</v>
      </c>
      <c r="E247" s="58" t="s">
        <v>2543</v>
      </c>
      <c r="F247" s="57" t="s">
        <v>2486</v>
      </c>
      <c r="G247" s="57" t="s">
        <v>2486</v>
      </c>
      <c r="H247" s="57" t="s">
        <v>135</v>
      </c>
      <c r="I247" s="57" t="s">
        <v>135</v>
      </c>
      <c r="J247" s="57" t="s">
        <v>135</v>
      </c>
      <c r="K247" s="58" t="s">
        <v>135</v>
      </c>
      <c r="L247" s="57" t="s">
        <v>2486</v>
      </c>
      <c r="M247" s="57" t="s">
        <v>2486</v>
      </c>
      <c r="N247" s="58" t="s">
        <v>141</v>
      </c>
      <c r="O247" s="58" t="s">
        <v>141</v>
      </c>
      <c r="P247" s="58" t="s">
        <v>2485</v>
      </c>
      <c r="Q247" s="58" t="s">
        <v>141</v>
      </c>
      <c r="R247" s="57" t="s">
        <v>2486</v>
      </c>
      <c r="S247" s="57" t="s">
        <v>2486</v>
      </c>
      <c r="T247" s="57" t="s">
        <v>135</v>
      </c>
      <c r="U247" s="57" t="s">
        <v>135</v>
      </c>
      <c r="V247" s="57" t="s">
        <v>135</v>
      </c>
      <c r="W247" s="57" t="s">
        <v>2492</v>
      </c>
      <c r="X247" s="57" t="s">
        <v>2486</v>
      </c>
      <c r="Y247" s="57" t="s">
        <v>2486</v>
      </c>
      <c r="Z247" s="57" t="s">
        <v>2492</v>
      </c>
      <c r="AA247" s="57" t="s">
        <v>141</v>
      </c>
      <c r="AB247" s="57" t="s">
        <v>141</v>
      </c>
      <c r="AC247" s="57" t="s">
        <v>141</v>
      </c>
      <c r="AD247" s="57" t="s">
        <v>2486</v>
      </c>
      <c r="AE247" s="57" t="s">
        <v>2486</v>
      </c>
      <c r="AF247" s="57" t="s">
        <v>135</v>
      </c>
      <c r="AG247" s="57" t="s">
        <v>135</v>
      </c>
      <c r="AH247" s="57" t="s">
        <v>135</v>
      </c>
      <c r="AI247" s="57" t="s">
        <v>2586</v>
      </c>
      <c r="AJ247" s="59" t="s">
        <v>2580</v>
      </c>
      <c r="AK247" s="60" t="s">
        <v>52</v>
      </c>
      <c r="AL247" s="56" t="s">
        <v>69</v>
      </c>
      <c r="AM247" s="56"/>
      <c r="AN247" s="56"/>
      <c r="AO247" s="56"/>
      <c r="AP247" s="7">
        <f>VLOOKUP(B:B,Table3[#All],4,0)</f>
        <v>4500</v>
      </c>
      <c r="AQ247" s="72">
        <f>calcShift1(Таблица1[[#This Row],[Столбец5]:[Столбец36]])</f>
        <v>55.999999999999993</v>
      </c>
      <c r="AR247" s="72">
        <f>calcShift2(Таблица1[[#This Row],[Столбец5]:[Столбец36]])</f>
        <v>80</v>
      </c>
      <c r="AS247" s="72">
        <f>calcShift3(Таблица1[[#This Row],[Столбец5]:[Столбец36]])</f>
        <v>0</v>
      </c>
      <c r="AT247" s="56"/>
      <c r="AU247" s="72">
        <f>calcYavka(Таблица1[[#This Row],[Столбец5]:[Столбец36]])</f>
        <v>17</v>
      </c>
      <c r="AV247" s="61"/>
      <c r="AW247" s="18">
        <f>VLOOKUP(B:B,ДОП_ВСІ!B:AS,44,0)</f>
        <v>0</v>
      </c>
      <c r="AX247" s="7">
        <f>VLOOKUP(B:B,ДОП_ВСІ!B:AQ,42,0)</f>
        <v>0</v>
      </c>
      <c r="AY247" s="7">
        <f>Таблица1[[#This Row],[Столбец47]]*30</f>
        <v>510</v>
      </c>
      <c r="AZ247" s="74">
        <f>((((Таблица1[[#This Row],[Столбец42]]/160)*Таблица1[[#This Row],[Столбец44]])*0.25)*0.35)+((((Таблица1[[#This Row],[Столбец42]]/160)*Таблица1[[#This Row],[Столбец44]])*0.5)*0.2)</f>
        <v>421.875</v>
      </c>
      <c r="BA247" s="56"/>
      <c r="BB247" s="56">
        <f>calcTS(Таблица1[[#This Row],[Столбец5]:[Столбец36]])</f>
        <v>0</v>
      </c>
    </row>
    <row r="248" spans="1:54" ht="42" x14ac:dyDescent="0.35">
      <c r="A248" s="46" t="s">
        <v>540</v>
      </c>
      <c r="B248" s="47" t="s">
        <v>541</v>
      </c>
      <c r="C248" s="48" t="s">
        <v>118</v>
      </c>
      <c r="D248" s="48" t="s">
        <v>2564</v>
      </c>
      <c r="E248" s="49" t="s">
        <v>2542</v>
      </c>
      <c r="F248" s="48" t="s">
        <v>2542</v>
      </c>
      <c r="G248" s="48" t="s">
        <v>2542</v>
      </c>
      <c r="H248" s="48" t="s">
        <v>2486</v>
      </c>
      <c r="I248" s="48" t="s">
        <v>2486</v>
      </c>
      <c r="J248" s="48" t="s">
        <v>2543</v>
      </c>
      <c r="K248" s="49" t="s">
        <v>2543</v>
      </c>
      <c r="L248" s="48" t="s">
        <v>2543</v>
      </c>
      <c r="M248" s="48" t="s">
        <v>2543</v>
      </c>
      <c r="N248" s="49" t="s">
        <v>2486</v>
      </c>
      <c r="O248" s="49" t="s">
        <v>2486</v>
      </c>
      <c r="P248" s="49" t="s">
        <v>2542</v>
      </c>
      <c r="Q248" s="49" t="s">
        <v>2542</v>
      </c>
      <c r="R248" s="48" t="s">
        <v>141</v>
      </c>
      <c r="S248" s="48" t="s">
        <v>141</v>
      </c>
      <c r="T248" s="48" t="s">
        <v>141</v>
      </c>
      <c r="U248" s="48" t="s">
        <v>141</v>
      </c>
      <c r="V248" s="48" t="s">
        <v>2486</v>
      </c>
      <c r="W248" s="48" t="s">
        <v>2486</v>
      </c>
      <c r="X248" s="48" t="s">
        <v>2542</v>
      </c>
      <c r="Y248" s="48" t="s">
        <v>141</v>
      </c>
      <c r="Z248" s="48" t="s">
        <v>2486</v>
      </c>
      <c r="AA248" s="48" t="s">
        <v>2542</v>
      </c>
      <c r="AB248" s="48" t="s">
        <v>2486</v>
      </c>
      <c r="AC248" s="48" t="s">
        <v>2486</v>
      </c>
      <c r="AD248" s="48" t="s">
        <v>2543</v>
      </c>
      <c r="AE248" s="48" t="s">
        <v>2543</v>
      </c>
      <c r="AF248" s="48" t="s">
        <v>2543</v>
      </c>
      <c r="AG248" s="48" t="s">
        <v>2543</v>
      </c>
      <c r="AH248" s="48" t="s">
        <v>2486</v>
      </c>
      <c r="AI248" s="48" t="s">
        <v>2580</v>
      </c>
      <c r="AJ248" s="50" t="s">
        <v>2580</v>
      </c>
      <c r="AK248" s="51" t="s">
        <v>54</v>
      </c>
      <c r="AL248" s="47" t="s">
        <v>55</v>
      </c>
      <c r="AM248" s="47"/>
      <c r="AN248" s="47"/>
      <c r="AO248" s="47"/>
      <c r="AP248" s="7">
        <f>VLOOKUP(B:B,Table3[#All],4,0)</f>
        <v>4500</v>
      </c>
      <c r="AQ248" s="47">
        <f>calcShift1(Таблица1[[#This Row],[Столбец5]:[Столбец36]])</f>
        <v>104</v>
      </c>
      <c r="AR248" s="47">
        <f>calcShift2(Таблица1[[#This Row],[Столбец5]:[Столбец36]])</f>
        <v>55.999999999999993</v>
      </c>
      <c r="AS248" s="47">
        <f>calcShift3(Таблица1[[#This Row],[Столбец5]:[Столбец36]])</f>
        <v>0</v>
      </c>
      <c r="AT248" s="47"/>
      <c r="AU248" s="47">
        <f>calcYavka(Таблица1[[#This Row],[Столбец5]:[Столбец36]])</f>
        <v>20</v>
      </c>
      <c r="AV248" s="52"/>
      <c r="AW248" s="73">
        <f>VLOOKUP(B:B,ДОП_ВСІ!B:AS,44,0)</f>
        <v>0</v>
      </c>
      <c r="AX248" s="7">
        <f>VLOOKUP(B:B,ДОП_ВСІ!B:AQ,42,0)</f>
        <v>0</v>
      </c>
      <c r="AY248" s="7">
        <f>Таблица1[[#This Row],[Столбец47]]*30</f>
        <v>600</v>
      </c>
      <c r="AZ248" s="47">
        <f>((((Таблица1[[#This Row],[Столбец42]]/160)*Таблица1[[#This Row],[Столбец44]])*0.25)*0.35)+((((Таблица1[[#This Row],[Столбец42]]/160)*Таблица1[[#This Row],[Столбец44]])*0.5)*0.2)</f>
        <v>295.3125</v>
      </c>
      <c r="BA248" s="47"/>
      <c r="BB248" s="47">
        <f>calcTS(Таблица1[[#This Row],[Столбец5]:[Столбец36]])</f>
        <v>0</v>
      </c>
    </row>
    <row r="249" spans="1:54" x14ac:dyDescent="0.35">
      <c r="A249" s="46" t="s">
        <v>542</v>
      </c>
      <c r="B249" s="47" t="s">
        <v>543</v>
      </c>
      <c r="C249" s="48" t="s">
        <v>118</v>
      </c>
      <c r="D249" s="48" t="s">
        <v>2564</v>
      </c>
      <c r="E249" s="49" t="s">
        <v>2486</v>
      </c>
      <c r="F249" s="48" t="s">
        <v>2543</v>
      </c>
      <c r="G249" s="48" t="s">
        <v>2485</v>
      </c>
      <c r="H249" s="48" t="s">
        <v>2543</v>
      </c>
      <c r="I249" s="48" t="s">
        <v>141</v>
      </c>
      <c r="J249" s="48" t="s">
        <v>2486</v>
      </c>
      <c r="K249" s="49" t="s">
        <v>2486</v>
      </c>
      <c r="L249" s="48" t="s">
        <v>135</v>
      </c>
      <c r="M249" s="48" t="s">
        <v>2485</v>
      </c>
      <c r="N249" s="49" t="s">
        <v>2485</v>
      </c>
      <c r="O249" s="49" t="s">
        <v>2501</v>
      </c>
      <c r="P249" s="49" t="s">
        <v>2501</v>
      </c>
      <c r="Q249" s="49" t="s">
        <v>2501</v>
      </c>
      <c r="R249" s="48" t="s">
        <v>2501</v>
      </c>
      <c r="S249" s="48" t="s">
        <v>2501</v>
      </c>
      <c r="T249" s="48" t="s">
        <v>2501</v>
      </c>
      <c r="U249" s="48" t="s">
        <v>2501</v>
      </c>
      <c r="V249" s="48" t="s">
        <v>2501</v>
      </c>
      <c r="W249" s="48" t="s">
        <v>2501</v>
      </c>
      <c r="X249" s="48" t="s">
        <v>2501</v>
      </c>
      <c r="Y249" s="48" t="s">
        <v>2501</v>
      </c>
      <c r="Z249" s="48" t="s">
        <v>2501</v>
      </c>
      <c r="AA249" s="48" t="s">
        <v>2501</v>
      </c>
      <c r="AB249" s="48" t="s">
        <v>2501</v>
      </c>
      <c r="AC249" s="48" t="s">
        <v>2486</v>
      </c>
      <c r="AD249" s="48" t="s">
        <v>2543</v>
      </c>
      <c r="AE249" s="48" t="s">
        <v>2543</v>
      </c>
      <c r="AF249" s="48" t="s">
        <v>2543</v>
      </c>
      <c r="AG249" s="48" t="s">
        <v>2543</v>
      </c>
      <c r="AH249" s="48" t="s">
        <v>141</v>
      </c>
      <c r="AI249" s="48" t="s">
        <v>2584</v>
      </c>
      <c r="AJ249" s="50" t="s">
        <v>2580</v>
      </c>
      <c r="AK249" s="51" t="s">
        <v>2585</v>
      </c>
      <c r="AL249" s="47" t="s">
        <v>53</v>
      </c>
      <c r="AM249" s="47"/>
      <c r="AN249" s="47"/>
      <c r="AO249" s="47"/>
      <c r="AP249" s="47">
        <f>VLOOKUP(B:B,Table3[#All],4,0)</f>
        <v>4500</v>
      </c>
      <c r="AQ249" s="47">
        <f>calcShift1(Таблица1[[#This Row],[Столбец5]:[Столбец36]])</f>
        <v>64</v>
      </c>
      <c r="AR249" s="47">
        <f>calcShift2(Таблица1[[#This Row],[Столбец5]:[Столбец36]])</f>
        <v>8</v>
      </c>
      <c r="AS249" s="47">
        <f>calcShift3(Таблица1[[#This Row],[Столбец5]:[Столбец36]])</f>
        <v>0</v>
      </c>
      <c r="AT249" s="47"/>
      <c r="AU249" s="47">
        <f>calcYavka(Таблица1[[#This Row],[Столбец5]:[Столбец36]])</f>
        <v>9</v>
      </c>
      <c r="AV249" s="52"/>
      <c r="AW249" s="70">
        <f>VLOOKUP(B:B,ДОП_ВСІ!B:AS,44,0)</f>
        <v>0</v>
      </c>
      <c r="AX249" s="47">
        <f>VLOOKUP(B:B,ДОП_ВСІ!B:AQ,42,0)</f>
        <v>0</v>
      </c>
      <c r="AY249" s="47">
        <f>Таблица1[[#This Row],[Столбец47]]*30</f>
        <v>270</v>
      </c>
      <c r="AZ249" s="47">
        <f>((((Таблица1[[#This Row],[Столбец42]]/160)*Таблица1[[#This Row],[Столбец44]])*0.25)*0.35)+((((Таблица1[[#This Row],[Столбец42]]/160)*Таблица1[[#This Row],[Столбец44]])*0.5)*0.2)</f>
        <v>42.1875</v>
      </c>
      <c r="BA249" s="47"/>
      <c r="BB249" s="47">
        <f>calcTS(Таблица1[[#This Row],[Столбец5]:[Столбец36]])</f>
        <v>0</v>
      </c>
    </row>
    <row r="250" spans="1:54" ht="42" x14ac:dyDescent="0.35">
      <c r="A250" s="46" t="s">
        <v>544</v>
      </c>
      <c r="B250" s="47" t="s">
        <v>545</v>
      </c>
      <c r="C250" s="48" t="s">
        <v>118</v>
      </c>
      <c r="D250" s="48" t="s">
        <v>2564</v>
      </c>
      <c r="E250" s="49" t="s">
        <v>2495</v>
      </c>
      <c r="F250" s="48" t="s">
        <v>2495</v>
      </c>
      <c r="G250" s="48" t="s">
        <v>2495</v>
      </c>
      <c r="H250" s="48" t="s">
        <v>2495</v>
      </c>
      <c r="I250" s="48" t="s">
        <v>2495</v>
      </c>
      <c r="J250" s="48" t="s">
        <v>135</v>
      </c>
      <c r="K250" s="49" t="s">
        <v>135</v>
      </c>
      <c r="L250" s="48" t="s">
        <v>2486</v>
      </c>
      <c r="M250" s="48" t="s">
        <v>2486</v>
      </c>
      <c r="N250" s="49" t="s">
        <v>2543</v>
      </c>
      <c r="O250" s="49" t="s">
        <v>141</v>
      </c>
      <c r="P250" s="49" t="s">
        <v>2486</v>
      </c>
      <c r="Q250" s="49" t="s">
        <v>2486</v>
      </c>
      <c r="R250" s="48" t="s">
        <v>2543</v>
      </c>
      <c r="S250" s="48" t="s">
        <v>2543</v>
      </c>
      <c r="T250" s="48" t="s">
        <v>2543</v>
      </c>
      <c r="U250" s="48" t="s">
        <v>2543</v>
      </c>
      <c r="V250" s="48" t="s">
        <v>2486</v>
      </c>
      <c r="W250" s="48" t="s">
        <v>2486</v>
      </c>
      <c r="X250" s="48" t="s">
        <v>2485</v>
      </c>
      <c r="Y250" s="48" t="s">
        <v>2485</v>
      </c>
      <c r="Z250" s="48" t="s">
        <v>2485</v>
      </c>
      <c r="AA250" s="48" t="s">
        <v>2485</v>
      </c>
      <c r="AB250" s="48" t="s">
        <v>2486</v>
      </c>
      <c r="AC250" s="48" t="s">
        <v>2486</v>
      </c>
      <c r="AD250" s="48" t="s">
        <v>2543</v>
      </c>
      <c r="AE250" s="48" t="s">
        <v>2543</v>
      </c>
      <c r="AF250" s="48" t="s">
        <v>2543</v>
      </c>
      <c r="AG250" s="48" t="s">
        <v>2543</v>
      </c>
      <c r="AH250" s="48" t="s">
        <v>2486</v>
      </c>
      <c r="AI250" s="48" t="s">
        <v>2644</v>
      </c>
      <c r="AJ250" s="50" t="s">
        <v>2597</v>
      </c>
      <c r="AK250" s="51" t="s">
        <v>73</v>
      </c>
      <c r="AL250" s="47" t="s">
        <v>70</v>
      </c>
      <c r="AM250" s="47"/>
      <c r="AN250" s="47"/>
      <c r="AO250" s="47"/>
      <c r="AP250" s="47">
        <f>VLOOKUP(B:B,Table3[#All],4,0)</f>
        <v>4500</v>
      </c>
      <c r="AQ250" s="47">
        <f>calcShift1(Таблица1[[#This Row],[Столбец5]:[Столбец36]])</f>
        <v>80</v>
      </c>
      <c r="AR250" s="47">
        <f>calcShift2(Таблица1[[#This Row],[Столбец5]:[Столбец36]])</f>
        <v>16</v>
      </c>
      <c r="AS250" s="47">
        <f>calcShift3(Таблица1[[#This Row],[Столбец5]:[Столбец36]])</f>
        <v>0</v>
      </c>
      <c r="AT250" s="47"/>
      <c r="AU250" s="47">
        <f>calcYavka(Таблица1[[#This Row],[Столбец5]:[Столбец36]])</f>
        <v>12</v>
      </c>
      <c r="AV250" s="52"/>
      <c r="AW250" s="70">
        <f>VLOOKUP(B:B,ДОП_ВСІ!B:AS,44,0)</f>
        <v>0</v>
      </c>
      <c r="AX250" s="47">
        <f>VLOOKUP(B:B,ДОП_ВСІ!B:AQ,42,0)</f>
        <v>0</v>
      </c>
      <c r="AY250" s="47">
        <f>Таблица1[[#This Row],[Столбец47]]*30</f>
        <v>360</v>
      </c>
      <c r="AZ250" s="47">
        <f>((((Таблица1[[#This Row],[Столбец42]]/160)*Таблица1[[#This Row],[Столбец44]])*0.25)*0.35)+((((Таблица1[[#This Row],[Столбец42]]/160)*Таблица1[[#This Row],[Столбец44]])*0.5)*0.2)</f>
        <v>84.375</v>
      </c>
      <c r="BA250" s="47"/>
      <c r="BB250" s="47">
        <f>calcTS(Таблица1[[#This Row],[Столбец5]:[Столбец36]])</f>
        <v>0</v>
      </c>
    </row>
    <row r="251" spans="1:54" x14ac:dyDescent="0.35">
      <c r="A251" s="46" t="s">
        <v>546</v>
      </c>
      <c r="B251" s="47" t="s">
        <v>547</v>
      </c>
      <c r="C251" s="48" t="s">
        <v>118</v>
      </c>
      <c r="D251" s="48" t="s">
        <v>2564</v>
      </c>
      <c r="E251" s="49" t="s">
        <v>2486</v>
      </c>
      <c r="F251" s="48" t="s">
        <v>2543</v>
      </c>
      <c r="G251" s="48" t="s">
        <v>2485</v>
      </c>
      <c r="H251" s="48" t="s">
        <v>141</v>
      </c>
      <c r="I251" s="48" t="s">
        <v>141</v>
      </c>
      <c r="J251" s="48" t="s">
        <v>2486</v>
      </c>
      <c r="K251" s="49" t="s">
        <v>2486</v>
      </c>
      <c r="L251" s="48" t="s">
        <v>2495</v>
      </c>
      <c r="M251" s="48" t="s">
        <v>2495</v>
      </c>
      <c r="N251" s="49" t="s">
        <v>2495</v>
      </c>
      <c r="O251" s="49" t="s">
        <v>2495</v>
      </c>
      <c r="P251" s="49" t="s">
        <v>2486</v>
      </c>
      <c r="Q251" s="49" t="s">
        <v>2486</v>
      </c>
      <c r="R251" s="48" t="s">
        <v>2543</v>
      </c>
      <c r="S251" s="48" t="s">
        <v>2543</v>
      </c>
      <c r="T251" s="48" t="s">
        <v>2543</v>
      </c>
      <c r="U251" s="48" t="s">
        <v>2543</v>
      </c>
      <c r="V251" s="48" t="s">
        <v>2486</v>
      </c>
      <c r="W251" s="48" t="s">
        <v>2486</v>
      </c>
      <c r="X251" s="48" t="s">
        <v>2542</v>
      </c>
      <c r="Y251" s="48" t="s">
        <v>2543</v>
      </c>
      <c r="Z251" s="48" t="s">
        <v>2543</v>
      </c>
      <c r="AA251" s="48" t="s">
        <v>135</v>
      </c>
      <c r="AB251" s="48" t="s">
        <v>2486</v>
      </c>
      <c r="AC251" s="48" t="s">
        <v>2486</v>
      </c>
      <c r="AD251" s="48" t="s">
        <v>2543</v>
      </c>
      <c r="AE251" s="48" t="s">
        <v>2543</v>
      </c>
      <c r="AF251" s="48" t="s">
        <v>2543</v>
      </c>
      <c r="AG251" s="48" t="s">
        <v>2543</v>
      </c>
      <c r="AH251" s="48" t="s">
        <v>2486</v>
      </c>
      <c r="AI251" s="48" t="s">
        <v>2569</v>
      </c>
      <c r="AJ251" s="50" t="s">
        <v>2580</v>
      </c>
      <c r="AK251" s="51" t="s">
        <v>75</v>
      </c>
      <c r="AL251" s="47" t="s">
        <v>75</v>
      </c>
      <c r="AM251" s="47"/>
      <c r="AN251" s="47"/>
      <c r="AO251" s="47"/>
      <c r="AP251" s="47">
        <f>VLOOKUP(B:B,Table3[#All],4,0)</f>
        <v>4500</v>
      </c>
      <c r="AQ251" s="47">
        <f>calcShift1(Таблица1[[#This Row],[Столбец5]:[Столбец36]])</f>
        <v>104</v>
      </c>
      <c r="AR251" s="47">
        <f>calcShift2(Таблица1[[#This Row],[Столбец5]:[Столбец36]])</f>
        <v>16</v>
      </c>
      <c r="AS251" s="47">
        <f>calcShift3(Таблица1[[#This Row],[Столбец5]:[Столбец36]])</f>
        <v>0</v>
      </c>
      <c r="AT251" s="47"/>
      <c r="AU251" s="47">
        <f>calcYavka(Таблица1[[#This Row],[Столбец5]:[Столбец36]])</f>
        <v>15</v>
      </c>
      <c r="AV251" s="52"/>
      <c r="AW251" s="70">
        <f>VLOOKUP(B:B,ДОП_ВСІ!B:AS,44,0)</f>
        <v>0</v>
      </c>
      <c r="AX251" s="47">
        <f>VLOOKUP(B:B,ДОП_ВСІ!B:AQ,42,0)</f>
        <v>0</v>
      </c>
      <c r="AY251" s="47">
        <f>Таблица1[[#This Row],[Столбец47]]*30</f>
        <v>450</v>
      </c>
      <c r="AZ251" s="47">
        <f>((((Таблица1[[#This Row],[Столбец42]]/160)*Таблица1[[#This Row],[Столбец44]])*0.25)*0.35)+((((Таблица1[[#This Row],[Столбец42]]/160)*Таблица1[[#This Row],[Столбец44]])*0.5)*0.2)</f>
        <v>84.375</v>
      </c>
      <c r="BA251" s="47"/>
      <c r="BB251" s="47">
        <f>calcTS(Таблица1[[#This Row],[Столбец5]:[Столбец36]])</f>
        <v>0</v>
      </c>
    </row>
    <row r="252" spans="1:54" ht="42" x14ac:dyDescent="0.35">
      <c r="A252" s="46" t="s">
        <v>548</v>
      </c>
      <c r="B252" s="47" t="s">
        <v>549</v>
      </c>
      <c r="C252" s="48" t="s">
        <v>118</v>
      </c>
      <c r="D252" s="48" t="s">
        <v>2564</v>
      </c>
      <c r="E252" s="49" t="s">
        <v>2486</v>
      </c>
      <c r="F252" s="48" t="s">
        <v>2543</v>
      </c>
      <c r="G252" s="48" t="s">
        <v>2543</v>
      </c>
      <c r="H252" s="48" t="s">
        <v>141</v>
      </c>
      <c r="I252" s="48" t="s">
        <v>141</v>
      </c>
      <c r="J252" s="48" t="s">
        <v>2486</v>
      </c>
      <c r="K252" s="49" t="s">
        <v>2486</v>
      </c>
      <c r="L252" s="48" t="s">
        <v>2542</v>
      </c>
      <c r="M252" s="48" t="s">
        <v>2542</v>
      </c>
      <c r="N252" s="49" t="s">
        <v>2542</v>
      </c>
      <c r="O252" s="49" t="s">
        <v>2542</v>
      </c>
      <c r="P252" s="49" t="s">
        <v>2486</v>
      </c>
      <c r="Q252" s="49" t="s">
        <v>2486</v>
      </c>
      <c r="R252" s="48" t="s">
        <v>141</v>
      </c>
      <c r="S252" s="48" t="s">
        <v>141</v>
      </c>
      <c r="T252" s="48" t="s">
        <v>141</v>
      </c>
      <c r="U252" s="48" t="s">
        <v>141</v>
      </c>
      <c r="V252" s="48" t="s">
        <v>2486</v>
      </c>
      <c r="W252" s="48" t="s">
        <v>2486</v>
      </c>
      <c r="X252" s="48" t="s">
        <v>135</v>
      </c>
      <c r="Y252" s="48" t="s">
        <v>141</v>
      </c>
      <c r="Z252" s="48" t="s">
        <v>2543</v>
      </c>
      <c r="AA252" s="48" t="s">
        <v>135</v>
      </c>
      <c r="AB252" s="48" t="s">
        <v>2486</v>
      </c>
      <c r="AC252" s="48" t="s">
        <v>2486</v>
      </c>
      <c r="AD252" s="48" t="s">
        <v>2543</v>
      </c>
      <c r="AE252" s="48" t="s">
        <v>2543</v>
      </c>
      <c r="AF252" s="48" t="s">
        <v>2543</v>
      </c>
      <c r="AG252" s="48" t="s">
        <v>2543</v>
      </c>
      <c r="AH252" s="48" t="s">
        <v>2486</v>
      </c>
      <c r="AI252" s="48" t="s">
        <v>2580</v>
      </c>
      <c r="AJ252" s="50" t="s">
        <v>2580</v>
      </c>
      <c r="AK252" s="51" t="s">
        <v>54</v>
      </c>
      <c r="AL252" s="47" t="s">
        <v>55</v>
      </c>
      <c r="AM252" s="47"/>
      <c r="AN252" s="47"/>
      <c r="AO252" s="47"/>
      <c r="AP252" s="47">
        <f>VLOOKUP(B:B,Table3[#All],4,0)</f>
        <v>4500</v>
      </c>
      <c r="AQ252" s="47">
        <f>calcShift1(Таблица1[[#This Row],[Столбец5]:[Столбец36]])</f>
        <v>111.99999999999999</v>
      </c>
      <c r="AR252" s="47">
        <f>calcShift2(Таблица1[[#This Row],[Столбец5]:[Столбец36]])</f>
        <v>47.999999999999993</v>
      </c>
      <c r="AS252" s="47">
        <f>calcShift3(Таблица1[[#This Row],[Столбец5]:[Столбец36]])</f>
        <v>0</v>
      </c>
      <c r="AT252" s="47"/>
      <c r="AU252" s="47">
        <f>calcYavka(Таблица1[[#This Row],[Столбец5]:[Столбец36]])</f>
        <v>20</v>
      </c>
      <c r="AV252" s="52"/>
      <c r="AW252" s="70">
        <f>VLOOKUP(B:B,ДОП_ВСІ!B:AS,44,0)</f>
        <v>0</v>
      </c>
      <c r="AX252" s="47">
        <f>VLOOKUP(B:B,ДОП_ВСІ!B:AQ,42,0)</f>
        <v>0</v>
      </c>
      <c r="AY252" s="47">
        <f>Таблица1[[#This Row],[Столбец47]]*30</f>
        <v>600</v>
      </c>
      <c r="AZ252" s="47">
        <f>((((Таблица1[[#This Row],[Столбец42]]/160)*Таблица1[[#This Row],[Столбец44]])*0.25)*0.35)+((((Таблица1[[#This Row],[Столбец42]]/160)*Таблица1[[#This Row],[Столбец44]])*0.5)*0.2)</f>
        <v>253.12499999999994</v>
      </c>
      <c r="BA252" s="47"/>
      <c r="BB252" s="47">
        <f>calcTS(Таблица1[[#This Row],[Столбец5]:[Столбец36]])</f>
        <v>0</v>
      </c>
    </row>
    <row r="253" spans="1:54" ht="42" x14ac:dyDescent="0.35">
      <c r="A253" s="46" t="s">
        <v>550</v>
      </c>
      <c r="B253" s="47" t="s">
        <v>551</v>
      </c>
      <c r="C253" s="48" t="s">
        <v>118</v>
      </c>
      <c r="D253" s="48" t="s">
        <v>2564</v>
      </c>
      <c r="E253" s="49" t="s">
        <v>2486</v>
      </c>
      <c r="F253" s="48" t="s">
        <v>2543</v>
      </c>
      <c r="G253" s="48" t="s">
        <v>2543</v>
      </c>
      <c r="H253" s="48" t="s">
        <v>2531</v>
      </c>
      <c r="I253" s="48" t="s">
        <v>2531</v>
      </c>
      <c r="J253" s="48" t="s">
        <v>2486</v>
      </c>
      <c r="K253" s="49" t="s">
        <v>2486</v>
      </c>
      <c r="L253" s="48" t="s">
        <v>2542</v>
      </c>
      <c r="M253" s="48" t="s">
        <v>2542</v>
      </c>
      <c r="N253" s="49" t="s">
        <v>2542</v>
      </c>
      <c r="O253" s="49" t="s">
        <v>2531</v>
      </c>
      <c r="P253" s="49" t="s">
        <v>2495</v>
      </c>
      <c r="Q253" s="49" t="s">
        <v>2495</v>
      </c>
      <c r="R253" s="48" t="s">
        <v>2495</v>
      </c>
      <c r="S253" s="48" t="s">
        <v>2495</v>
      </c>
      <c r="T253" s="48" t="s">
        <v>2495</v>
      </c>
      <c r="U253" s="48" t="s">
        <v>2495</v>
      </c>
      <c r="V253" s="48" t="s">
        <v>2495</v>
      </c>
      <c r="W253" s="48" t="s">
        <v>2486</v>
      </c>
      <c r="X253" s="48" t="s">
        <v>135</v>
      </c>
      <c r="Y253" s="48" t="s">
        <v>141</v>
      </c>
      <c r="Z253" s="48" t="s">
        <v>2543</v>
      </c>
      <c r="AA253" s="48" t="s">
        <v>2542</v>
      </c>
      <c r="AB253" s="48" t="s">
        <v>2486</v>
      </c>
      <c r="AC253" s="48" t="s">
        <v>2486</v>
      </c>
      <c r="AD253" s="48" t="s">
        <v>2543</v>
      </c>
      <c r="AE253" s="48" t="s">
        <v>2543</v>
      </c>
      <c r="AF253" s="48" t="s">
        <v>2543</v>
      </c>
      <c r="AG253" s="48" t="s">
        <v>2543</v>
      </c>
      <c r="AH253" s="48" t="s">
        <v>2486</v>
      </c>
      <c r="AI253" s="48" t="s">
        <v>2582</v>
      </c>
      <c r="AJ253" s="50" t="s">
        <v>2580</v>
      </c>
      <c r="AK253" s="51" t="s">
        <v>69</v>
      </c>
      <c r="AL253" s="47" t="s">
        <v>52</v>
      </c>
      <c r="AM253" s="47"/>
      <c r="AN253" s="47"/>
      <c r="AO253" s="47"/>
      <c r="AP253" s="47">
        <f>VLOOKUP(B:B,Table3[#All],4,0)</f>
        <v>4500</v>
      </c>
      <c r="AQ253" s="47">
        <f>calcShift1(Таблица1[[#This Row],[Столбец5]:[Столбец36]])</f>
        <v>64</v>
      </c>
      <c r="AR253" s="47">
        <f>calcShift2(Таблица1[[#This Row],[Столбец5]:[Столбец36]])</f>
        <v>40</v>
      </c>
      <c r="AS253" s="47">
        <f>calcShift3(Таблица1[[#This Row],[Столбец5]:[Столбец36]])</f>
        <v>0</v>
      </c>
      <c r="AT253" s="47"/>
      <c r="AU253" s="47">
        <f>calcYavka(Таблица1[[#This Row],[Столбец5]:[Столбец36]])</f>
        <v>13</v>
      </c>
      <c r="AV253" s="52"/>
      <c r="AW253" s="70">
        <f>VLOOKUP(B:B,ДОП_ВСІ!B:AS,44,0)</f>
        <v>0</v>
      </c>
      <c r="AX253" s="47">
        <f>VLOOKUP(B:B,ДОП_ВСІ!B:AQ,42,0)</f>
        <v>0</v>
      </c>
      <c r="AY253" s="47">
        <f>Таблица1[[#This Row],[Столбец47]]*30</f>
        <v>390</v>
      </c>
      <c r="AZ253" s="47">
        <f>((((Таблица1[[#This Row],[Столбец42]]/160)*Таблица1[[#This Row],[Столбец44]])*0.25)*0.35)+((((Таблица1[[#This Row],[Столбец42]]/160)*Таблица1[[#This Row],[Столбец44]])*0.5)*0.2)</f>
        <v>210.9375</v>
      </c>
      <c r="BA253" s="47"/>
      <c r="BB253" s="47">
        <f>calcTS(Таблица1[[#This Row],[Столбец5]:[Столбец36]])</f>
        <v>0</v>
      </c>
    </row>
    <row r="254" spans="1:54" x14ac:dyDescent="0.35">
      <c r="A254" s="46" t="s">
        <v>552</v>
      </c>
      <c r="B254" s="47" t="s">
        <v>553</v>
      </c>
      <c r="C254" s="48" t="s">
        <v>118</v>
      </c>
      <c r="D254" s="48" t="s">
        <v>2564</v>
      </c>
      <c r="E254" s="49" t="s">
        <v>2486</v>
      </c>
      <c r="F254" s="48" t="s">
        <v>2543</v>
      </c>
      <c r="G254" s="48" t="s">
        <v>2543</v>
      </c>
      <c r="H254" s="48" t="s">
        <v>2543</v>
      </c>
      <c r="I254" s="48" t="s">
        <v>2543</v>
      </c>
      <c r="J254" s="48" t="s">
        <v>2486</v>
      </c>
      <c r="K254" s="49" t="s">
        <v>2486</v>
      </c>
      <c r="L254" s="48" t="s">
        <v>135</v>
      </c>
      <c r="M254" s="48" t="s">
        <v>135</v>
      </c>
      <c r="N254" s="49" t="s">
        <v>135</v>
      </c>
      <c r="O254" s="49" t="s">
        <v>2501</v>
      </c>
      <c r="P254" s="49" t="s">
        <v>2501</v>
      </c>
      <c r="Q254" s="49" t="s">
        <v>2501</v>
      </c>
      <c r="R254" s="48" t="s">
        <v>2501</v>
      </c>
      <c r="S254" s="48" t="s">
        <v>2501</v>
      </c>
      <c r="T254" s="48" t="s">
        <v>2501</v>
      </c>
      <c r="U254" s="48" t="s">
        <v>2501</v>
      </c>
      <c r="V254" s="48" t="s">
        <v>2501</v>
      </c>
      <c r="W254" s="48" t="s">
        <v>2501</v>
      </c>
      <c r="X254" s="48" t="s">
        <v>2501</v>
      </c>
      <c r="Y254" s="48" t="s">
        <v>2501</v>
      </c>
      <c r="Z254" s="48" t="s">
        <v>2501</v>
      </c>
      <c r="AA254" s="48" t="s">
        <v>2501</v>
      </c>
      <c r="AB254" s="48" t="s">
        <v>2501</v>
      </c>
      <c r="AC254" s="48" t="s">
        <v>2486</v>
      </c>
      <c r="AD254" s="48" t="s">
        <v>2543</v>
      </c>
      <c r="AE254" s="48" t="s">
        <v>2543</v>
      </c>
      <c r="AF254" s="48" t="s">
        <v>2543</v>
      </c>
      <c r="AG254" s="48" t="s">
        <v>2543</v>
      </c>
      <c r="AH254" s="48" t="s">
        <v>2486</v>
      </c>
      <c r="AI254" s="48" t="s">
        <v>2587</v>
      </c>
      <c r="AJ254" s="50" t="s">
        <v>2580</v>
      </c>
      <c r="AK254" s="51" t="s">
        <v>71</v>
      </c>
      <c r="AL254" s="47" t="s">
        <v>72</v>
      </c>
      <c r="AM254" s="47"/>
      <c r="AN254" s="47"/>
      <c r="AO254" s="47"/>
      <c r="AP254" s="47">
        <f>VLOOKUP(B:B,Table3[#All],4,0)</f>
        <v>4500</v>
      </c>
      <c r="AQ254" s="47">
        <f>calcShift1(Таблица1[[#This Row],[Столбец5]:[Столбец36]])</f>
        <v>64</v>
      </c>
      <c r="AR254" s="47">
        <f>calcShift2(Таблица1[[#This Row],[Столбец5]:[Столбец36]])</f>
        <v>24</v>
      </c>
      <c r="AS254" s="47">
        <f>calcShift3(Таблица1[[#This Row],[Столбец5]:[Столбец36]])</f>
        <v>0</v>
      </c>
      <c r="AT254" s="47"/>
      <c r="AU254" s="47">
        <f>calcYavka(Таблица1[[#This Row],[Столбец5]:[Столбец36]])</f>
        <v>11</v>
      </c>
      <c r="AV254" s="52"/>
      <c r="AW254" s="70">
        <f>VLOOKUP(B:B,ДОП_ВСІ!B:AS,44,0)</f>
        <v>0</v>
      </c>
      <c r="AX254" s="47">
        <f>VLOOKUP(B:B,ДОП_ВСІ!B:AQ,42,0)</f>
        <v>0</v>
      </c>
      <c r="AY254" s="47">
        <f>Таблица1[[#This Row],[Столбец47]]*30</f>
        <v>330</v>
      </c>
      <c r="AZ254" s="47">
        <f>((((Таблица1[[#This Row],[Столбец42]]/160)*Таблица1[[#This Row],[Столбец44]])*0.25)*0.35)+((((Таблица1[[#This Row],[Столбец42]]/160)*Таблица1[[#This Row],[Столбец44]])*0.5)*0.2)</f>
        <v>126.5625</v>
      </c>
      <c r="BA254" s="47"/>
      <c r="BB254" s="47">
        <f>calcTS(Таблица1[[#This Row],[Столбец5]:[Столбец36]])</f>
        <v>0</v>
      </c>
    </row>
    <row r="255" spans="1:54" x14ac:dyDescent="0.35">
      <c r="A255" s="46" t="s">
        <v>554</v>
      </c>
      <c r="B255" s="47" t="s">
        <v>555</v>
      </c>
      <c r="C255" s="48" t="s">
        <v>118</v>
      </c>
      <c r="D255" s="48" t="s">
        <v>2564</v>
      </c>
      <c r="E255" s="49" t="s">
        <v>2486</v>
      </c>
      <c r="F255" s="48" t="s">
        <v>2543</v>
      </c>
      <c r="G255" s="48" t="s">
        <v>141</v>
      </c>
      <c r="H255" s="48" t="s">
        <v>141</v>
      </c>
      <c r="I255" s="48" t="s">
        <v>141</v>
      </c>
      <c r="J255" s="48" t="s">
        <v>2486</v>
      </c>
      <c r="K255" s="49" t="s">
        <v>2486</v>
      </c>
      <c r="L255" s="48" t="s">
        <v>135</v>
      </c>
      <c r="M255" s="48" t="s">
        <v>135</v>
      </c>
      <c r="N255" s="49" t="s">
        <v>135</v>
      </c>
      <c r="O255" s="49" t="s">
        <v>135</v>
      </c>
      <c r="P255" s="49" t="s">
        <v>2486</v>
      </c>
      <c r="Q255" s="49" t="s">
        <v>2486</v>
      </c>
      <c r="R255" s="48" t="s">
        <v>2543</v>
      </c>
      <c r="S255" s="48" t="s">
        <v>2543</v>
      </c>
      <c r="T255" s="48" t="s">
        <v>2543</v>
      </c>
      <c r="U255" s="48" t="s">
        <v>2543</v>
      </c>
      <c r="V255" s="48" t="s">
        <v>2486</v>
      </c>
      <c r="W255" s="48" t="s">
        <v>2486</v>
      </c>
      <c r="X255" s="48" t="s">
        <v>135</v>
      </c>
      <c r="Y255" s="48" t="s">
        <v>2543</v>
      </c>
      <c r="Z255" s="48" t="s">
        <v>2543</v>
      </c>
      <c r="AA255" s="48" t="s">
        <v>135</v>
      </c>
      <c r="AB255" s="48" t="s">
        <v>2486</v>
      </c>
      <c r="AC255" s="48" t="s">
        <v>2486</v>
      </c>
      <c r="AD255" s="48" t="s">
        <v>2543</v>
      </c>
      <c r="AE255" s="48" t="s">
        <v>2543</v>
      </c>
      <c r="AF255" s="48" t="s">
        <v>2543</v>
      </c>
      <c r="AG255" s="48" t="s">
        <v>2543</v>
      </c>
      <c r="AH255" s="48" t="s">
        <v>2486</v>
      </c>
      <c r="AI255" s="48" t="s">
        <v>2580</v>
      </c>
      <c r="AJ255" s="50" t="s">
        <v>2580</v>
      </c>
      <c r="AK255" s="51" t="s">
        <v>54</v>
      </c>
      <c r="AL255" s="47" t="s">
        <v>55</v>
      </c>
      <c r="AM255" s="47"/>
      <c r="AN255" s="47"/>
      <c r="AO255" s="47"/>
      <c r="AP255" s="47">
        <f>VLOOKUP(B:B,Table3[#All],4,0)</f>
        <v>4500</v>
      </c>
      <c r="AQ255" s="47">
        <f>calcShift1(Таблица1[[#This Row],[Столбец5]:[Столбец36]])</f>
        <v>111.99999999999999</v>
      </c>
      <c r="AR255" s="47">
        <f>calcShift2(Таблица1[[#This Row],[Столбец5]:[Столбец36]])</f>
        <v>47.999999999999993</v>
      </c>
      <c r="AS255" s="47">
        <f>calcShift3(Таблица1[[#This Row],[Столбец5]:[Столбец36]])</f>
        <v>0</v>
      </c>
      <c r="AT255" s="47"/>
      <c r="AU255" s="47">
        <f>calcYavka(Таблица1[[#This Row],[Столбец5]:[Столбец36]])</f>
        <v>20</v>
      </c>
      <c r="AV255" s="52"/>
      <c r="AW255" s="70">
        <f>VLOOKUP(B:B,ДОП_ВСІ!B:AS,44,0)</f>
        <v>0</v>
      </c>
      <c r="AX255" s="47">
        <f>VLOOKUP(B:B,ДОП_ВСІ!B:AQ,42,0)</f>
        <v>0</v>
      </c>
      <c r="AY255" s="47">
        <f>Таблица1[[#This Row],[Столбец47]]*30</f>
        <v>600</v>
      </c>
      <c r="AZ255" s="47">
        <f>((((Таблица1[[#This Row],[Столбец42]]/160)*Таблица1[[#This Row],[Столбец44]])*0.25)*0.35)+((((Таблица1[[#This Row],[Столбец42]]/160)*Таблица1[[#This Row],[Столбец44]])*0.5)*0.2)</f>
        <v>253.12499999999994</v>
      </c>
      <c r="BA255" s="47"/>
      <c r="BB255" s="47">
        <f>calcTS(Таблица1[[#This Row],[Столбец5]:[Столбец36]])</f>
        <v>0</v>
      </c>
    </row>
    <row r="256" spans="1:54" x14ac:dyDescent="0.35">
      <c r="A256" s="46" t="s">
        <v>556</v>
      </c>
      <c r="B256" s="47" t="s">
        <v>557</v>
      </c>
      <c r="C256" s="48" t="s">
        <v>2648</v>
      </c>
      <c r="D256" s="48" t="s">
        <v>2564</v>
      </c>
      <c r="E256" s="49" t="s">
        <v>2486</v>
      </c>
      <c r="F256" s="48" t="s">
        <v>2543</v>
      </c>
      <c r="G256" s="48" t="s">
        <v>141</v>
      </c>
      <c r="H256" s="48" t="s">
        <v>141</v>
      </c>
      <c r="I256" s="48" t="s">
        <v>141</v>
      </c>
      <c r="J256" s="48" t="s">
        <v>2486</v>
      </c>
      <c r="K256" s="49" t="s">
        <v>2486</v>
      </c>
      <c r="L256" s="48" t="s">
        <v>135</v>
      </c>
      <c r="M256" s="48" t="s">
        <v>135</v>
      </c>
      <c r="N256" s="49" t="s">
        <v>135</v>
      </c>
      <c r="O256" s="49" t="s">
        <v>135</v>
      </c>
      <c r="P256" s="49" t="s">
        <v>2486</v>
      </c>
      <c r="Q256" s="49" t="s">
        <v>2486</v>
      </c>
      <c r="R256" s="48" t="s">
        <v>2543</v>
      </c>
      <c r="S256" s="48" t="s">
        <v>2543</v>
      </c>
      <c r="T256" s="48" t="s">
        <v>2543</v>
      </c>
      <c r="U256" s="48" t="s">
        <v>2543</v>
      </c>
      <c r="V256" s="48" t="s">
        <v>2486</v>
      </c>
      <c r="W256" s="48" t="s">
        <v>2486</v>
      </c>
      <c r="X256" s="48" t="s">
        <v>135</v>
      </c>
      <c r="Y256" s="48" t="s">
        <v>2543</v>
      </c>
      <c r="Z256" s="48" t="s">
        <v>2485</v>
      </c>
      <c r="AA256" s="48" t="s">
        <v>135</v>
      </c>
      <c r="AB256" s="48" t="s">
        <v>2486</v>
      </c>
      <c r="AC256" s="48" t="s">
        <v>2501</v>
      </c>
      <c r="AD256" s="48" t="s">
        <v>2501</v>
      </c>
      <c r="AE256" s="48" t="s">
        <v>2501</v>
      </c>
      <c r="AF256" s="48" t="s">
        <v>2501</v>
      </c>
      <c r="AG256" s="48" t="s">
        <v>2501</v>
      </c>
      <c r="AH256" s="48" t="s">
        <v>2501</v>
      </c>
      <c r="AI256" s="48" t="s">
        <v>2569</v>
      </c>
      <c r="AJ256" s="50" t="s">
        <v>2580</v>
      </c>
      <c r="AK256" s="51" t="s">
        <v>75</v>
      </c>
      <c r="AL256" s="47" t="s">
        <v>75</v>
      </c>
      <c r="AM256" s="47"/>
      <c r="AN256" s="47"/>
      <c r="AO256" s="47"/>
      <c r="AP256" s="47">
        <f>VLOOKUP(B:B,Table3[#All],4,0)</f>
        <v>4500</v>
      </c>
      <c r="AQ256" s="47">
        <f>calcShift1(Таблица1[[#This Row],[Столбец5]:[Столбец36]])</f>
        <v>72</v>
      </c>
      <c r="AR256" s="47">
        <f>calcShift2(Таблица1[[#This Row],[Столбец5]:[Столбец36]])</f>
        <v>47.999999999999993</v>
      </c>
      <c r="AS256" s="47">
        <f>calcShift3(Таблица1[[#This Row],[Столбец5]:[Столбец36]])</f>
        <v>0</v>
      </c>
      <c r="AT256" s="47"/>
      <c r="AU256" s="47">
        <f>calcYavka(Таблица1[[#This Row],[Столбец5]:[Столбец36]])</f>
        <v>15</v>
      </c>
      <c r="AV256" s="52"/>
      <c r="AW256" s="70">
        <f>VLOOKUP(B:B,ДОП_ВСІ!B:AS,44,0)</f>
        <v>56.25</v>
      </c>
      <c r="AX256" s="47">
        <f>VLOOKUP(B:B,ДОП_ВСІ!B:AQ,42,0)</f>
        <v>0</v>
      </c>
      <c r="AY256" s="47">
        <f>Таблица1[[#This Row],[Столбец47]]*30</f>
        <v>450</v>
      </c>
      <c r="AZ256" s="47">
        <f>((((Таблица1[[#This Row],[Столбец42]]/160)*Таблица1[[#This Row],[Столбец44]])*0.25)*0.35)+((((Таблица1[[#This Row],[Столбец42]]/160)*Таблица1[[#This Row],[Столбец44]])*0.5)*0.2)</f>
        <v>253.12499999999994</v>
      </c>
      <c r="BA256" s="47"/>
      <c r="BB256" s="47">
        <f>calcTS(Таблица1[[#This Row],[Столбец5]:[Столбец36]])</f>
        <v>0</v>
      </c>
    </row>
    <row r="257" spans="1:54" x14ac:dyDescent="0.35">
      <c r="A257" s="46" t="s">
        <v>558</v>
      </c>
      <c r="B257" s="47" t="s">
        <v>559</v>
      </c>
      <c r="C257" s="48" t="s">
        <v>2648</v>
      </c>
      <c r="D257" s="48" t="s">
        <v>2564</v>
      </c>
      <c r="E257" s="49" t="s">
        <v>2486</v>
      </c>
      <c r="F257" s="48" t="s">
        <v>2543</v>
      </c>
      <c r="G257" s="48" t="s">
        <v>141</v>
      </c>
      <c r="H257" s="48" t="s">
        <v>141</v>
      </c>
      <c r="I257" s="48" t="s">
        <v>141</v>
      </c>
      <c r="J257" s="48" t="s">
        <v>2486</v>
      </c>
      <c r="K257" s="49" t="s">
        <v>2486</v>
      </c>
      <c r="L257" s="48" t="s">
        <v>135</v>
      </c>
      <c r="M257" s="48" t="s">
        <v>135</v>
      </c>
      <c r="N257" s="49" t="s">
        <v>135</v>
      </c>
      <c r="O257" s="49" t="s">
        <v>135</v>
      </c>
      <c r="P257" s="49" t="s">
        <v>2486</v>
      </c>
      <c r="Q257" s="49" t="s">
        <v>2486</v>
      </c>
      <c r="R257" s="48" t="s">
        <v>2543</v>
      </c>
      <c r="S257" s="48" t="s">
        <v>2543</v>
      </c>
      <c r="T257" s="48" t="s">
        <v>2543</v>
      </c>
      <c r="U257" s="48" t="s">
        <v>2543</v>
      </c>
      <c r="V257" s="48" t="s">
        <v>2486</v>
      </c>
      <c r="W257" s="48" t="s">
        <v>2486</v>
      </c>
      <c r="X257" s="48" t="s">
        <v>135</v>
      </c>
      <c r="Y257" s="48" t="s">
        <v>2543</v>
      </c>
      <c r="Z257" s="48" t="s">
        <v>2543</v>
      </c>
      <c r="AA257" s="48" t="s">
        <v>135</v>
      </c>
      <c r="AB257" s="48" t="s">
        <v>2486</v>
      </c>
      <c r="AC257" s="48" t="s">
        <v>2486</v>
      </c>
      <c r="AD257" s="48" t="s">
        <v>2543</v>
      </c>
      <c r="AE257" s="48" t="s">
        <v>141</v>
      </c>
      <c r="AF257" s="48" t="s">
        <v>2543</v>
      </c>
      <c r="AG257" s="48" t="s">
        <v>2543</v>
      </c>
      <c r="AH257" s="48" t="s">
        <v>2486</v>
      </c>
      <c r="AI257" s="48" t="s">
        <v>2580</v>
      </c>
      <c r="AJ257" s="50" t="s">
        <v>2580</v>
      </c>
      <c r="AK257" s="51" t="s">
        <v>54</v>
      </c>
      <c r="AL257" s="47" t="s">
        <v>55</v>
      </c>
      <c r="AM257" s="47"/>
      <c r="AN257" s="47"/>
      <c r="AO257" s="47"/>
      <c r="AP257" s="47">
        <f>VLOOKUP(B:B,Table3[#All],4,0)</f>
        <v>4500</v>
      </c>
      <c r="AQ257" s="47">
        <f>calcShift1(Таблица1[[#This Row],[Столбец5]:[Столбец36]])</f>
        <v>111.99999999999999</v>
      </c>
      <c r="AR257" s="47">
        <f>calcShift2(Таблица1[[#This Row],[Столбец5]:[Столбец36]])</f>
        <v>47.999999999999993</v>
      </c>
      <c r="AS257" s="47">
        <f>calcShift3(Таблица1[[#This Row],[Столбец5]:[Столбец36]])</f>
        <v>0</v>
      </c>
      <c r="AT257" s="47"/>
      <c r="AU257" s="47">
        <f>calcYavka(Таблица1[[#This Row],[Столбец5]:[Столбец36]])</f>
        <v>20</v>
      </c>
      <c r="AV257" s="52"/>
      <c r="AW257" s="70">
        <f>VLOOKUP(B:B,ДОП_ВСІ!B:AS,44,0)</f>
        <v>0</v>
      </c>
      <c r="AX257" s="47">
        <f>VLOOKUP(B:B,ДОП_ВСІ!B:AQ,42,0)</f>
        <v>0</v>
      </c>
      <c r="AY257" s="47">
        <f>Таблица1[[#This Row],[Столбец47]]*30</f>
        <v>600</v>
      </c>
      <c r="AZ257" s="47">
        <f>((((Таблица1[[#This Row],[Столбец42]]/160)*Таблица1[[#This Row],[Столбец44]])*0.25)*0.35)+((((Таблица1[[#This Row],[Столбец42]]/160)*Таблица1[[#This Row],[Столбец44]])*0.5)*0.2)</f>
        <v>253.12499999999994</v>
      </c>
      <c r="BA257" s="47"/>
      <c r="BB257" s="47">
        <f>calcTS(Таблица1[[#This Row],[Столбец5]:[Столбец36]])</f>
        <v>0</v>
      </c>
    </row>
    <row r="258" spans="1:54" x14ac:dyDescent="0.35">
      <c r="A258" s="46" t="s">
        <v>560</v>
      </c>
      <c r="B258" s="47" t="s">
        <v>561</v>
      </c>
      <c r="C258" s="48" t="s">
        <v>2648</v>
      </c>
      <c r="D258" s="48" t="s">
        <v>2564</v>
      </c>
      <c r="E258" s="49" t="s">
        <v>2486</v>
      </c>
      <c r="F258" s="48" t="s">
        <v>2485</v>
      </c>
      <c r="G258" s="48" t="s">
        <v>2485</v>
      </c>
      <c r="H258" s="48" t="s">
        <v>2485</v>
      </c>
      <c r="I258" s="48" t="s">
        <v>2485</v>
      </c>
      <c r="J258" s="48" t="s">
        <v>2486</v>
      </c>
      <c r="K258" s="49" t="s">
        <v>2486</v>
      </c>
      <c r="L258" s="48" t="s">
        <v>2485</v>
      </c>
      <c r="M258" s="48" t="s">
        <v>2485</v>
      </c>
      <c r="N258" s="49" t="s">
        <v>2485</v>
      </c>
      <c r="O258" s="49" t="s">
        <v>2485</v>
      </c>
      <c r="P258" s="49" t="s">
        <v>2486</v>
      </c>
      <c r="Q258" s="49" t="s">
        <v>2486</v>
      </c>
      <c r="R258" s="48" t="s">
        <v>2485</v>
      </c>
      <c r="S258" s="48" t="s">
        <v>2485</v>
      </c>
      <c r="T258" s="48" t="s">
        <v>2485</v>
      </c>
      <c r="U258" s="48" t="s">
        <v>2485</v>
      </c>
      <c r="V258" s="48" t="s">
        <v>2486</v>
      </c>
      <c r="W258" s="48" t="s">
        <v>2486</v>
      </c>
      <c r="X258" s="48" t="s">
        <v>2485</v>
      </c>
      <c r="Y258" s="48" t="s">
        <v>2485</v>
      </c>
      <c r="Z258" s="48" t="s">
        <v>2485</v>
      </c>
      <c r="AA258" s="48" t="s">
        <v>2485</v>
      </c>
      <c r="AB258" s="48" t="s">
        <v>2486</v>
      </c>
      <c r="AC258" s="48" t="s">
        <v>2486</v>
      </c>
      <c r="AD258" s="48" t="s">
        <v>2485</v>
      </c>
      <c r="AE258" s="48" t="s">
        <v>2485</v>
      </c>
      <c r="AF258" s="48" t="s">
        <v>2485</v>
      </c>
      <c r="AG258" s="48" t="s">
        <v>2485</v>
      </c>
      <c r="AH258" s="48" t="s">
        <v>2486</v>
      </c>
      <c r="AI258" s="48" t="s">
        <v>2626</v>
      </c>
      <c r="AJ258" s="50" t="s">
        <v>2580</v>
      </c>
      <c r="AK258" s="51" t="s">
        <v>2627</v>
      </c>
      <c r="AL258" s="47" t="s">
        <v>95</v>
      </c>
      <c r="AM258" s="47"/>
      <c r="AN258" s="47"/>
      <c r="AO258" s="47"/>
      <c r="AP258" s="47">
        <f>VLOOKUP(B:B,Table3[#All],4,0)</f>
        <v>4500</v>
      </c>
      <c r="AQ258" s="47">
        <f>calcShift1(Таблица1[[#This Row],[Столбец5]:[Столбец36]])</f>
        <v>0</v>
      </c>
      <c r="AR258" s="47">
        <f>calcShift2(Таблица1[[#This Row],[Столбец5]:[Столбец36]])</f>
        <v>0</v>
      </c>
      <c r="AS258" s="47">
        <f>calcShift3(Таблица1[[#This Row],[Столбец5]:[Столбец36]])</f>
        <v>0</v>
      </c>
      <c r="AT258" s="47"/>
      <c r="AU258" s="47">
        <f>calcYavka(Таблица1[[#This Row],[Столбец5]:[Столбец36]])</f>
        <v>0</v>
      </c>
      <c r="AV258" s="52"/>
      <c r="AW258" s="70">
        <f>VLOOKUP(B:B,ДОП_ВСІ!B:AS,44,0)</f>
        <v>0</v>
      </c>
      <c r="AX258" s="47">
        <f>VLOOKUP(B:B,ДОП_ВСІ!B:AQ,42,0)</f>
        <v>0</v>
      </c>
      <c r="AY258" s="47">
        <f>Таблица1[[#This Row],[Столбец47]]*30</f>
        <v>0</v>
      </c>
      <c r="AZ258" s="47">
        <f>((((Таблица1[[#This Row],[Столбец42]]/160)*Таблица1[[#This Row],[Столбец44]])*0.25)*0.35)+((((Таблица1[[#This Row],[Столбец42]]/160)*Таблица1[[#This Row],[Столбец44]])*0.5)*0.2)</f>
        <v>0</v>
      </c>
      <c r="BA258" s="47"/>
      <c r="BB258" s="47">
        <f>calcTS(Таблица1[[#This Row],[Столбец5]:[Столбец36]])</f>
        <v>0</v>
      </c>
    </row>
    <row r="259" spans="1:54" x14ac:dyDescent="0.35">
      <c r="A259" s="46" t="s">
        <v>562</v>
      </c>
      <c r="B259" s="47" t="s">
        <v>563</v>
      </c>
      <c r="C259" s="48" t="s">
        <v>2648</v>
      </c>
      <c r="D259" s="48" t="s">
        <v>2564</v>
      </c>
      <c r="E259" s="49" t="s">
        <v>2486</v>
      </c>
      <c r="F259" s="48" t="s">
        <v>2486</v>
      </c>
      <c r="G259" s="48" t="s">
        <v>2486</v>
      </c>
      <c r="H259" s="48" t="s">
        <v>2486</v>
      </c>
      <c r="I259" s="48" t="s">
        <v>2486</v>
      </c>
      <c r="J259" s="48" t="s">
        <v>2486</v>
      </c>
      <c r="K259" s="49" t="s">
        <v>2486</v>
      </c>
      <c r="L259" s="48" t="s">
        <v>2486</v>
      </c>
      <c r="M259" s="48" t="s">
        <v>2486</v>
      </c>
      <c r="N259" s="49" t="s">
        <v>2486</v>
      </c>
      <c r="O259" s="49" t="s">
        <v>2486</v>
      </c>
      <c r="P259" s="49" t="s">
        <v>2486</v>
      </c>
      <c r="Q259" s="49" t="s">
        <v>2486</v>
      </c>
      <c r="R259" s="48" t="s">
        <v>2486</v>
      </c>
      <c r="S259" s="48" t="s">
        <v>141</v>
      </c>
      <c r="T259" s="48" t="s">
        <v>141</v>
      </c>
      <c r="U259" s="48" t="s">
        <v>141</v>
      </c>
      <c r="V259" s="48" t="s">
        <v>2486</v>
      </c>
      <c r="W259" s="48" t="s">
        <v>2486</v>
      </c>
      <c r="X259" s="48" t="s">
        <v>2542</v>
      </c>
      <c r="Y259" s="48" t="s">
        <v>141</v>
      </c>
      <c r="Z259" s="48" t="s">
        <v>2542</v>
      </c>
      <c r="AA259" s="48" t="s">
        <v>135</v>
      </c>
      <c r="AB259" s="48" t="s">
        <v>2486</v>
      </c>
      <c r="AC259" s="48" t="s">
        <v>2486</v>
      </c>
      <c r="AD259" s="48" t="s">
        <v>141</v>
      </c>
      <c r="AE259" s="48" t="s">
        <v>141</v>
      </c>
      <c r="AF259" s="48" t="s">
        <v>141</v>
      </c>
      <c r="AG259" s="48" t="s">
        <v>141</v>
      </c>
      <c r="AH259" s="48" t="s">
        <v>2486</v>
      </c>
      <c r="AI259" s="48" t="s">
        <v>2587</v>
      </c>
      <c r="AJ259" s="50" t="s">
        <v>2587</v>
      </c>
      <c r="AK259" s="51" t="s">
        <v>71</v>
      </c>
      <c r="AL259" s="47" t="s">
        <v>72</v>
      </c>
      <c r="AM259" s="47"/>
      <c r="AN259" s="47"/>
      <c r="AO259" s="47"/>
      <c r="AP259" s="47">
        <f>VLOOKUP(B:B,Table3[#All],4,0)</f>
        <v>4500</v>
      </c>
      <c r="AQ259" s="47">
        <f>calcShift1(Таблица1[[#This Row],[Столбец5]:[Столбец36]])</f>
        <v>64</v>
      </c>
      <c r="AR259" s="47">
        <f>calcShift2(Таблица1[[#This Row],[Столбец5]:[Столбец36]])</f>
        <v>24</v>
      </c>
      <c r="AS259" s="47">
        <f>calcShift3(Таблица1[[#This Row],[Столбец5]:[Столбец36]])</f>
        <v>0</v>
      </c>
      <c r="AT259" s="47"/>
      <c r="AU259" s="47">
        <f>calcYavka(Таблица1[[#This Row],[Столбец5]:[Столбец36]])</f>
        <v>11</v>
      </c>
      <c r="AV259" s="52"/>
      <c r="AW259" s="70">
        <f>VLOOKUP(B:B,ДОП_ВСІ!B:AS,44,0)</f>
        <v>0</v>
      </c>
      <c r="AX259" s="47">
        <f>VLOOKUP(B:B,ДОП_ВСІ!B:AQ,42,0)</f>
        <v>0</v>
      </c>
      <c r="AY259" s="47">
        <f>Таблица1[[#This Row],[Столбец47]]*30</f>
        <v>330</v>
      </c>
      <c r="AZ259" s="47">
        <f>((((Таблица1[[#This Row],[Столбец42]]/160)*Таблица1[[#This Row],[Столбец44]])*0.25)*0.35)+((((Таблица1[[#This Row],[Столбец42]]/160)*Таблица1[[#This Row],[Столбец44]])*0.5)*0.2)</f>
        <v>126.5625</v>
      </c>
      <c r="BA259" s="47"/>
      <c r="BB259" s="47">
        <f>calcTS(Таблица1[[#This Row],[Столбец5]:[Столбец36]])</f>
        <v>0</v>
      </c>
    </row>
    <row r="260" spans="1:54" x14ac:dyDescent="0.35">
      <c r="A260" s="46" t="s">
        <v>564</v>
      </c>
      <c r="B260" s="47" t="s">
        <v>565</v>
      </c>
      <c r="C260" s="48" t="s">
        <v>118</v>
      </c>
      <c r="D260" s="48" t="s">
        <v>2564</v>
      </c>
      <c r="E260" s="49" t="s">
        <v>2486</v>
      </c>
      <c r="F260" s="48" t="s">
        <v>2543</v>
      </c>
      <c r="G260" s="48" t="s">
        <v>2543</v>
      </c>
      <c r="H260" s="48" t="s">
        <v>2543</v>
      </c>
      <c r="I260" s="48" t="s">
        <v>2543</v>
      </c>
      <c r="J260" s="48" t="s">
        <v>2486</v>
      </c>
      <c r="K260" s="49" t="s">
        <v>2486</v>
      </c>
      <c r="L260" s="48" t="s">
        <v>135</v>
      </c>
      <c r="M260" s="48" t="s">
        <v>135</v>
      </c>
      <c r="N260" s="49" t="s">
        <v>135</v>
      </c>
      <c r="O260" s="49" t="s">
        <v>135</v>
      </c>
      <c r="P260" s="49" t="s">
        <v>2486</v>
      </c>
      <c r="Q260" s="49" t="s">
        <v>2486</v>
      </c>
      <c r="R260" s="48" t="s">
        <v>141</v>
      </c>
      <c r="S260" s="48" t="s">
        <v>141</v>
      </c>
      <c r="T260" s="48" t="s">
        <v>141</v>
      </c>
      <c r="U260" s="48" t="s">
        <v>141</v>
      </c>
      <c r="V260" s="48" t="s">
        <v>2486</v>
      </c>
      <c r="W260" s="48" t="s">
        <v>2486</v>
      </c>
      <c r="X260" s="48" t="s">
        <v>2542</v>
      </c>
      <c r="Y260" s="48" t="s">
        <v>2543</v>
      </c>
      <c r="Z260" s="48" t="s">
        <v>2543</v>
      </c>
      <c r="AA260" s="48" t="s">
        <v>2542</v>
      </c>
      <c r="AB260" s="48" t="s">
        <v>2486</v>
      </c>
      <c r="AC260" s="48" t="s">
        <v>2486</v>
      </c>
      <c r="AD260" s="48" t="s">
        <v>141</v>
      </c>
      <c r="AE260" s="48" t="s">
        <v>141</v>
      </c>
      <c r="AF260" s="48" t="s">
        <v>141</v>
      </c>
      <c r="AG260" s="48" t="s">
        <v>141</v>
      </c>
      <c r="AH260" s="48" t="s">
        <v>2486</v>
      </c>
      <c r="AI260" s="48" t="s">
        <v>2580</v>
      </c>
      <c r="AJ260" s="50" t="s">
        <v>2580</v>
      </c>
      <c r="AK260" s="51" t="s">
        <v>54</v>
      </c>
      <c r="AL260" s="47" t="s">
        <v>55</v>
      </c>
      <c r="AM260" s="47"/>
      <c r="AN260" s="47"/>
      <c r="AO260" s="47"/>
      <c r="AP260" s="47">
        <f>VLOOKUP(B:B,Table3[#All],4,0)</f>
        <v>4500</v>
      </c>
      <c r="AQ260" s="47">
        <f>calcShift1(Таблица1[[#This Row],[Столбец5]:[Столбец36]])</f>
        <v>111.99999999999999</v>
      </c>
      <c r="AR260" s="47">
        <f>calcShift2(Таблица1[[#This Row],[Столбец5]:[Столбец36]])</f>
        <v>47.999999999999993</v>
      </c>
      <c r="AS260" s="47">
        <f>calcShift3(Таблица1[[#This Row],[Столбец5]:[Столбец36]])</f>
        <v>0</v>
      </c>
      <c r="AT260" s="47"/>
      <c r="AU260" s="47">
        <f>calcYavka(Таблица1[[#This Row],[Столбец5]:[Столбец36]])</f>
        <v>20</v>
      </c>
      <c r="AV260" s="52"/>
      <c r="AW260" s="70">
        <f>VLOOKUP(B:B,ДОП_ВСІ!B:AS,44,0)</f>
        <v>2250</v>
      </c>
      <c r="AX260" s="47">
        <f>VLOOKUP(B:B,ДОП_ВСІ!B:AQ,42,0)</f>
        <v>0</v>
      </c>
      <c r="AY260" s="47">
        <f>Таблица1[[#This Row],[Столбец47]]*30</f>
        <v>600</v>
      </c>
      <c r="AZ260" s="47">
        <f>((((Таблица1[[#This Row],[Столбец42]]/160)*Таблица1[[#This Row],[Столбец44]])*0.25)*0.35)+((((Таблица1[[#This Row],[Столбец42]]/160)*Таблица1[[#This Row],[Столбец44]])*0.5)*0.2)</f>
        <v>253.12499999999994</v>
      </c>
      <c r="BA260" s="47"/>
      <c r="BB260" s="47">
        <f>calcTS(Таблица1[[#This Row],[Столбец5]:[Столбец36]])</f>
        <v>0</v>
      </c>
    </row>
    <row r="261" spans="1:54" ht="42" x14ac:dyDescent="0.35">
      <c r="A261" s="46" t="s">
        <v>590</v>
      </c>
      <c r="B261" s="47" t="s">
        <v>591</v>
      </c>
      <c r="C261" s="48" t="s">
        <v>118</v>
      </c>
      <c r="D261" s="48" t="s">
        <v>2564</v>
      </c>
      <c r="E261" s="49" t="s">
        <v>135</v>
      </c>
      <c r="F261" s="48" t="s">
        <v>2542</v>
      </c>
      <c r="G261" s="48" t="s">
        <v>135</v>
      </c>
      <c r="H261" s="48" t="s">
        <v>2486</v>
      </c>
      <c r="I261" s="48" t="s">
        <v>2486</v>
      </c>
      <c r="J261" s="48" t="s">
        <v>2543</v>
      </c>
      <c r="K261" s="49" t="s">
        <v>2543</v>
      </c>
      <c r="L261" s="48" t="s">
        <v>2543</v>
      </c>
      <c r="M261" s="48" t="s">
        <v>141</v>
      </c>
      <c r="N261" s="49" t="s">
        <v>2486</v>
      </c>
      <c r="O261" s="49" t="s">
        <v>2486</v>
      </c>
      <c r="P261" s="49" t="s">
        <v>135</v>
      </c>
      <c r="Q261" s="49" t="s">
        <v>135</v>
      </c>
      <c r="R261" s="48" t="s">
        <v>135</v>
      </c>
      <c r="S261" s="48" t="s">
        <v>135</v>
      </c>
      <c r="T261" s="48" t="s">
        <v>2486</v>
      </c>
      <c r="U261" s="48" t="s">
        <v>2486</v>
      </c>
      <c r="V261" s="48" t="s">
        <v>141</v>
      </c>
      <c r="W261" s="48" t="s">
        <v>141</v>
      </c>
      <c r="X261" s="48" t="s">
        <v>2543</v>
      </c>
      <c r="Y261" s="48" t="s">
        <v>2543</v>
      </c>
      <c r="Z261" s="48" t="s">
        <v>2486</v>
      </c>
      <c r="AA261" s="48" t="s">
        <v>2486</v>
      </c>
      <c r="AB261" s="48" t="s">
        <v>2485</v>
      </c>
      <c r="AC261" s="48" t="s">
        <v>2485</v>
      </c>
      <c r="AD261" s="48" t="s">
        <v>2485</v>
      </c>
      <c r="AE261" s="48" t="s">
        <v>2485</v>
      </c>
      <c r="AF261" s="48" t="s">
        <v>2485</v>
      </c>
      <c r="AG261" s="48" t="s">
        <v>2485</v>
      </c>
      <c r="AH261" s="48" t="s">
        <v>2486</v>
      </c>
      <c r="AI261" s="48" t="s">
        <v>2569</v>
      </c>
      <c r="AJ261" s="50" t="s">
        <v>2580</v>
      </c>
      <c r="AK261" s="51" t="s">
        <v>75</v>
      </c>
      <c r="AL261" s="47" t="s">
        <v>75</v>
      </c>
      <c r="AM261" s="47"/>
      <c r="AN261" s="47"/>
      <c r="AO261" s="47"/>
      <c r="AP261" s="47">
        <f>VLOOKUP(B:B,Table3[#All],4,0)</f>
        <v>4500</v>
      </c>
      <c r="AQ261" s="47">
        <f>calcShift1(Таблица1[[#This Row],[Столбец5]:[Столбец36]])</f>
        <v>64</v>
      </c>
      <c r="AR261" s="47">
        <f>calcShift2(Таблица1[[#This Row],[Столбец5]:[Столбец36]])</f>
        <v>55.999999999999993</v>
      </c>
      <c r="AS261" s="47">
        <f>calcShift3(Таблица1[[#This Row],[Столбец5]:[Столбец36]])</f>
        <v>0</v>
      </c>
      <c r="AT261" s="47"/>
      <c r="AU261" s="47">
        <f>calcYavka(Таблица1[[#This Row],[Столбец5]:[Столбец36]])</f>
        <v>15</v>
      </c>
      <c r="AV261" s="52"/>
      <c r="AW261" s="70">
        <f>VLOOKUP(B:B,ДОП_ВСІ!B:AS,44,0)</f>
        <v>0</v>
      </c>
      <c r="AX261" s="47">
        <f>VLOOKUP(B:B,ДОП_ВСІ!B:AQ,42,0)</f>
        <v>0</v>
      </c>
      <c r="AY261" s="47">
        <f>Таблица1[[#This Row],[Столбец47]]*30</f>
        <v>450</v>
      </c>
      <c r="AZ261" s="47">
        <f>((((Таблица1[[#This Row],[Столбец42]]/160)*Таблица1[[#This Row],[Столбец44]])*0.25)*0.35)+((((Таблица1[[#This Row],[Столбец42]]/160)*Таблица1[[#This Row],[Столбец44]])*0.5)*0.2)</f>
        <v>295.3125</v>
      </c>
      <c r="BA261" s="47"/>
      <c r="BB261" s="47">
        <f>calcTS(Таблица1[[#This Row],[Столбец5]:[Столбец36]])</f>
        <v>0</v>
      </c>
    </row>
    <row r="262" spans="1:54" x14ac:dyDescent="0.35">
      <c r="A262" s="46" t="s">
        <v>566</v>
      </c>
      <c r="B262" s="47" t="s">
        <v>567</v>
      </c>
      <c r="C262" s="48" t="s">
        <v>118</v>
      </c>
      <c r="D262" s="48" t="s">
        <v>2564</v>
      </c>
      <c r="E262" s="49" t="s">
        <v>2486</v>
      </c>
      <c r="F262" s="48" t="s">
        <v>141</v>
      </c>
      <c r="G262" s="48" t="s">
        <v>141</v>
      </c>
      <c r="H262" s="48" t="s">
        <v>141</v>
      </c>
      <c r="I262" s="48" t="s">
        <v>2543</v>
      </c>
      <c r="J262" s="48" t="s">
        <v>2486</v>
      </c>
      <c r="K262" s="49" t="s">
        <v>2486</v>
      </c>
      <c r="L262" s="48" t="s">
        <v>135</v>
      </c>
      <c r="M262" s="48" t="s">
        <v>135</v>
      </c>
      <c r="N262" s="49" t="s">
        <v>135</v>
      </c>
      <c r="O262" s="49" t="s">
        <v>135</v>
      </c>
      <c r="P262" s="49" t="s">
        <v>2486</v>
      </c>
      <c r="Q262" s="49" t="s">
        <v>2486</v>
      </c>
      <c r="R262" s="48" t="s">
        <v>141</v>
      </c>
      <c r="S262" s="48" t="s">
        <v>141</v>
      </c>
      <c r="T262" s="48" t="s">
        <v>141</v>
      </c>
      <c r="U262" s="48" t="s">
        <v>141</v>
      </c>
      <c r="V262" s="48" t="s">
        <v>2486</v>
      </c>
      <c r="W262" s="48" t="s">
        <v>2486</v>
      </c>
      <c r="X262" s="48" t="s">
        <v>135</v>
      </c>
      <c r="Y262" s="48" t="s">
        <v>2543</v>
      </c>
      <c r="Z262" s="48" t="s">
        <v>2543</v>
      </c>
      <c r="AA262" s="48" t="s">
        <v>135</v>
      </c>
      <c r="AB262" s="48" t="s">
        <v>2486</v>
      </c>
      <c r="AC262" s="48" t="s">
        <v>2486</v>
      </c>
      <c r="AD262" s="48" t="s">
        <v>141</v>
      </c>
      <c r="AE262" s="48" t="s">
        <v>141</v>
      </c>
      <c r="AF262" s="48" t="s">
        <v>141</v>
      </c>
      <c r="AG262" s="48" t="s">
        <v>141</v>
      </c>
      <c r="AH262" s="48" t="s">
        <v>2486</v>
      </c>
      <c r="AI262" s="48" t="s">
        <v>2580</v>
      </c>
      <c r="AJ262" s="50" t="s">
        <v>2580</v>
      </c>
      <c r="AK262" s="51" t="s">
        <v>54</v>
      </c>
      <c r="AL262" s="47" t="s">
        <v>55</v>
      </c>
      <c r="AM262" s="47"/>
      <c r="AN262" s="47"/>
      <c r="AO262" s="47"/>
      <c r="AP262" s="47">
        <f>VLOOKUP(B:B,Table3[#All],4,0)</f>
        <v>4500</v>
      </c>
      <c r="AQ262" s="47">
        <f>calcShift1(Таблица1[[#This Row],[Столбец5]:[Столбец36]])</f>
        <v>111.99999999999999</v>
      </c>
      <c r="AR262" s="47">
        <f>calcShift2(Таблица1[[#This Row],[Столбец5]:[Столбец36]])</f>
        <v>47.999999999999993</v>
      </c>
      <c r="AS262" s="47">
        <f>calcShift3(Таблица1[[#This Row],[Столбец5]:[Столбец36]])</f>
        <v>0</v>
      </c>
      <c r="AT262" s="47"/>
      <c r="AU262" s="47">
        <f>calcYavka(Таблица1[[#This Row],[Столбец5]:[Столбец36]])</f>
        <v>20</v>
      </c>
      <c r="AV262" s="52"/>
      <c r="AW262" s="70">
        <f>VLOOKUP(B:B,ДОП_ВСІ!B:AS,44,0)</f>
        <v>0</v>
      </c>
      <c r="AX262" s="47">
        <f>VLOOKUP(B:B,ДОП_ВСІ!B:AQ,42,0)</f>
        <v>0</v>
      </c>
      <c r="AY262" s="47">
        <f>Таблица1[[#This Row],[Столбец47]]*30</f>
        <v>600</v>
      </c>
      <c r="AZ262" s="47">
        <f>((((Таблица1[[#This Row],[Столбец42]]/160)*Таблица1[[#This Row],[Столбец44]])*0.25)*0.35)+((((Таблица1[[#This Row],[Столбец42]]/160)*Таблица1[[#This Row],[Столбец44]])*0.5)*0.2)</f>
        <v>253.12499999999994</v>
      </c>
      <c r="BA262" s="47"/>
      <c r="BB262" s="47">
        <f>calcTS(Таблица1[[#This Row],[Столбец5]:[Столбец36]])</f>
        <v>0</v>
      </c>
    </row>
    <row r="263" spans="1:54" x14ac:dyDescent="0.35">
      <c r="A263" s="46" t="s">
        <v>568</v>
      </c>
      <c r="B263" s="47" t="s">
        <v>569</v>
      </c>
      <c r="C263" s="48" t="s">
        <v>118</v>
      </c>
      <c r="D263" s="48" t="s">
        <v>2564</v>
      </c>
      <c r="E263" s="49" t="s">
        <v>2486</v>
      </c>
      <c r="F263" s="48" t="s">
        <v>141</v>
      </c>
      <c r="G263" s="48" t="s">
        <v>141</v>
      </c>
      <c r="H263" s="48" t="s">
        <v>141</v>
      </c>
      <c r="I263" s="48" t="s">
        <v>141</v>
      </c>
      <c r="J263" s="48" t="s">
        <v>2486</v>
      </c>
      <c r="K263" s="49" t="s">
        <v>2486</v>
      </c>
      <c r="L263" s="48" t="s">
        <v>2542</v>
      </c>
      <c r="M263" s="48" t="s">
        <v>135</v>
      </c>
      <c r="N263" s="49" t="s">
        <v>135</v>
      </c>
      <c r="O263" s="49" t="s">
        <v>135</v>
      </c>
      <c r="P263" s="49" t="s">
        <v>2486</v>
      </c>
      <c r="Q263" s="49" t="s">
        <v>2486</v>
      </c>
      <c r="R263" s="48" t="s">
        <v>141</v>
      </c>
      <c r="S263" s="48" t="s">
        <v>141</v>
      </c>
      <c r="T263" s="48" t="s">
        <v>141</v>
      </c>
      <c r="U263" s="48" t="s">
        <v>141</v>
      </c>
      <c r="V263" s="48" t="s">
        <v>2486</v>
      </c>
      <c r="W263" s="48" t="s">
        <v>2486</v>
      </c>
      <c r="X263" s="48" t="s">
        <v>2542</v>
      </c>
      <c r="Y263" s="48" t="s">
        <v>2485</v>
      </c>
      <c r="Z263" s="48" t="s">
        <v>2543</v>
      </c>
      <c r="AA263" s="48" t="s">
        <v>135</v>
      </c>
      <c r="AB263" s="48" t="s">
        <v>2486</v>
      </c>
      <c r="AC263" s="48" t="s">
        <v>2486</v>
      </c>
      <c r="AD263" s="48" t="s">
        <v>141</v>
      </c>
      <c r="AE263" s="48" t="s">
        <v>141</v>
      </c>
      <c r="AF263" s="48" t="s">
        <v>141</v>
      </c>
      <c r="AG263" s="48" t="s">
        <v>141</v>
      </c>
      <c r="AH263" s="48" t="s">
        <v>2486</v>
      </c>
      <c r="AI263" s="48" t="s">
        <v>2597</v>
      </c>
      <c r="AJ263" s="50" t="s">
        <v>2580</v>
      </c>
      <c r="AK263" s="51" t="s">
        <v>72</v>
      </c>
      <c r="AL263" s="47" t="s">
        <v>71</v>
      </c>
      <c r="AM263" s="47"/>
      <c r="AN263" s="47"/>
      <c r="AO263" s="47"/>
      <c r="AP263" s="47">
        <f>VLOOKUP(B:B,Table3[#All],4,0)</f>
        <v>4500</v>
      </c>
      <c r="AQ263" s="47">
        <f>calcShift1(Таблица1[[#This Row],[Столбец5]:[Столбец36]])</f>
        <v>104</v>
      </c>
      <c r="AR263" s="47">
        <f>calcShift2(Таблица1[[#This Row],[Столбец5]:[Столбец36]])</f>
        <v>47.999999999999993</v>
      </c>
      <c r="AS263" s="47">
        <f>calcShift3(Таблица1[[#This Row],[Столбец5]:[Столбец36]])</f>
        <v>0</v>
      </c>
      <c r="AT263" s="47"/>
      <c r="AU263" s="47">
        <f>calcYavka(Таблица1[[#This Row],[Столбец5]:[Столбец36]])</f>
        <v>19</v>
      </c>
      <c r="AV263" s="52"/>
      <c r="AW263" s="70">
        <f>VLOOKUP(B:B,ДОП_ВСІ!B:AS,44,0)</f>
        <v>0</v>
      </c>
      <c r="AX263" s="47">
        <f>VLOOKUP(B:B,ДОП_ВСІ!B:AQ,42,0)</f>
        <v>0</v>
      </c>
      <c r="AY263" s="47">
        <f>Таблица1[[#This Row],[Столбец47]]*30</f>
        <v>570</v>
      </c>
      <c r="AZ263" s="47">
        <f>((((Таблица1[[#This Row],[Столбец42]]/160)*Таблица1[[#This Row],[Столбец44]])*0.25)*0.35)+((((Таблица1[[#This Row],[Столбец42]]/160)*Таблица1[[#This Row],[Столбец44]])*0.5)*0.2)</f>
        <v>253.12499999999994</v>
      </c>
      <c r="BA263" s="47"/>
      <c r="BB263" s="47">
        <f>calcTS(Таблица1[[#This Row],[Столбец5]:[Столбец36]])</f>
        <v>0</v>
      </c>
    </row>
    <row r="264" spans="1:54" x14ac:dyDescent="0.35">
      <c r="A264" s="46" t="s">
        <v>570</v>
      </c>
      <c r="B264" s="47" t="s">
        <v>571</v>
      </c>
      <c r="C264" s="48" t="s">
        <v>2649</v>
      </c>
      <c r="D264" s="48" t="s">
        <v>2564</v>
      </c>
      <c r="E264" s="49" t="s">
        <v>135</v>
      </c>
      <c r="F264" s="48" t="s">
        <v>2485</v>
      </c>
      <c r="G264" s="48" t="s">
        <v>2542</v>
      </c>
      <c r="H264" s="48" t="s">
        <v>2486</v>
      </c>
      <c r="I264" s="48" t="s">
        <v>2486</v>
      </c>
      <c r="J264" s="48" t="s">
        <v>2501</v>
      </c>
      <c r="K264" s="49" t="s">
        <v>2501</v>
      </c>
      <c r="L264" s="48" t="s">
        <v>2501</v>
      </c>
      <c r="M264" s="48" t="s">
        <v>2501</v>
      </c>
      <c r="N264" s="49" t="s">
        <v>2501</v>
      </c>
      <c r="O264" s="49" t="s">
        <v>2501</v>
      </c>
      <c r="P264" s="49" t="s">
        <v>2501</v>
      </c>
      <c r="Q264" s="49" t="s">
        <v>2501</v>
      </c>
      <c r="R264" s="48" t="s">
        <v>2501</v>
      </c>
      <c r="S264" s="48" t="s">
        <v>2501</v>
      </c>
      <c r="T264" s="48" t="s">
        <v>2501</v>
      </c>
      <c r="U264" s="48" t="s">
        <v>2501</v>
      </c>
      <c r="V264" s="48" t="s">
        <v>2501</v>
      </c>
      <c r="W264" s="48" t="s">
        <v>2501</v>
      </c>
      <c r="X264" s="48" t="s">
        <v>2485</v>
      </c>
      <c r="Y264" s="48" t="s">
        <v>2485</v>
      </c>
      <c r="Z264" s="48" t="s">
        <v>2486</v>
      </c>
      <c r="AA264" s="48" t="s">
        <v>2486</v>
      </c>
      <c r="AB264" s="48" t="s">
        <v>2542</v>
      </c>
      <c r="AC264" s="48" t="s">
        <v>2542</v>
      </c>
      <c r="AD264" s="48" t="s">
        <v>135</v>
      </c>
      <c r="AE264" s="48" t="s">
        <v>135</v>
      </c>
      <c r="AF264" s="48" t="s">
        <v>2486</v>
      </c>
      <c r="AG264" s="48" t="s">
        <v>2486</v>
      </c>
      <c r="AH264" s="48" t="s">
        <v>2543</v>
      </c>
      <c r="AI264" s="48" t="s">
        <v>2599</v>
      </c>
      <c r="AJ264" s="50" t="s">
        <v>2580</v>
      </c>
      <c r="AK264" s="51" t="s">
        <v>2600</v>
      </c>
      <c r="AL264" s="47" t="s">
        <v>88</v>
      </c>
      <c r="AM264" s="47"/>
      <c r="AN264" s="47"/>
      <c r="AO264" s="47"/>
      <c r="AP264" s="47">
        <f>VLOOKUP(B:B,Table3[#All],4,0)</f>
        <v>4500</v>
      </c>
      <c r="AQ264" s="47">
        <f>calcShift1(Таблица1[[#This Row],[Столбец5]:[Столбец36]])</f>
        <v>8</v>
      </c>
      <c r="AR264" s="47">
        <f>calcShift2(Таблица1[[#This Row],[Столбец5]:[Столбец36]])</f>
        <v>47.999999999999993</v>
      </c>
      <c r="AS264" s="47">
        <f>calcShift3(Таблица1[[#This Row],[Столбец5]:[Столбец36]])</f>
        <v>0</v>
      </c>
      <c r="AT264" s="47"/>
      <c r="AU264" s="47">
        <f>calcYavka(Таблица1[[#This Row],[Столбец5]:[Столбец36]])</f>
        <v>7</v>
      </c>
      <c r="AV264" s="52"/>
      <c r="AW264" s="70">
        <f>VLOOKUP(B:B,ДОП_ВСІ!B:AS,44,0)</f>
        <v>0</v>
      </c>
      <c r="AX264" s="47">
        <f>VLOOKUP(B:B,ДОП_ВСІ!B:AQ,42,0)</f>
        <v>0</v>
      </c>
      <c r="AY264" s="47">
        <f>Таблица1[[#This Row],[Столбец47]]*30</f>
        <v>210</v>
      </c>
      <c r="AZ264" s="47">
        <f>((((Таблица1[[#This Row],[Столбец42]]/160)*Таблица1[[#This Row],[Столбец44]])*0.25)*0.35)+((((Таблица1[[#This Row],[Столбец42]]/160)*Таблица1[[#This Row],[Столбец44]])*0.5)*0.2)</f>
        <v>253.12499999999994</v>
      </c>
      <c r="BA264" s="47"/>
      <c r="BB264" s="47">
        <f>calcTS(Таблица1[[#This Row],[Столбец5]:[Столбец36]])</f>
        <v>0</v>
      </c>
    </row>
    <row r="265" spans="1:54" ht="42" x14ac:dyDescent="0.35">
      <c r="A265" s="46" t="s">
        <v>572</v>
      </c>
      <c r="B265" s="47" t="s">
        <v>573</v>
      </c>
      <c r="C265" s="48" t="s">
        <v>118</v>
      </c>
      <c r="D265" s="48" t="s">
        <v>2564</v>
      </c>
      <c r="E265" s="49" t="s">
        <v>2531</v>
      </c>
      <c r="F265" s="48" t="s">
        <v>2531</v>
      </c>
      <c r="G265" s="48" t="s">
        <v>2531</v>
      </c>
      <c r="H265" s="48" t="s">
        <v>2486</v>
      </c>
      <c r="I265" s="48" t="s">
        <v>2486</v>
      </c>
      <c r="J265" s="48" t="s">
        <v>141</v>
      </c>
      <c r="K265" s="49" t="s">
        <v>141</v>
      </c>
      <c r="L265" s="48" t="s">
        <v>141</v>
      </c>
      <c r="M265" s="48" t="s">
        <v>141</v>
      </c>
      <c r="N265" s="49" t="s">
        <v>2486</v>
      </c>
      <c r="O265" s="49" t="s">
        <v>2486</v>
      </c>
      <c r="P265" s="49" t="s">
        <v>2542</v>
      </c>
      <c r="Q265" s="49" t="s">
        <v>2542</v>
      </c>
      <c r="R265" s="48" t="s">
        <v>2542</v>
      </c>
      <c r="S265" s="48" t="s">
        <v>2542</v>
      </c>
      <c r="T265" s="48" t="s">
        <v>2486</v>
      </c>
      <c r="U265" s="48" t="s">
        <v>2486</v>
      </c>
      <c r="V265" s="48" t="s">
        <v>2543</v>
      </c>
      <c r="W265" s="48" t="s">
        <v>2543</v>
      </c>
      <c r="X265" s="48" t="s">
        <v>2543</v>
      </c>
      <c r="Y265" s="48" t="s">
        <v>2543</v>
      </c>
      <c r="Z265" s="48" t="s">
        <v>2486</v>
      </c>
      <c r="AA265" s="48" t="s">
        <v>2486</v>
      </c>
      <c r="AB265" s="48" t="s">
        <v>2542</v>
      </c>
      <c r="AC265" s="48" t="s">
        <v>2542</v>
      </c>
      <c r="AD265" s="48" t="s">
        <v>135</v>
      </c>
      <c r="AE265" s="48" t="s">
        <v>135</v>
      </c>
      <c r="AF265" s="48" t="s">
        <v>2486</v>
      </c>
      <c r="AG265" s="48" t="s">
        <v>2486</v>
      </c>
      <c r="AH265" s="48" t="s">
        <v>2543</v>
      </c>
      <c r="AI265" s="48" t="s">
        <v>2586</v>
      </c>
      <c r="AJ265" s="50" t="s">
        <v>2580</v>
      </c>
      <c r="AK265" s="51" t="s">
        <v>52</v>
      </c>
      <c r="AL265" s="47" t="s">
        <v>69</v>
      </c>
      <c r="AM265" s="47"/>
      <c r="AN265" s="47"/>
      <c r="AO265" s="47"/>
      <c r="AP265" s="47">
        <f>VLOOKUP(B:B,Table3[#All],4,0)</f>
        <v>4500</v>
      </c>
      <c r="AQ265" s="47">
        <f>calcShift1(Таблица1[[#This Row],[Столбец5]:[Столбец36]])</f>
        <v>72</v>
      </c>
      <c r="AR265" s="47">
        <f>calcShift2(Таблица1[[#This Row],[Столбец5]:[Столбец36]])</f>
        <v>64</v>
      </c>
      <c r="AS265" s="47">
        <f>calcShift3(Таблица1[[#This Row],[Столбец5]:[Столбец36]])</f>
        <v>0</v>
      </c>
      <c r="AT265" s="47"/>
      <c r="AU265" s="47">
        <f>calcYavka(Таблица1[[#This Row],[Столбец5]:[Столбец36]])</f>
        <v>17</v>
      </c>
      <c r="AV265" s="52"/>
      <c r="AW265" s="70">
        <f>VLOOKUP(B:B,ДОП_ВСІ!B:AS,44,0)</f>
        <v>450</v>
      </c>
      <c r="AX265" s="47">
        <f>VLOOKUP(B:B,ДОП_ВСІ!B:AQ,42,0)</f>
        <v>0</v>
      </c>
      <c r="AY265" s="47">
        <f>Таблица1[[#This Row],[Столбец47]]*30</f>
        <v>510</v>
      </c>
      <c r="AZ265" s="47">
        <f>((((Таблица1[[#This Row],[Столбец42]]/160)*Таблица1[[#This Row],[Столбец44]])*0.25)*0.35)+((((Таблица1[[#This Row],[Столбец42]]/160)*Таблица1[[#This Row],[Столбец44]])*0.5)*0.2)</f>
        <v>337.5</v>
      </c>
      <c r="BA265" s="47"/>
      <c r="BB265" s="47">
        <f>calcTS(Таблица1[[#This Row],[Столбец5]:[Столбец36]])</f>
        <v>0</v>
      </c>
    </row>
    <row r="266" spans="1:54" x14ac:dyDescent="0.35">
      <c r="A266" s="46" t="s">
        <v>574</v>
      </c>
      <c r="B266" s="47" t="s">
        <v>575</v>
      </c>
      <c r="C266" s="48" t="s">
        <v>118</v>
      </c>
      <c r="D266" s="48" t="s">
        <v>2564</v>
      </c>
      <c r="E266" s="49" t="s">
        <v>135</v>
      </c>
      <c r="F266" s="48" t="s">
        <v>135</v>
      </c>
      <c r="G266" s="48" t="s">
        <v>2542</v>
      </c>
      <c r="H266" s="48" t="s">
        <v>2486</v>
      </c>
      <c r="I266" s="48" t="s">
        <v>2486</v>
      </c>
      <c r="J266" s="48" t="s">
        <v>141</v>
      </c>
      <c r="K266" s="49" t="s">
        <v>141</v>
      </c>
      <c r="L266" s="48" t="s">
        <v>141</v>
      </c>
      <c r="M266" s="48" t="s">
        <v>141</v>
      </c>
      <c r="N266" s="49" t="s">
        <v>2486</v>
      </c>
      <c r="O266" s="49" t="s">
        <v>2486</v>
      </c>
      <c r="P266" s="49" t="s">
        <v>135</v>
      </c>
      <c r="Q266" s="49" t="s">
        <v>135</v>
      </c>
      <c r="R266" s="48" t="s">
        <v>135</v>
      </c>
      <c r="S266" s="48" t="s">
        <v>135</v>
      </c>
      <c r="T266" s="48" t="s">
        <v>2486</v>
      </c>
      <c r="U266" s="48" t="s">
        <v>2486</v>
      </c>
      <c r="V266" s="48" t="s">
        <v>2543</v>
      </c>
      <c r="W266" s="48" t="s">
        <v>2543</v>
      </c>
      <c r="X266" s="48" t="s">
        <v>2543</v>
      </c>
      <c r="Y266" s="48" t="s">
        <v>2543</v>
      </c>
      <c r="Z266" s="48" t="s">
        <v>2486</v>
      </c>
      <c r="AA266" s="48" t="s">
        <v>2486</v>
      </c>
      <c r="AB266" s="48" t="s">
        <v>2542</v>
      </c>
      <c r="AC266" s="48" t="s">
        <v>2542</v>
      </c>
      <c r="AD266" s="48" t="s">
        <v>135</v>
      </c>
      <c r="AE266" s="48" t="s">
        <v>135</v>
      </c>
      <c r="AF266" s="48" t="s">
        <v>2486</v>
      </c>
      <c r="AG266" s="48" t="s">
        <v>2486</v>
      </c>
      <c r="AH266" s="48" t="s">
        <v>2543</v>
      </c>
      <c r="AI266" s="48" t="s">
        <v>2580</v>
      </c>
      <c r="AJ266" s="50" t="s">
        <v>2580</v>
      </c>
      <c r="AK266" s="51" t="s">
        <v>54</v>
      </c>
      <c r="AL266" s="47" t="s">
        <v>55</v>
      </c>
      <c r="AM266" s="47"/>
      <c r="AN266" s="47"/>
      <c r="AO266" s="47"/>
      <c r="AP266" s="47">
        <f>VLOOKUP(B:B,Table3[#All],4,0)</f>
        <v>4500</v>
      </c>
      <c r="AQ266" s="47">
        <f>calcShift1(Таблица1[[#This Row],[Столбец5]:[Столбец36]])</f>
        <v>72</v>
      </c>
      <c r="AR266" s="47">
        <f>calcShift2(Таблица1[[#This Row],[Столбец5]:[Столбец36]])</f>
        <v>88</v>
      </c>
      <c r="AS266" s="47">
        <f>calcShift3(Таблица1[[#This Row],[Столбец5]:[Столбец36]])</f>
        <v>0</v>
      </c>
      <c r="AT266" s="47"/>
      <c r="AU266" s="47">
        <f>calcYavka(Таблица1[[#This Row],[Столбец5]:[Столбец36]])</f>
        <v>20</v>
      </c>
      <c r="AV266" s="52"/>
      <c r="AW266" s="70">
        <f>VLOOKUP(B:B,ДОП_ВСІ!B:AS,44,0)</f>
        <v>0</v>
      </c>
      <c r="AX266" s="47">
        <f>VLOOKUP(B:B,ДОП_ВСІ!B:AQ,42,0)</f>
        <v>0</v>
      </c>
      <c r="AY266" s="47">
        <f>Таблица1[[#This Row],[Столбец47]]*30</f>
        <v>600</v>
      </c>
      <c r="AZ266" s="47">
        <f>((((Таблица1[[#This Row],[Столбец42]]/160)*Таблица1[[#This Row],[Столбец44]])*0.25)*0.35)+((((Таблица1[[#This Row],[Столбец42]]/160)*Таблица1[[#This Row],[Столбец44]])*0.5)*0.2)</f>
        <v>464.0625</v>
      </c>
      <c r="BA266" s="47"/>
      <c r="BB266" s="47">
        <f>calcTS(Таблица1[[#This Row],[Столбец5]:[Столбец36]])</f>
        <v>0</v>
      </c>
    </row>
    <row r="267" spans="1:54" x14ac:dyDescent="0.35">
      <c r="A267" s="46" t="s">
        <v>576</v>
      </c>
      <c r="B267" s="47" t="s">
        <v>577</v>
      </c>
      <c r="C267" s="48" t="s">
        <v>118</v>
      </c>
      <c r="D267" s="48" t="s">
        <v>2564</v>
      </c>
      <c r="E267" s="49" t="s">
        <v>135</v>
      </c>
      <c r="F267" s="48" t="s">
        <v>135</v>
      </c>
      <c r="G267" s="48" t="s">
        <v>2542</v>
      </c>
      <c r="H267" s="48" t="s">
        <v>2486</v>
      </c>
      <c r="I267" s="48" t="s">
        <v>2486</v>
      </c>
      <c r="J267" s="48" t="s">
        <v>141</v>
      </c>
      <c r="K267" s="49" t="s">
        <v>141</v>
      </c>
      <c r="L267" s="48" t="s">
        <v>141</v>
      </c>
      <c r="M267" s="48" t="s">
        <v>141</v>
      </c>
      <c r="N267" s="49" t="s">
        <v>2486</v>
      </c>
      <c r="O267" s="49" t="s">
        <v>2486</v>
      </c>
      <c r="P267" s="49" t="s">
        <v>135</v>
      </c>
      <c r="Q267" s="49" t="s">
        <v>135</v>
      </c>
      <c r="R267" s="48" t="s">
        <v>135</v>
      </c>
      <c r="S267" s="48" t="s">
        <v>2501</v>
      </c>
      <c r="T267" s="48" t="s">
        <v>2501</v>
      </c>
      <c r="U267" s="48" t="s">
        <v>2501</v>
      </c>
      <c r="V267" s="48" t="s">
        <v>2501</v>
      </c>
      <c r="W267" s="48" t="s">
        <v>2501</v>
      </c>
      <c r="X267" s="48" t="s">
        <v>2501</v>
      </c>
      <c r="Y267" s="48" t="s">
        <v>2501</v>
      </c>
      <c r="Z267" s="48" t="s">
        <v>2501</v>
      </c>
      <c r="AA267" s="48" t="s">
        <v>2501</v>
      </c>
      <c r="AB267" s="48" t="s">
        <v>2501</v>
      </c>
      <c r="AC267" s="48" t="s">
        <v>2501</v>
      </c>
      <c r="AD267" s="48" t="s">
        <v>2501</v>
      </c>
      <c r="AE267" s="48" t="s">
        <v>2501</v>
      </c>
      <c r="AF267" s="48" t="s">
        <v>2501</v>
      </c>
      <c r="AG267" s="48" t="s">
        <v>2501</v>
      </c>
      <c r="AH267" s="48" t="s">
        <v>2543</v>
      </c>
      <c r="AI267" s="48" t="s">
        <v>2587</v>
      </c>
      <c r="AJ267" s="50" t="s">
        <v>2580</v>
      </c>
      <c r="AK267" s="51" t="s">
        <v>71</v>
      </c>
      <c r="AL267" s="47" t="s">
        <v>72</v>
      </c>
      <c r="AM267" s="47"/>
      <c r="AN267" s="47"/>
      <c r="AO267" s="47"/>
      <c r="AP267" s="47">
        <f>VLOOKUP(B:B,Table3[#All],4,0)</f>
        <v>4500</v>
      </c>
      <c r="AQ267" s="47">
        <f>calcShift1(Таблица1[[#This Row],[Столбец5]:[Столбец36]])</f>
        <v>40</v>
      </c>
      <c r="AR267" s="47">
        <f>calcShift2(Таблица1[[#This Row],[Столбец5]:[Столбец36]])</f>
        <v>47.999999999999993</v>
      </c>
      <c r="AS267" s="47">
        <f>calcShift3(Таблица1[[#This Row],[Столбец5]:[Столбец36]])</f>
        <v>0</v>
      </c>
      <c r="AT267" s="47"/>
      <c r="AU267" s="47">
        <f>calcYavka(Таблица1[[#This Row],[Столбец5]:[Столбец36]])</f>
        <v>11</v>
      </c>
      <c r="AV267" s="52"/>
      <c r="AW267" s="70">
        <f>VLOOKUP(B:B,ДОП_ВСІ!B:AS,44,0)</f>
        <v>0</v>
      </c>
      <c r="AX267" s="47">
        <f>VLOOKUP(B:B,ДОП_ВСІ!B:AQ,42,0)</f>
        <v>0</v>
      </c>
      <c r="AY267" s="47">
        <f>Таблица1[[#This Row],[Столбец47]]*30</f>
        <v>330</v>
      </c>
      <c r="AZ267" s="47">
        <f>((((Таблица1[[#This Row],[Столбец42]]/160)*Таблица1[[#This Row],[Столбец44]])*0.25)*0.35)+((((Таблица1[[#This Row],[Столбец42]]/160)*Таблица1[[#This Row],[Столбец44]])*0.5)*0.2)</f>
        <v>253.12499999999994</v>
      </c>
      <c r="BA267" s="47"/>
      <c r="BB267" s="47">
        <f>calcTS(Таблица1[[#This Row],[Столбец5]:[Столбец36]])</f>
        <v>0</v>
      </c>
    </row>
    <row r="268" spans="1:54" x14ac:dyDescent="0.35">
      <c r="A268" s="46" t="s">
        <v>578</v>
      </c>
      <c r="B268" s="47" t="s">
        <v>579</v>
      </c>
      <c r="C268" s="48" t="s">
        <v>118</v>
      </c>
      <c r="D268" s="48" t="s">
        <v>2564</v>
      </c>
      <c r="E268" s="49" t="s">
        <v>2501</v>
      </c>
      <c r="F268" s="48" t="s">
        <v>2542</v>
      </c>
      <c r="G268" s="48" t="s">
        <v>2542</v>
      </c>
      <c r="H268" s="48" t="s">
        <v>2486</v>
      </c>
      <c r="I268" s="48" t="s">
        <v>2486</v>
      </c>
      <c r="J268" s="48" t="s">
        <v>141</v>
      </c>
      <c r="K268" s="49" t="s">
        <v>141</v>
      </c>
      <c r="L268" s="48" t="s">
        <v>141</v>
      </c>
      <c r="M268" s="48" t="s">
        <v>141</v>
      </c>
      <c r="N268" s="49" t="s">
        <v>2486</v>
      </c>
      <c r="O268" s="49" t="s">
        <v>2486</v>
      </c>
      <c r="P268" s="49" t="s">
        <v>135</v>
      </c>
      <c r="Q268" s="49" t="s">
        <v>135</v>
      </c>
      <c r="R268" s="48" t="s">
        <v>135</v>
      </c>
      <c r="S268" s="48" t="s">
        <v>135</v>
      </c>
      <c r="T268" s="48" t="s">
        <v>2486</v>
      </c>
      <c r="U268" s="48" t="s">
        <v>2486</v>
      </c>
      <c r="V268" s="48" t="s">
        <v>2543</v>
      </c>
      <c r="W268" s="48" t="s">
        <v>2543</v>
      </c>
      <c r="X268" s="48" t="s">
        <v>2543</v>
      </c>
      <c r="Y268" s="48" t="s">
        <v>2543</v>
      </c>
      <c r="Z268" s="48" t="s">
        <v>2486</v>
      </c>
      <c r="AA268" s="48" t="s">
        <v>2486</v>
      </c>
      <c r="AB268" s="48" t="s">
        <v>135</v>
      </c>
      <c r="AC268" s="48" t="s">
        <v>135</v>
      </c>
      <c r="AD268" s="48" t="s">
        <v>135</v>
      </c>
      <c r="AE268" s="48" t="s">
        <v>135</v>
      </c>
      <c r="AF268" s="48" t="s">
        <v>2486</v>
      </c>
      <c r="AG268" s="48" t="s">
        <v>2486</v>
      </c>
      <c r="AH268" s="48" t="s">
        <v>2543</v>
      </c>
      <c r="AI268" s="48" t="s">
        <v>2597</v>
      </c>
      <c r="AJ268" s="50" t="s">
        <v>2580</v>
      </c>
      <c r="AK268" s="51" t="s">
        <v>72</v>
      </c>
      <c r="AL268" s="47" t="s">
        <v>71</v>
      </c>
      <c r="AM268" s="47"/>
      <c r="AN268" s="47"/>
      <c r="AO268" s="47"/>
      <c r="AP268" s="47">
        <f>VLOOKUP(B:B,Table3[#All],4,0)</f>
        <v>4500</v>
      </c>
      <c r="AQ268" s="47">
        <f>calcShift1(Таблица1[[#This Row],[Столбец5]:[Столбец36]])</f>
        <v>72</v>
      </c>
      <c r="AR268" s="47">
        <f>calcShift2(Таблица1[[#This Row],[Столбец5]:[Столбец36]])</f>
        <v>80</v>
      </c>
      <c r="AS268" s="47">
        <f>calcShift3(Таблица1[[#This Row],[Столбец5]:[Столбец36]])</f>
        <v>0</v>
      </c>
      <c r="AT268" s="47"/>
      <c r="AU268" s="47">
        <f>calcYavka(Таблица1[[#This Row],[Столбец5]:[Столбец36]])</f>
        <v>19</v>
      </c>
      <c r="AV268" s="52"/>
      <c r="AW268" s="70">
        <f>VLOOKUP(B:B,ДОП_ВСІ!B:AS,44,0)</f>
        <v>225</v>
      </c>
      <c r="AX268" s="47">
        <f>VLOOKUP(B:B,ДОП_ВСІ!B:AQ,42,0)</f>
        <v>0</v>
      </c>
      <c r="AY268" s="47">
        <f>Таблица1[[#This Row],[Столбец47]]*30</f>
        <v>570</v>
      </c>
      <c r="AZ268" s="47">
        <f>((((Таблица1[[#This Row],[Столбец42]]/160)*Таблица1[[#This Row],[Столбец44]])*0.25)*0.35)+((((Таблица1[[#This Row],[Столбец42]]/160)*Таблица1[[#This Row],[Столбец44]])*0.5)*0.2)</f>
        <v>421.875</v>
      </c>
      <c r="BA268" s="47"/>
      <c r="BB268" s="47">
        <f>calcTS(Таблица1[[#This Row],[Столбец5]:[Столбец36]])</f>
        <v>0</v>
      </c>
    </row>
    <row r="269" spans="1:54" x14ac:dyDescent="0.35">
      <c r="A269" s="46" t="s">
        <v>580</v>
      </c>
      <c r="B269" s="47" t="s">
        <v>581</v>
      </c>
      <c r="C269" s="48" t="s">
        <v>118</v>
      </c>
      <c r="D269" s="48" t="s">
        <v>2564</v>
      </c>
      <c r="E269" s="49" t="s">
        <v>2501</v>
      </c>
      <c r="F269" s="48" t="s">
        <v>2501</v>
      </c>
      <c r="G269" s="48" t="s">
        <v>2501</v>
      </c>
      <c r="H269" s="48" t="s">
        <v>2501</v>
      </c>
      <c r="I269" s="48" t="s">
        <v>2501</v>
      </c>
      <c r="J269" s="48" t="s">
        <v>2501</v>
      </c>
      <c r="K269" s="49" t="s">
        <v>2501</v>
      </c>
      <c r="L269" s="48" t="s">
        <v>2501</v>
      </c>
      <c r="M269" s="48" t="s">
        <v>2501</v>
      </c>
      <c r="N269" s="49" t="s">
        <v>2501</v>
      </c>
      <c r="O269" s="49" t="s">
        <v>2501</v>
      </c>
      <c r="P269" s="49" t="s">
        <v>2501</v>
      </c>
      <c r="Q269" s="49" t="s">
        <v>2501</v>
      </c>
      <c r="R269" s="48" t="s">
        <v>2501</v>
      </c>
      <c r="S269" s="48" t="s">
        <v>135</v>
      </c>
      <c r="T269" s="48" t="s">
        <v>2486</v>
      </c>
      <c r="U269" s="48" t="s">
        <v>2486</v>
      </c>
      <c r="V269" s="48" t="s">
        <v>2543</v>
      </c>
      <c r="W269" s="48" t="s">
        <v>2543</v>
      </c>
      <c r="X269" s="48" t="s">
        <v>2543</v>
      </c>
      <c r="Y269" s="48" t="s">
        <v>2543</v>
      </c>
      <c r="Z269" s="48" t="s">
        <v>2486</v>
      </c>
      <c r="AA269" s="48" t="s">
        <v>2486</v>
      </c>
      <c r="AB269" s="48" t="s">
        <v>135</v>
      </c>
      <c r="AC269" s="48" t="s">
        <v>135</v>
      </c>
      <c r="AD269" s="48" t="s">
        <v>135</v>
      </c>
      <c r="AE269" s="48" t="s">
        <v>135</v>
      </c>
      <c r="AF269" s="48" t="s">
        <v>2486</v>
      </c>
      <c r="AG269" s="48" t="s">
        <v>2486</v>
      </c>
      <c r="AH269" s="48" t="s">
        <v>2543</v>
      </c>
      <c r="AI269" s="48" t="s">
        <v>2588</v>
      </c>
      <c r="AJ269" s="50" t="s">
        <v>2580</v>
      </c>
      <c r="AK269" s="51" t="s">
        <v>55</v>
      </c>
      <c r="AL269" s="47" t="s">
        <v>54</v>
      </c>
      <c r="AM269" s="47"/>
      <c r="AN269" s="47"/>
      <c r="AO269" s="47"/>
      <c r="AP269" s="47">
        <f>VLOOKUP(B:B,Table3[#All],4,0)</f>
        <v>4500</v>
      </c>
      <c r="AQ269" s="47">
        <f>calcShift1(Таблица1[[#This Row],[Столбец5]:[Столбец36]])</f>
        <v>40</v>
      </c>
      <c r="AR269" s="47">
        <f>calcShift2(Таблица1[[#This Row],[Столбец5]:[Столбец36]])</f>
        <v>40</v>
      </c>
      <c r="AS269" s="47">
        <f>calcShift3(Таблица1[[#This Row],[Столбец5]:[Столбец36]])</f>
        <v>0</v>
      </c>
      <c r="AT269" s="47"/>
      <c r="AU269" s="47">
        <f>calcYavka(Таблица1[[#This Row],[Столбец5]:[Столбец36]])</f>
        <v>10</v>
      </c>
      <c r="AV269" s="52"/>
      <c r="AW269" s="70">
        <f>VLOOKUP(B:B,ДОП_ВСІ!B:AS,44,0)</f>
        <v>0</v>
      </c>
      <c r="AX269" s="47">
        <f>VLOOKUP(B:B,ДОП_ВСІ!B:AQ,42,0)</f>
        <v>0</v>
      </c>
      <c r="AY269" s="47">
        <f>Таблица1[[#This Row],[Столбец47]]*30</f>
        <v>300</v>
      </c>
      <c r="AZ269" s="47">
        <f>((((Таблица1[[#This Row],[Столбец42]]/160)*Таблица1[[#This Row],[Столбец44]])*0.25)*0.35)+((((Таблица1[[#This Row],[Столбец42]]/160)*Таблица1[[#This Row],[Столбец44]])*0.5)*0.2)</f>
        <v>210.9375</v>
      </c>
      <c r="BA269" s="47"/>
      <c r="BB269" s="47">
        <f>calcTS(Таблица1[[#This Row],[Столбец5]:[Столбец36]])</f>
        <v>0</v>
      </c>
    </row>
    <row r="270" spans="1:54" ht="42" x14ac:dyDescent="0.35">
      <c r="A270" s="46" t="s">
        <v>582</v>
      </c>
      <c r="B270" s="47" t="s">
        <v>583</v>
      </c>
      <c r="C270" s="48" t="s">
        <v>118</v>
      </c>
      <c r="D270" s="48" t="s">
        <v>2564</v>
      </c>
      <c r="E270" s="49" t="s">
        <v>2542</v>
      </c>
      <c r="F270" s="48" t="s">
        <v>2542</v>
      </c>
      <c r="G270" s="48" t="s">
        <v>2542</v>
      </c>
      <c r="H270" s="48" t="s">
        <v>2486</v>
      </c>
      <c r="I270" s="48" t="s">
        <v>2486</v>
      </c>
      <c r="J270" s="48" t="s">
        <v>2543</v>
      </c>
      <c r="K270" s="49" t="s">
        <v>2543</v>
      </c>
      <c r="L270" s="48" t="s">
        <v>2543</v>
      </c>
      <c r="M270" s="48" t="s">
        <v>2543</v>
      </c>
      <c r="N270" s="49" t="s">
        <v>2486</v>
      </c>
      <c r="O270" s="49" t="s">
        <v>2486</v>
      </c>
      <c r="P270" s="49" t="s">
        <v>2542</v>
      </c>
      <c r="Q270" s="49" t="s">
        <v>2542</v>
      </c>
      <c r="R270" s="48" t="s">
        <v>2542</v>
      </c>
      <c r="S270" s="48" t="s">
        <v>135</v>
      </c>
      <c r="T270" s="48" t="s">
        <v>2486</v>
      </c>
      <c r="U270" s="48" t="s">
        <v>2486</v>
      </c>
      <c r="V270" s="48" t="s">
        <v>2543</v>
      </c>
      <c r="W270" s="48" t="s">
        <v>2543</v>
      </c>
      <c r="X270" s="48" t="s">
        <v>2543</v>
      </c>
      <c r="Y270" s="48" t="s">
        <v>2543</v>
      </c>
      <c r="Z270" s="48" t="s">
        <v>2486</v>
      </c>
      <c r="AA270" s="48" t="s">
        <v>2486</v>
      </c>
      <c r="AB270" s="48" t="s">
        <v>135</v>
      </c>
      <c r="AC270" s="48" t="s">
        <v>135</v>
      </c>
      <c r="AD270" s="48" t="s">
        <v>135</v>
      </c>
      <c r="AE270" s="48" t="s">
        <v>135</v>
      </c>
      <c r="AF270" s="48" t="s">
        <v>2486</v>
      </c>
      <c r="AG270" s="48" t="s">
        <v>2486</v>
      </c>
      <c r="AH270" s="48" t="s">
        <v>2543</v>
      </c>
      <c r="AI270" s="48" t="s">
        <v>2580</v>
      </c>
      <c r="AJ270" s="50" t="s">
        <v>2580</v>
      </c>
      <c r="AK270" s="51" t="s">
        <v>54</v>
      </c>
      <c r="AL270" s="47" t="s">
        <v>55</v>
      </c>
      <c r="AM270" s="47"/>
      <c r="AN270" s="47"/>
      <c r="AO270" s="47"/>
      <c r="AP270" s="47">
        <f>VLOOKUP(B:B,Table3[#All],4,0)</f>
        <v>4500</v>
      </c>
      <c r="AQ270" s="47">
        <f>calcShift1(Таблица1[[#This Row],[Столбец5]:[Столбец36]])</f>
        <v>72</v>
      </c>
      <c r="AR270" s="47">
        <f>calcShift2(Таблица1[[#This Row],[Столбец5]:[Столбец36]])</f>
        <v>88</v>
      </c>
      <c r="AS270" s="47">
        <f>calcShift3(Таблица1[[#This Row],[Столбец5]:[Столбец36]])</f>
        <v>0</v>
      </c>
      <c r="AT270" s="47"/>
      <c r="AU270" s="47">
        <f>calcYavka(Таблица1[[#This Row],[Столбец5]:[Столбец36]])</f>
        <v>20</v>
      </c>
      <c r="AV270" s="52"/>
      <c r="AW270" s="70">
        <f>VLOOKUP(B:B,ДОП_ВСІ!B:AS,44,0)</f>
        <v>225</v>
      </c>
      <c r="AX270" s="47">
        <f>VLOOKUP(B:B,ДОП_ВСІ!B:AQ,42,0)</f>
        <v>0</v>
      </c>
      <c r="AY270" s="47">
        <f>Таблица1[[#This Row],[Столбец47]]*30</f>
        <v>600</v>
      </c>
      <c r="AZ270" s="47">
        <f>((((Таблица1[[#This Row],[Столбец42]]/160)*Таблица1[[#This Row],[Столбец44]])*0.25)*0.35)+((((Таблица1[[#This Row],[Столбец42]]/160)*Таблица1[[#This Row],[Столбец44]])*0.5)*0.2)</f>
        <v>464.0625</v>
      </c>
      <c r="BA270" s="47"/>
      <c r="BB270" s="47">
        <f>calcTS(Таблица1[[#This Row],[Столбец5]:[Столбец36]])</f>
        <v>0</v>
      </c>
    </row>
    <row r="271" spans="1:54" ht="42" x14ac:dyDescent="0.35">
      <c r="A271" s="46" t="s">
        <v>584</v>
      </c>
      <c r="B271" s="47" t="s">
        <v>585</v>
      </c>
      <c r="C271" s="48" t="s">
        <v>2648</v>
      </c>
      <c r="D271" s="48" t="s">
        <v>2564</v>
      </c>
      <c r="E271" s="49" t="s">
        <v>2542</v>
      </c>
      <c r="F271" s="48" t="s">
        <v>2542</v>
      </c>
      <c r="G271" s="48" t="s">
        <v>2531</v>
      </c>
      <c r="H271" s="48" t="s">
        <v>2486</v>
      </c>
      <c r="I271" s="48" t="s">
        <v>2486</v>
      </c>
      <c r="J271" s="48" t="s">
        <v>141</v>
      </c>
      <c r="K271" s="49" t="s">
        <v>141</v>
      </c>
      <c r="L271" s="48" t="s">
        <v>141</v>
      </c>
      <c r="M271" s="48" t="s">
        <v>141</v>
      </c>
      <c r="N271" s="49" t="s">
        <v>2486</v>
      </c>
      <c r="O271" s="49" t="s">
        <v>2486</v>
      </c>
      <c r="P271" s="49" t="s">
        <v>2542</v>
      </c>
      <c r="Q271" s="49" t="s">
        <v>2542</v>
      </c>
      <c r="R271" s="48" t="s">
        <v>2542</v>
      </c>
      <c r="S271" s="48" t="s">
        <v>135</v>
      </c>
      <c r="T271" s="48" t="s">
        <v>2486</v>
      </c>
      <c r="U271" s="48" t="s">
        <v>2486</v>
      </c>
      <c r="V271" s="48" t="s">
        <v>2543</v>
      </c>
      <c r="W271" s="48" t="s">
        <v>2543</v>
      </c>
      <c r="X271" s="48" t="s">
        <v>2543</v>
      </c>
      <c r="Y271" s="48" t="s">
        <v>2543</v>
      </c>
      <c r="Z271" s="48" t="s">
        <v>2486</v>
      </c>
      <c r="AA271" s="48" t="s">
        <v>2486</v>
      </c>
      <c r="AB271" s="48" t="s">
        <v>135</v>
      </c>
      <c r="AC271" s="48" t="s">
        <v>135</v>
      </c>
      <c r="AD271" s="48" t="s">
        <v>135</v>
      </c>
      <c r="AE271" s="48" t="s">
        <v>135</v>
      </c>
      <c r="AF271" s="48" t="s">
        <v>2486</v>
      </c>
      <c r="AG271" s="48" t="s">
        <v>2486</v>
      </c>
      <c r="AH271" s="48" t="s">
        <v>2543</v>
      </c>
      <c r="AI271" s="48" t="s">
        <v>2597</v>
      </c>
      <c r="AJ271" s="50" t="s">
        <v>2580</v>
      </c>
      <c r="AK271" s="51" t="s">
        <v>72</v>
      </c>
      <c r="AL271" s="47" t="s">
        <v>71</v>
      </c>
      <c r="AM271" s="47"/>
      <c r="AN271" s="47"/>
      <c r="AO271" s="47"/>
      <c r="AP271" s="47">
        <f>VLOOKUP(B:B,Table3[#All],4,0)</f>
        <v>4500</v>
      </c>
      <c r="AQ271" s="47">
        <f>calcShift1(Таблица1[[#This Row],[Столбец5]:[Столбец36]])</f>
        <v>72</v>
      </c>
      <c r="AR271" s="47">
        <f>calcShift2(Таблица1[[#This Row],[Столбец5]:[Столбец36]])</f>
        <v>80</v>
      </c>
      <c r="AS271" s="47">
        <f>calcShift3(Таблица1[[#This Row],[Столбец5]:[Столбец36]])</f>
        <v>0</v>
      </c>
      <c r="AT271" s="47"/>
      <c r="AU271" s="47">
        <f>calcYavka(Таблица1[[#This Row],[Столбец5]:[Столбец36]])</f>
        <v>19</v>
      </c>
      <c r="AV271" s="52"/>
      <c r="AW271" s="70">
        <f>VLOOKUP(B:B,ДОП_ВСІ!B:AS,44,0)</f>
        <v>450</v>
      </c>
      <c r="AX271" s="47">
        <f>VLOOKUP(B:B,ДОП_ВСІ!B:AQ,42,0)</f>
        <v>0</v>
      </c>
      <c r="AY271" s="47">
        <f>Таблица1[[#This Row],[Столбец47]]*30</f>
        <v>570</v>
      </c>
      <c r="AZ271" s="47">
        <f>((((Таблица1[[#This Row],[Столбец42]]/160)*Таблица1[[#This Row],[Столбец44]])*0.25)*0.35)+((((Таблица1[[#This Row],[Столбец42]]/160)*Таблица1[[#This Row],[Столбец44]])*0.5)*0.2)</f>
        <v>421.875</v>
      </c>
      <c r="BA271" s="47"/>
      <c r="BB271" s="47">
        <f>calcTS(Таблица1[[#This Row],[Столбец5]:[Столбец36]])</f>
        <v>0</v>
      </c>
    </row>
    <row r="272" spans="1:54" ht="42" x14ac:dyDescent="0.35">
      <c r="A272" s="46" t="s">
        <v>586</v>
      </c>
      <c r="B272" s="47" t="s">
        <v>587</v>
      </c>
      <c r="C272" s="48" t="s">
        <v>118</v>
      </c>
      <c r="D272" s="48" t="s">
        <v>2564</v>
      </c>
      <c r="E272" s="49" t="s">
        <v>135</v>
      </c>
      <c r="F272" s="48" t="s">
        <v>135</v>
      </c>
      <c r="G272" s="48" t="s">
        <v>135</v>
      </c>
      <c r="H272" s="48" t="s">
        <v>2486</v>
      </c>
      <c r="I272" s="48" t="s">
        <v>2486</v>
      </c>
      <c r="J272" s="48" t="s">
        <v>141</v>
      </c>
      <c r="K272" s="49" t="s">
        <v>141</v>
      </c>
      <c r="L272" s="48" t="s">
        <v>141</v>
      </c>
      <c r="M272" s="48" t="s">
        <v>141</v>
      </c>
      <c r="N272" s="49" t="s">
        <v>2486</v>
      </c>
      <c r="O272" s="49" t="s">
        <v>2486</v>
      </c>
      <c r="P272" s="49" t="s">
        <v>2542</v>
      </c>
      <c r="Q272" s="49" t="s">
        <v>2542</v>
      </c>
      <c r="R272" s="48" t="s">
        <v>2542</v>
      </c>
      <c r="S272" s="48" t="s">
        <v>135</v>
      </c>
      <c r="T272" s="48" t="s">
        <v>2486</v>
      </c>
      <c r="U272" s="48" t="s">
        <v>2486</v>
      </c>
      <c r="V272" s="48" t="s">
        <v>2543</v>
      </c>
      <c r="W272" s="48" t="s">
        <v>2543</v>
      </c>
      <c r="X272" s="48" t="s">
        <v>2543</v>
      </c>
      <c r="Y272" s="48" t="s">
        <v>2543</v>
      </c>
      <c r="Z272" s="48" t="s">
        <v>2486</v>
      </c>
      <c r="AA272" s="48" t="s">
        <v>2486</v>
      </c>
      <c r="AB272" s="48" t="s">
        <v>135</v>
      </c>
      <c r="AC272" s="48" t="s">
        <v>135</v>
      </c>
      <c r="AD272" s="48" t="s">
        <v>135</v>
      </c>
      <c r="AE272" s="48" t="s">
        <v>135</v>
      </c>
      <c r="AF272" s="48" t="s">
        <v>2486</v>
      </c>
      <c r="AG272" s="48" t="s">
        <v>2486</v>
      </c>
      <c r="AH272" s="48" t="s">
        <v>2543</v>
      </c>
      <c r="AI272" s="48" t="s">
        <v>2580</v>
      </c>
      <c r="AJ272" s="50" t="s">
        <v>2580</v>
      </c>
      <c r="AK272" s="51" t="s">
        <v>54</v>
      </c>
      <c r="AL272" s="47" t="s">
        <v>55</v>
      </c>
      <c r="AM272" s="47"/>
      <c r="AN272" s="47"/>
      <c r="AO272" s="47"/>
      <c r="AP272" s="47">
        <f>VLOOKUP(B:B,Table3[#All],4,0)</f>
        <v>4500</v>
      </c>
      <c r="AQ272" s="47">
        <f>calcShift1(Таблица1[[#This Row],[Столбец5]:[Столбец36]])</f>
        <v>72</v>
      </c>
      <c r="AR272" s="47">
        <f>calcShift2(Таблица1[[#This Row],[Столбец5]:[Столбец36]])</f>
        <v>88</v>
      </c>
      <c r="AS272" s="47">
        <f>calcShift3(Таблица1[[#This Row],[Столбец5]:[Столбец36]])</f>
        <v>0</v>
      </c>
      <c r="AT272" s="47"/>
      <c r="AU272" s="47">
        <f>calcYavka(Таблица1[[#This Row],[Столбец5]:[Столбец36]])</f>
        <v>20</v>
      </c>
      <c r="AV272" s="52"/>
      <c r="AW272" s="70">
        <f>VLOOKUP(B:B,ДОП_ВСІ!B:AS,44,0)</f>
        <v>0</v>
      </c>
      <c r="AX272" s="47">
        <f>VLOOKUP(B:B,ДОП_ВСІ!B:AQ,42,0)</f>
        <v>0</v>
      </c>
      <c r="AY272" s="47">
        <f>Таблица1[[#This Row],[Столбец47]]*30</f>
        <v>600</v>
      </c>
      <c r="AZ272" s="47">
        <f>((((Таблица1[[#This Row],[Столбец42]]/160)*Таблица1[[#This Row],[Столбец44]])*0.25)*0.35)+((((Таблица1[[#This Row],[Столбец42]]/160)*Таблица1[[#This Row],[Столбец44]])*0.5)*0.2)</f>
        <v>464.0625</v>
      </c>
      <c r="BA272" s="47"/>
      <c r="BB272" s="47">
        <f>calcTS(Таблица1[[#This Row],[Столбец5]:[Столбец36]])</f>
        <v>0</v>
      </c>
    </row>
    <row r="273" spans="1:54" ht="42" x14ac:dyDescent="0.35">
      <c r="A273" s="46" t="s">
        <v>588</v>
      </c>
      <c r="B273" s="47" t="s">
        <v>589</v>
      </c>
      <c r="C273" s="48" t="s">
        <v>2650</v>
      </c>
      <c r="D273" s="48" t="s">
        <v>2564</v>
      </c>
      <c r="E273" s="49" t="s">
        <v>2542</v>
      </c>
      <c r="F273" s="48" t="s">
        <v>2486</v>
      </c>
      <c r="G273" s="48" t="s">
        <v>2486</v>
      </c>
      <c r="H273" s="48" t="s">
        <v>2543</v>
      </c>
      <c r="I273" s="48" t="s">
        <v>2543</v>
      </c>
      <c r="J273" s="48" t="s">
        <v>141</v>
      </c>
      <c r="K273" s="49" t="s">
        <v>141</v>
      </c>
      <c r="L273" s="48" t="s">
        <v>141</v>
      </c>
      <c r="M273" s="48" t="s">
        <v>141</v>
      </c>
      <c r="N273" s="49" t="s">
        <v>2486</v>
      </c>
      <c r="O273" s="49" t="s">
        <v>2486</v>
      </c>
      <c r="P273" s="49" t="s">
        <v>2542</v>
      </c>
      <c r="Q273" s="49" t="s">
        <v>2542</v>
      </c>
      <c r="R273" s="48" t="s">
        <v>2542</v>
      </c>
      <c r="S273" s="48" t="s">
        <v>135</v>
      </c>
      <c r="T273" s="48" t="s">
        <v>2486</v>
      </c>
      <c r="U273" s="48" t="s">
        <v>2486</v>
      </c>
      <c r="V273" s="48" t="s">
        <v>2543</v>
      </c>
      <c r="W273" s="48" t="s">
        <v>2543</v>
      </c>
      <c r="X273" s="48" t="s">
        <v>2543</v>
      </c>
      <c r="Y273" s="48" t="s">
        <v>2543</v>
      </c>
      <c r="Z273" s="48" t="s">
        <v>2486</v>
      </c>
      <c r="AA273" s="48" t="s">
        <v>2486</v>
      </c>
      <c r="AB273" s="48" t="s">
        <v>135</v>
      </c>
      <c r="AC273" s="48" t="s">
        <v>135</v>
      </c>
      <c r="AD273" s="48" t="s">
        <v>135</v>
      </c>
      <c r="AE273" s="48" t="s">
        <v>135</v>
      </c>
      <c r="AF273" s="48" t="s">
        <v>2486</v>
      </c>
      <c r="AG273" s="48" t="s">
        <v>2486</v>
      </c>
      <c r="AH273" s="48" t="s">
        <v>2543</v>
      </c>
      <c r="AI273" s="48" t="s">
        <v>2580</v>
      </c>
      <c r="AJ273" s="50" t="s">
        <v>2580</v>
      </c>
      <c r="AK273" s="51" t="s">
        <v>54</v>
      </c>
      <c r="AL273" s="47" t="s">
        <v>55</v>
      </c>
      <c r="AM273" s="47"/>
      <c r="AN273" s="47"/>
      <c r="AO273" s="47"/>
      <c r="AP273" s="47">
        <f>VLOOKUP(B:B,Table3[#All],4,0)</f>
        <v>4500</v>
      </c>
      <c r="AQ273" s="47">
        <f>calcShift1(Таблица1[[#This Row],[Столбец5]:[Столбец36]])</f>
        <v>88</v>
      </c>
      <c r="AR273" s="47">
        <f>calcShift2(Таблица1[[#This Row],[Столбец5]:[Столбец36]])</f>
        <v>72</v>
      </c>
      <c r="AS273" s="47">
        <f>calcShift3(Таблица1[[#This Row],[Столбец5]:[Столбец36]])</f>
        <v>0</v>
      </c>
      <c r="AT273" s="47"/>
      <c r="AU273" s="47">
        <f>calcYavka(Таблица1[[#This Row],[Столбец5]:[Столбец36]])</f>
        <v>20</v>
      </c>
      <c r="AV273" s="52"/>
      <c r="AW273" s="70">
        <f>VLOOKUP(B:B,ДОП_ВСІ!B:AS,44,0)</f>
        <v>0</v>
      </c>
      <c r="AX273" s="47">
        <f>VLOOKUP(B:B,ДОП_ВСІ!B:AQ,42,0)</f>
        <v>0</v>
      </c>
      <c r="AY273" s="47">
        <f>Таблица1[[#This Row],[Столбец47]]*30</f>
        <v>600</v>
      </c>
      <c r="AZ273" s="47">
        <f>((((Таблица1[[#This Row],[Столбец42]]/160)*Таблица1[[#This Row],[Столбец44]])*0.25)*0.35)+((((Таблица1[[#This Row],[Столбец42]]/160)*Таблица1[[#This Row],[Столбец44]])*0.5)*0.2)</f>
        <v>379.6875</v>
      </c>
      <c r="BA273" s="47"/>
      <c r="BB273" s="47">
        <f>calcTS(Таблица1[[#This Row],[Столбец5]:[Столбец36]])</f>
        <v>0</v>
      </c>
    </row>
    <row r="274" spans="1:54" ht="42" x14ac:dyDescent="0.35">
      <c r="A274" s="46" t="s">
        <v>592</v>
      </c>
      <c r="B274" s="47" t="s">
        <v>593</v>
      </c>
      <c r="C274" s="48" t="s">
        <v>118</v>
      </c>
      <c r="D274" s="48" t="s">
        <v>2564</v>
      </c>
      <c r="E274" s="49" t="s">
        <v>2542</v>
      </c>
      <c r="F274" s="48" t="s">
        <v>2542</v>
      </c>
      <c r="G274" s="48" t="s">
        <v>2542</v>
      </c>
      <c r="H274" s="48" t="s">
        <v>2486</v>
      </c>
      <c r="I274" s="48" t="s">
        <v>2486</v>
      </c>
      <c r="J274" s="48" t="s">
        <v>2531</v>
      </c>
      <c r="K274" s="49" t="s">
        <v>141</v>
      </c>
      <c r="L274" s="48" t="s">
        <v>141</v>
      </c>
      <c r="M274" s="48" t="s">
        <v>141</v>
      </c>
      <c r="N274" s="49" t="s">
        <v>2486</v>
      </c>
      <c r="O274" s="49" t="s">
        <v>2486</v>
      </c>
      <c r="P274" s="49" t="s">
        <v>2542</v>
      </c>
      <c r="Q274" s="49" t="s">
        <v>2542</v>
      </c>
      <c r="R274" s="48" t="s">
        <v>2542</v>
      </c>
      <c r="S274" s="48" t="s">
        <v>135</v>
      </c>
      <c r="T274" s="48" t="s">
        <v>2486</v>
      </c>
      <c r="U274" s="48" t="s">
        <v>2486</v>
      </c>
      <c r="V274" s="48" t="s">
        <v>2543</v>
      </c>
      <c r="W274" s="48" t="s">
        <v>2543</v>
      </c>
      <c r="X274" s="48" t="s">
        <v>2543</v>
      </c>
      <c r="Y274" s="48" t="s">
        <v>2543</v>
      </c>
      <c r="Z274" s="48" t="s">
        <v>2486</v>
      </c>
      <c r="AA274" s="48" t="s">
        <v>2486</v>
      </c>
      <c r="AB274" s="48" t="s">
        <v>135</v>
      </c>
      <c r="AC274" s="48" t="s">
        <v>135</v>
      </c>
      <c r="AD274" s="48" t="s">
        <v>135</v>
      </c>
      <c r="AE274" s="48" t="s">
        <v>135</v>
      </c>
      <c r="AF274" s="48" t="s">
        <v>2486</v>
      </c>
      <c r="AG274" s="48" t="s">
        <v>2486</v>
      </c>
      <c r="AH274" s="48" t="s">
        <v>2543</v>
      </c>
      <c r="AI274" s="48" t="s">
        <v>2597</v>
      </c>
      <c r="AJ274" s="50" t="s">
        <v>2580</v>
      </c>
      <c r="AK274" s="51" t="s">
        <v>72</v>
      </c>
      <c r="AL274" s="47" t="s">
        <v>71</v>
      </c>
      <c r="AM274" s="47"/>
      <c r="AN274" s="47"/>
      <c r="AO274" s="47"/>
      <c r="AP274" s="47">
        <f>VLOOKUP(B:B,Table3[#All],4,0)</f>
        <v>4500</v>
      </c>
      <c r="AQ274" s="47">
        <f>calcShift1(Таблица1[[#This Row],[Столбец5]:[Столбец36]])</f>
        <v>64</v>
      </c>
      <c r="AR274" s="47">
        <f>calcShift2(Таблица1[[#This Row],[Столбец5]:[Столбец36]])</f>
        <v>88</v>
      </c>
      <c r="AS274" s="47">
        <f>calcShift3(Таблица1[[#This Row],[Столбец5]:[Столбец36]])</f>
        <v>0</v>
      </c>
      <c r="AT274" s="47"/>
      <c r="AU274" s="47">
        <f>calcYavka(Таблица1[[#This Row],[Столбец5]:[Столбец36]])</f>
        <v>19</v>
      </c>
      <c r="AV274" s="52"/>
      <c r="AW274" s="70">
        <f>VLOOKUP(B:B,ДОП_ВСІ!B:AS,44,0)</f>
        <v>0</v>
      </c>
      <c r="AX274" s="47">
        <f>VLOOKUP(B:B,ДОП_ВСІ!B:AQ,42,0)</f>
        <v>0</v>
      </c>
      <c r="AY274" s="47">
        <f>Таблица1[[#This Row],[Столбец47]]*30</f>
        <v>570</v>
      </c>
      <c r="AZ274" s="47">
        <f>((((Таблица1[[#This Row],[Столбец42]]/160)*Таблица1[[#This Row],[Столбец44]])*0.25)*0.35)+((((Таблица1[[#This Row],[Столбец42]]/160)*Таблица1[[#This Row],[Столбец44]])*0.5)*0.2)</f>
        <v>464.0625</v>
      </c>
      <c r="BA274" s="47"/>
      <c r="BB274" s="47">
        <f>calcTS(Таблица1[[#This Row],[Столбец5]:[Столбец36]])</f>
        <v>0</v>
      </c>
    </row>
    <row r="275" spans="1:54" ht="42" x14ac:dyDescent="0.35">
      <c r="A275" s="46" t="s">
        <v>594</v>
      </c>
      <c r="B275" s="47" t="s">
        <v>595</v>
      </c>
      <c r="C275" s="48" t="s">
        <v>118</v>
      </c>
      <c r="D275" s="48" t="s">
        <v>2564</v>
      </c>
      <c r="E275" s="49" t="s">
        <v>2501</v>
      </c>
      <c r="F275" s="48" t="s">
        <v>2501</v>
      </c>
      <c r="G275" s="48" t="s">
        <v>2542</v>
      </c>
      <c r="H275" s="48" t="s">
        <v>2486</v>
      </c>
      <c r="I275" s="48" t="s">
        <v>2486</v>
      </c>
      <c r="J275" s="48" t="s">
        <v>2543</v>
      </c>
      <c r="K275" s="49" t="s">
        <v>2543</v>
      </c>
      <c r="L275" s="48" t="s">
        <v>2543</v>
      </c>
      <c r="M275" s="48" t="s">
        <v>2543</v>
      </c>
      <c r="N275" s="49" t="s">
        <v>2486</v>
      </c>
      <c r="O275" s="49" t="s">
        <v>2486</v>
      </c>
      <c r="P275" s="49" t="s">
        <v>2542</v>
      </c>
      <c r="Q275" s="49" t="s">
        <v>2542</v>
      </c>
      <c r="R275" s="48" t="s">
        <v>2542</v>
      </c>
      <c r="S275" s="48" t="s">
        <v>135</v>
      </c>
      <c r="T275" s="48" t="s">
        <v>2486</v>
      </c>
      <c r="U275" s="48" t="s">
        <v>2486</v>
      </c>
      <c r="V275" s="48" t="s">
        <v>2543</v>
      </c>
      <c r="W275" s="48" t="s">
        <v>2543</v>
      </c>
      <c r="X275" s="48" t="s">
        <v>2543</v>
      </c>
      <c r="Y275" s="48" t="s">
        <v>2543</v>
      </c>
      <c r="Z275" s="48" t="s">
        <v>2486</v>
      </c>
      <c r="AA275" s="48" t="s">
        <v>2486</v>
      </c>
      <c r="AB275" s="48" t="s">
        <v>135</v>
      </c>
      <c r="AC275" s="48" t="s">
        <v>135</v>
      </c>
      <c r="AD275" s="48" t="s">
        <v>135</v>
      </c>
      <c r="AE275" s="48" t="s">
        <v>135</v>
      </c>
      <c r="AF275" s="48" t="s">
        <v>2486</v>
      </c>
      <c r="AG275" s="48" t="s">
        <v>2486</v>
      </c>
      <c r="AH275" s="48" t="s">
        <v>2543</v>
      </c>
      <c r="AI275" s="48" t="s">
        <v>2601</v>
      </c>
      <c r="AJ275" s="50" t="s">
        <v>2580</v>
      </c>
      <c r="AK275" s="51" t="s">
        <v>70</v>
      </c>
      <c r="AL275" s="47" t="s">
        <v>73</v>
      </c>
      <c r="AM275" s="47"/>
      <c r="AN275" s="47"/>
      <c r="AO275" s="47"/>
      <c r="AP275" s="47">
        <f>VLOOKUP(B:B,Table3[#All],4,0)</f>
        <v>4500</v>
      </c>
      <c r="AQ275" s="47">
        <f>calcShift1(Таблица1[[#This Row],[Столбец5]:[Столбец36]])</f>
        <v>72</v>
      </c>
      <c r="AR275" s="47">
        <f>calcShift2(Таблица1[[#This Row],[Столбец5]:[Столбец36]])</f>
        <v>72</v>
      </c>
      <c r="AS275" s="47">
        <f>calcShift3(Таблица1[[#This Row],[Столбец5]:[Столбец36]])</f>
        <v>0</v>
      </c>
      <c r="AT275" s="47"/>
      <c r="AU275" s="47">
        <f>calcYavka(Таблица1[[#This Row],[Столбец5]:[Столбец36]])</f>
        <v>18</v>
      </c>
      <c r="AV275" s="52"/>
      <c r="AW275" s="70">
        <f>VLOOKUP(B:B,ДОП_ВСІ!B:AS,44,0)</f>
        <v>0</v>
      </c>
      <c r="AX275" s="47">
        <f>VLOOKUP(B:B,ДОП_ВСІ!B:AQ,42,0)</f>
        <v>0</v>
      </c>
      <c r="AY275" s="47">
        <f>Таблица1[[#This Row],[Столбец47]]*30</f>
        <v>540</v>
      </c>
      <c r="AZ275" s="47">
        <f>((((Таблица1[[#This Row],[Столбец42]]/160)*Таблица1[[#This Row],[Столбец44]])*0.25)*0.35)+((((Таблица1[[#This Row],[Столбец42]]/160)*Таблица1[[#This Row],[Столбец44]])*0.5)*0.2)</f>
        <v>379.6875</v>
      </c>
      <c r="BA275" s="47"/>
      <c r="BB275" s="47">
        <f>calcTS(Таблица1[[#This Row],[Столбец5]:[Столбец36]])</f>
        <v>0</v>
      </c>
    </row>
    <row r="276" spans="1:54" ht="42" x14ac:dyDescent="0.35">
      <c r="A276" s="46" t="s">
        <v>596</v>
      </c>
      <c r="B276" s="47" t="s">
        <v>597</v>
      </c>
      <c r="C276" s="48" t="s">
        <v>118</v>
      </c>
      <c r="D276" s="48" t="s">
        <v>2564</v>
      </c>
      <c r="E276" s="49" t="s">
        <v>2542</v>
      </c>
      <c r="F276" s="48" t="s">
        <v>2542</v>
      </c>
      <c r="G276" s="48" t="s">
        <v>2542</v>
      </c>
      <c r="H276" s="48" t="s">
        <v>2486</v>
      </c>
      <c r="I276" s="48" t="s">
        <v>2486</v>
      </c>
      <c r="J276" s="48" t="s">
        <v>2543</v>
      </c>
      <c r="K276" s="49" t="s">
        <v>2543</v>
      </c>
      <c r="L276" s="48" t="s">
        <v>2543</v>
      </c>
      <c r="M276" s="48" t="s">
        <v>2543</v>
      </c>
      <c r="N276" s="49" t="s">
        <v>2486</v>
      </c>
      <c r="O276" s="49" t="s">
        <v>2486</v>
      </c>
      <c r="P276" s="49" t="s">
        <v>141</v>
      </c>
      <c r="Q276" s="49" t="s">
        <v>141</v>
      </c>
      <c r="R276" s="48" t="s">
        <v>135</v>
      </c>
      <c r="S276" s="48" t="s">
        <v>135</v>
      </c>
      <c r="T276" s="48" t="s">
        <v>2486</v>
      </c>
      <c r="U276" s="48" t="s">
        <v>2486</v>
      </c>
      <c r="V276" s="48" t="s">
        <v>2543</v>
      </c>
      <c r="W276" s="48" t="s">
        <v>2543</v>
      </c>
      <c r="X276" s="48" t="s">
        <v>2543</v>
      </c>
      <c r="Y276" s="48" t="s">
        <v>2543</v>
      </c>
      <c r="Z276" s="48" t="s">
        <v>2486</v>
      </c>
      <c r="AA276" s="48" t="s">
        <v>2486</v>
      </c>
      <c r="AB276" s="48" t="s">
        <v>135</v>
      </c>
      <c r="AC276" s="48" t="s">
        <v>135</v>
      </c>
      <c r="AD276" s="48" t="s">
        <v>135</v>
      </c>
      <c r="AE276" s="48" t="s">
        <v>135</v>
      </c>
      <c r="AF276" s="48" t="s">
        <v>2486</v>
      </c>
      <c r="AG276" s="48" t="s">
        <v>2486</v>
      </c>
      <c r="AH276" s="48" t="s">
        <v>2543</v>
      </c>
      <c r="AI276" s="48" t="s">
        <v>2580</v>
      </c>
      <c r="AJ276" s="50" t="s">
        <v>2580</v>
      </c>
      <c r="AK276" s="51" t="s">
        <v>54</v>
      </c>
      <c r="AL276" s="47" t="s">
        <v>55</v>
      </c>
      <c r="AM276" s="47"/>
      <c r="AN276" s="47"/>
      <c r="AO276" s="47"/>
      <c r="AP276" s="47">
        <f>VLOOKUP(B:B,Table3[#All],4,0)</f>
        <v>4500</v>
      </c>
      <c r="AQ276" s="47">
        <f>calcShift1(Таблица1[[#This Row],[Столбец5]:[Столбец36]])</f>
        <v>88</v>
      </c>
      <c r="AR276" s="47">
        <f>calcShift2(Таблица1[[#This Row],[Столбец5]:[Столбец36]])</f>
        <v>72</v>
      </c>
      <c r="AS276" s="47">
        <f>calcShift3(Таблица1[[#This Row],[Столбец5]:[Столбец36]])</f>
        <v>0</v>
      </c>
      <c r="AT276" s="47"/>
      <c r="AU276" s="47">
        <f>calcYavka(Таблица1[[#This Row],[Столбец5]:[Столбец36]])</f>
        <v>20</v>
      </c>
      <c r="AV276" s="52"/>
      <c r="AW276" s="62">
        <f>VLOOKUP(B:B,ДОП_ВСІ!B:AS,44,0)</f>
        <v>1181.25</v>
      </c>
      <c r="AX276" s="47">
        <f>VLOOKUP(B:B,ДОП_ВСІ!B:AQ,42,0)</f>
        <v>0</v>
      </c>
      <c r="AY276" s="47">
        <f>Таблица1[[#This Row],[Столбец47]]*30</f>
        <v>600</v>
      </c>
      <c r="AZ276" s="47">
        <f>((((Таблица1[[#This Row],[Столбец42]]/160)*Таблица1[[#This Row],[Столбец44]])*0.25)*0.35)+((((Таблица1[[#This Row],[Столбец42]]/160)*Таблица1[[#This Row],[Столбец44]])*0.5)*0.2)</f>
        <v>379.6875</v>
      </c>
      <c r="BA276" s="47"/>
      <c r="BB276" s="47">
        <f>calcTS(Таблица1[[#This Row],[Столбец5]:[Столбец36]])</f>
        <v>0</v>
      </c>
    </row>
    <row r="277" spans="1:54" x14ac:dyDescent="0.35">
      <c r="B277"/>
    </row>
    <row r="278" spans="1:54" x14ac:dyDescent="0.35">
      <c r="B278"/>
    </row>
    <row r="279" spans="1:54" x14ac:dyDescent="0.35">
      <c r="B279"/>
    </row>
    <row r="280" spans="1:54" x14ac:dyDescent="0.35">
      <c r="B280"/>
    </row>
    <row r="281" spans="1:54" x14ac:dyDescent="0.35">
      <c r="B281"/>
    </row>
    <row r="282" spans="1:54" x14ac:dyDescent="0.35">
      <c r="B282"/>
    </row>
    <row r="283" spans="1:54" x14ac:dyDescent="0.35">
      <c r="B283"/>
    </row>
    <row r="284" spans="1:54" x14ac:dyDescent="0.35">
      <c r="B284"/>
    </row>
    <row r="285" spans="1:54" x14ac:dyDescent="0.35">
      <c r="B285"/>
    </row>
    <row r="286" spans="1:54" x14ac:dyDescent="0.35">
      <c r="B286"/>
    </row>
    <row r="287" spans="1:54" x14ac:dyDescent="0.35">
      <c r="B287"/>
    </row>
    <row r="288" spans="1:54" x14ac:dyDescent="0.35">
      <c r="B288"/>
    </row>
    <row r="289" spans="2:2" x14ac:dyDescent="0.35">
      <c r="B289"/>
    </row>
    <row r="290" spans="2:2" x14ac:dyDescent="0.35">
      <c r="B290"/>
    </row>
    <row r="291" spans="2:2" x14ac:dyDescent="0.35">
      <c r="B291"/>
    </row>
    <row r="292" spans="2:2" x14ac:dyDescent="0.35">
      <c r="B292"/>
    </row>
    <row r="293" spans="2:2" x14ac:dyDescent="0.35">
      <c r="B293"/>
    </row>
    <row r="294" spans="2:2" x14ac:dyDescent="0.35">
      <c r="B294"/>
    </row>
    <row r="295" spans="2:2" x14ac:dyDescent="0.35">
      <c r="B295"/>
    </row>
    <row r="296" spans="2:2" x14ac:dyDescent="0.35">
      <c r="B296"/>
    </row>
    <row r="297" spans="2:2" x14ac:dyDescent="0.35">
      <c r="B297"/>
    </row>
    <row r="298" spans="2:2" x14ac:dyDescent="0.35">
      <c r="B298"/>
    </row>
    <row r="299" spans="2:2" x14ac:dyDescent="0.35">
      <c r="B299"/>
    </row>
    <row r="300" spans="2:2" x14ac:dyDescent="0.35">
      <c r="B300"/>
    </row>
    <row r="301" spans="2:2" x14ac:dyDescent="0.35">
      <c r="B301"/>
    </row>
    <row r="302" spans="2:2" x14ac:dyDescent="0.35">
      <c r="B302"/>
    </row>
    <row r="303" spans="2:2" x14ac:dyDescent="0.35">
      <c r="B303"/>
    </row>
    <row r="304" spans="2:2" x14ac:dyDescent="0.35">
      <c r="B304"/>
    </row>
    <row r="305" spans="2:2" x14ac:dyDescent="0.35">
      <c r="B305"/>
    </row>
    <row r="306" spans="2:2" x14ac:dyDescent="0.35">
      <c r="B306"/>
    </row>
    <row r="307" spans="2:2" x14ac:dyDescent="0.35">
      <c r="B307"/>
    </row>
    <row r="308" spans="2:2" x14ac:dyDescent="0.35">
      <c r="B308"/>
    </row>
    <row r="309" spans="2:2" x14ac:dyDescent="0.35">
      <c r="B309"/>
    </row>
    <row r="310" spans="2:2" x14ac:dyDescent="0.35">
      <c r="B310"/>
    </row>
    <row r="311" spans="2:2" x14ac:dyDescent="0.35">
      <c r="B311"/>
    </row>
    <row r="312" spans="2:2" x14ac:dyDescent="0.35">
      <c r="B312"/>
    </row>
    <row r="313" spans="2:2" x14ac:dyDescent="0.35">
      <c r="B313"/>
    </row>
    <row r="314" spans="2:2" x14ac:dyDescent="0.35">
      <c r="B314"/>
    </row>
    <row r="315" spans="2:2" x14ac:dyDescent="0.35">
      <c r="B315"/>
    </row>
    <row r="316" spans="2:2" x14ac:dyDescent="0.35">
      <c r="B316"/>
    </row>
    <row r="317" spans="2:2" x14ac:dyDescent="0.35">
      <c r="B317"/>
    </row>
    <row r="318" spans="2:2" x14ac:dyDescent="0.35">
      <c r="B318"/>
    </row>
    <row r="319" spans="2:2" x14ac:dyDescent="0.35">
      <c r="B319"/>
    </row>
    <row r="320" spans="2:2" x14ac:dyDescent="0.35">
      <c r="B320"/>
    </row>
    <row r="321" spans="2:2" x14ac:dyDescent="0.35">
      <c r="B321"/>
    </row>
    <row r="322" spans="2:2" x14ac:dyDescent="0.35">
      <c r="B322"/>
    </row>
    <row r="323" spans="2:2" x14ac:dyDescent="0.35">
      <c r="B323"/>
    </row>
    <row r="324" spans="2:2" x14ac:dyDescent="0.35">
      <c r="B324"/>
    </row>
    <row r="325" spans="2:2" x14ac:dyDescent="0.35">
      <c r="B325"/>
    </row>
    <row r="326" spans="2:2" x14ac:dyDescent="0.35">
      <c r="B326"/>
    </row>
    <row r="327" spans="2:2" x14ac:dyDescent="0.35">
      <c r="B327"/>
    </row>
    <row r="328" spans="2:2" x14ac:dyDescent="0.35">
      <c r="B328"/>
    </row>
    <row r="329" spans="2:2" x14ac:dyDescent="0.35">
      <c r="B329"/>
    </row>
    <row r="330" spans="2:2" x14ac:dyDescent="0.35">
      <c r="B330"/>
    </row>
    <row r="331" spans="2:2" x14ac:dyDescent="0.35">
      <c r="B331"/>
    </row>
    <row r="332" spans="2:2" x14ac:dyDescent="0.35">
      <c r="B332"/>
    </row>
    <row r="333" spans="2:2" x14ac:dyDescent="0.35">
      <c r="B333"/>
    </row>
    <row r="334" spans="2:2" x14ac:dyDescent="0.35">
      <c r="B334"/>
    </row>
    <row r="335" spans="2:2" x14ac:dyDescent="0.35">
      <c r="B335"/>
    </row>
    <row r="336" spans="2:2" x14ac:dyDescent="0.35">
      <c r="B336"/>
    </row>
    <row r="337" spans="2:2" x14ac:dyDescent="0.35">
      <c r="B337"/>
    </row>
    <row r="338" spans="2:2" x14ac:dyDescent="0.35">
      <c r="B338"/>
    </row>
    <row r="339" spans="2:2" x14ac:dyDescent="0.35">
      <c r="B339"/>
    </row>
    <row r="340" spans="2:2" x14ac:dyDescent="0.35">
      <c r="B340"/>
    </row>
    <row r="341" spans="2:2" x14ac:dyDescent="0.35">
      <c r="B341"/>
    </row>
    <row r="342" spans="2:2" x14ac:dyDescent="0.35">
      <c r="B342"/>
    </row>
    <row r="343" spans="2:2" x14ac:dyDescent="0.35">
      <c r="B343"/>
    </row>
    <row r="344" spans="2:2" x14ac:dyDescent="0.35">
      <c r="B344"/>
    </row>
    <row r="345" spans="2:2" x14ac:dyDescent="0.35">
      <c r="B345"/>
    </row>
    <row r="346" spans="2:2" x14ac:dyDescent="0.35">
      <c r="B346"/>
    </row>
    <row r="347" spans="2:2" x14ac:dyDescent="0.35">
      <c r="B347"/>
    </row>
    <row r="348" spans="2:2" x14ac:dyDescent="0.35">
      <c r="B348"/>
    </row>
    <row r="349" spans="2:2" x14ac:dyDescent="0.35">
      <c r="B349"/>
    </row>
    <row r="350" spans="2:2" x14ac:dyDescent="0.35">
      <c r="B350"/>
    </row>
    <row r="351" spans="2:2" x14ac:dyDescent="0.35">
      <c r="B351"/>
    </row>
    <row r="352" spans="2:2" x14ac:dyDescent="0.35">
      <c r="B352"/>
    </row>
    <row r="353" spans="2:2" x14ac:dyDescent="0.35">
      <c r="B353"/>
    </row>
    <row r="354" spans="2:2" x14ac:dyDescent="0.35">
      <c r="B354"/>
    </row>
    <row r="355" spans="2:2" x14ac:dyDescent="0.35">
      <c r="B355"/>
    </row>
    <row r="356" spans="2:2" x14ac:dyDescent="0.35">
      <c r="B356"/>
    </row>
    <row r="357" spans="2:2" x14ac:dyDescent="0.35">
      <c r="B357"/>
    </row>
    <row r="358" spans="2:2" x14ac:dyDescent="0.35">
      <c r="B358"/>
    </row>
    <row r="359" spans="2:2" x14ac:dyDescent="0.35">
      <c r="B359"/>
    </row>
    <row r="360" spans="2:2" x14ac:dyDescent="0.35">
      <c r="B360"/>
    </row>
    <row r="361" spans="2:2" x14ac:dyDescent="0.35">
      <c r="B361"/>
    </row>
    <row r="362" spans="2:2" x14ac:dyDescent="0.35">
      <c r="B362"/>
    </row>
    <row r="363" spans="2:2" x14ac:dyDescent="0.35">
      <c r="B363"/>
    </row>
    <row r="364" spans="2:2" x14ac:dyDescent="0.35">
      <c r="B364"/>
    </row>
    <row r="365" spans="2:2" x14ac:dyDescent="0.35">
      <c r="B365"/>
    </row>
    <row r="366" spans="2:2" x14ac:dyDescent="0.35">
      <c r="B366"/>
    </row>
    <row r="367" spans="2:2" x14ac:dyDescent="0.35">
      <c r="B367"/>
    </row>
    <row r="368" spans="2:2" x14ac:dyDescent="0.35">
      <c r="B368"/>
    </row>
    <row r="369" spans="2:2" x14ac:dyDescent="0.35">
      <c r="B369"/>
    </row>
    <row r="370" spans="2:2" x14ac:dyDescent="0.35">
      <c r="B370"/>
    </row>
    <row r="371" spans="2:2" x14ac:dyDescent="0.35">
      <c r="B371"/>
    </row>
    <row r="372" spans="2:2" x14ac:dyDescent="0.35">
      <c r="B372"/>
    </row>
    <row r="373" spans="2:2" x14ac:dyDescent="0.35">
      <c r="B373"/>
    </row>
    <row r="374" spans="2:2" x14ac:dyDescent="0.35">
      <c r="B374"/>
    </row>
    <row r="375" spans="2:2" x14ac:dyDescent="0.35">
      <c r="B375"/>
    </row>
    <row r="376" spans="2:2" x14ac:dyDescent="0.35">
      <c r="B376"/>
    </row>
    <row r="377" spans="2:2" x14ac:dyDescent="0.35">
      <c r="B377"/>
    </row>
    <row r="378" spans="2:2" x14ac:dyDescent="0.35">
      <c r="B378"/>
    </row>
    <row r="379" spans="2:2" x14ac:dyDescent="0.35">
      <c r="B379"/>
    </row>
    <row r="380" spans="2:2" x14ac:dyDescent="0.35">
      <c r="B380"/>
    </row>
    <row r="381" spans="2:2" x14ac:dyDescent="0.35">
      <c r="B381"/>
    </row>
    <row r="382" spans="2:2" x14ac:dyDescent="0.35">
      <c r="B382"/>
    </row>
    <row r="383" spans="2:2" x14ac:dyDescent="0.35">
      <c r="B383"/>
    </row>
    <row r="384" spans="2:2" x14ac:dyDescent="0.35">
      <c r="B384"/>
    </row>
    <row r="385" spans="2:2" x14ac:dyDescent="0.35">
      <c r="B385"/>
    </row>
    <row r="386" spans="2:2" x14ac:dyDescent="0.35">
      <c r="B386"/>
    </row>
    <row r="387" spans="2:2" x14ac:dyDescent="0.35">
      <c r="B387"/>
    </row>
    <row r="388" spans="2:2" x14ac:dyDescent="0.35">
      <c r="B388"/>
    </row>
    <row r="389" spans="2:2" x14ac:dyDescent="0.35">
      <c r="B389"/>
    </row>
    <row r="390" spans="2:2" x14ac:dyDescent="0.35">
      <c r="B390"/>
    </row>
    <row r="391" spans="2:2" x14ac:dyDescent="0.35">
      <c r="B391"/>
    </row>
    <row r="392" spans="2:2" x14ac:dyDescent="0.35">
      <c r="B392"/>
    </row>
    <row r="393" spans="2:2" x14ac:dyDescent="0.35">
      <c r="B393"/>
    </row>
    <row r="394" spans="2:2" x14ac:dyDescent="0.35">
      <c r="B394"/>
    </row>
    <row r="395" spans="2:2" x14ac:dyDescent="0.35">
      <c r="B395"/>
    </row>
    <row r="396" spans="2:2" x14ac:dyDescent="0.35">
      <c r="B396"/>
    </row>
    <row r="397" spans="2:2" x14ac:dyDescent="0.35">
      <c r="B397"/>
    </row>
    <row r="398" spans="2:2" x14ac:dyDescent="0.35">
      <c r="B398"/>
    </row>
    <row r="399" spans="2:2" x14ac:dyDescent="0.35">
      <c r="B399"/>
    </row>
    <row r="400" spans="2:2" x14ac:dyDescent="0.35">
      <c r="B400"/>
    </row>
    <row r="401" spans="2:2" x14ac:dyDescent="0.35">
      <c r="B401"/>
    </row>
    <row r="402" spans="2:2" x14ac:dyDescent="0.35">
      <c r="B402"/>
    </row>
    <row r="403" spans="2:2" x14ac:dyDescent="0.35">
      <c r="B403"/>
    </row>
    <row r="404" spans="2:2" x14ac:dyDescent="0.35">
      <c r="B404"/>
    </row>
    <row r="405" spans="2:2" x14ac:dyDescent="0.35">
      <c r="B405"/>
    </row>
    <row r="406" spans="2:2" x14ac:dyDescent="0.35">
      <c r="B406"/>
    </row>
    <row r="407" spans="2:2" x14ac:dyDescent="0.35">
      <c r="B407"/>
    </row>
    <row r="408" spans="2:2" x14ac:dyDescent="0.35">
      <c r="B408"/>
    </row>
    <row r="409" spans="2:2" x14ac:dyDescent="0.35">
      <c r="B409"/>
    </row>
    <row r="410" spans="2:2" x14ac:dyDescent="0.35">
      <c r="B410"/>
    </row>
    <row r="411" spans="2:2" x14ac:dyDescent="0.35">
      <c r="B411"/>
    </row>
    <row r="412" spans="2:2" x14ac:dyDescent="0.35">
      <c r="B412"/>
    </row>
    <row r="413" spans="2:2" x14ac:dyDescent="0.35">
      <c r="B413"/>
    </row>
    <row r="414" spans="2:2" x14ac:dyDescent="0.35">
      <c r="B414"/>
    </row>
    <row r="415" spans="2:2" x14ac:dyDescent="0.35">
      <c r="B415"/>
    </row>
    <row r="416" spans="2:2" x14ac:dyDescent="0.35">
      <c r="B416"/>
    </row>
    <row r="417" spans="2:2" x14ac:dyDescent="0.35">
      <c r="B417"/>
    </row>
    <row r="418" spans="2:2" x14ac:dyDescent="0.35">
      <c r="B418"/>
    </row>
    <row r="419" spans="2:2" x14ac:dyDescent="0.35">
      <c r="B419"/>
    </row>
    <row r="420" spans="2:2" x14ac:dyDescent="0.35">
      <c r="B420"/>
    </row>
    <row r="421" spans="2:2" x14ac:dyDescent="0.35">
      <c r="B421"/>
    </row>
    <row r="422" spans="2:2" x14ac:dyDescent="0.35">
      <c r="B422"/>
    </row>
    <row r="423" spans="2:2" x14ac:dyDescent="0.35">
      <c r="B423"/>
    </row>
    <row r="424" spans="2:2" x14ac:dyDescent="0.35">
      <c r="B424"/>
    </row>
    <row r="425" spans="2:2" x14ac:dyDescent="0.35">
      <c r="B425"/>
    </row>
    <row r="426" spans="2:2" x14ac:dyDescent="0.35">
      <c r="B426"/>
    </row>
    <row r="427" spans="2:2" x14ac:dyDescent="0.35">
      <c r="B427"/>
    </row>
    <row r="428" spans="2:2" x14ac:dyDescent="0.35">
      <c r="B428"/>
    </row>
    <row r="429" spans="2:2" x14ac:dyDescent="0.35">
      <c r="B429"/>
    </row>
    <row r="430" spans="2:2" x14ac:dyDescent="0.35">
      <c r="B430"/>
    </row>
    <row r="431" spans="2:2" x14ac:dyDescent="0.35">
      <c r="B431"/>
    </row>
    <row r="432" spans="2:2" x14ac:dyDescent="0.35">
      <c r="B432"/>
    </row>
    <row r="433" spans="2:2" x14ac:dyDescent="0.35">
      <c r="B433"/>
    </row>
    <row r="434" spans="2:2" x14ac:dyDescent="0.35">
      <c r="B434"/>
    </row>
    <row r="435" spans="2:2" x14ac:dyDescent="0.35">
      <c r="B435"/>
    </row>
    <row r="436" spans="2:2" x14ac:dyDescent="0.35">
      <c r="B436"/>
    </row>
    <row r="437" spans="2:2" x14ac:dyDescent="0.35">
      <c r="B437"/>
    </row>
    <row r="438" spans="2:2" x14ac:dyDescent="0.35">
      <c r="B438"/>
    </row>
    <row r="439" spans="2:2" x14ac:dyDescent="0.35">
      <c r="B439"/>
    </row>
    <row r="440" spans="2:2" x14ac:dyDescent="0.35">
      <c r="B440"/>
    </row>
    <row r="441" spans="2:2" x14ac:dyDescent="0.35">
      <c r="B441"/>
    </row>
    <row r="442" spans="2:2" x14ac:dyDescent="0.35">
      <c r="B442"/>
    </row>
    <row r="443" spans="2:2" x14ac:dyDescent="0.35">
      <c r="B443"/>
    </row>
    <row r="444" spans="2:2" x14ac:dyDescent="0.35">
      <c r="B444"/>
    </row>
    <row r="445" spans="2:2" x14ac:dyDescent="0.35">
      <c r="B445"/>
    </row>
    <row r="446" spans="2:2" x14ac:dyDescent="0.35">
      <c r="B446"/>
    </row>
    <row r="447" spans="2:2" x14ac:dyDescent="0.35">
      <c r="B447"/>
    </row>
    <row r="448" spans="2:2" x14ac:dyDescent="0.35">
      <c r="B448"/>
    </row>
    <row r="449" spans="2:2" x14ac:dyDescent="0.35">
      <c r="B449"/>
    </row>
    <row r="450" spans="2:2" x14ac:dyDescent="0.35">
      <c r="B450"/>
    </row>
    <row r="451" spans="2:2" x14ac:dyDescent="0.35">
      <c r="B451"/>
    </row>
    <row r="452" spans="2:2" x14ac:dyDescent="0.35">
      <c r="B452"/>
    </row>
    <row r="453" spans="2:2" x14ac:dyDescent="0.35">
      <c r="B453"/>
    </row>
    <row r="454" spans="2:2" x14ac:dyDescent="0.35">
      <c r="B454"/>
    </row>
    <row r="455" spans="2:2" x14ac:dyDescent="0.35">
      <c r="B455"/>
    </row>
    <row r="456" spans="2:2" x14ac:dyDescent="0.35">
      <c r="B456"/>
    </row>
    <row r="457" spans="2:2" x14ac:dyDescent="0.35">
      <c r="B457"/>
    </row>
    <row r="458" spans="2:2" x14ac:dyDescent="0.35">
      <c r="B458"/>
    </row>
    <row r="459" spans="2:2" x14ac:dyDescent="0.35">
      <c r="B459"/>
    </row>
    <row r="460" spans="2:2" x14ac:dyDescent="0.35">
      <c r="B460"/>
    </row>
    <row r="461" spans="2:2" x14ac:dyDescent="0.35">
      <c r="B461"/>
    </row>
    <row r="462" spans="2:2" x14ac:dyDescent="0.35">
      <c r="B462"/>
    </row>
    <row r="463" spans="2:2" x14ac:dyDescent="0.35">
      <c r="B463"/>
    </row>
    <row r="464" spans="2:2" x14ac:dyDescent="0.35">
      <c r="B464"/>
    </row>
    <row r="465" spans="2:2" x14ac:dyDescent="0.35">
      <c r="B465"/>
    </row>
    <row r="466" spans="2:2" x14ac:dyDescent="0.35">
      <c r="B466"/>
    </row>
    <row r="467" spans="2:2" x14ac:dyDescent="0.35">
      <c r="B467"/>
    </row>
    <row r="468" spans="2:2" x14ac:dyDescent="0.35">
      <c r="B468"/>
    </row>
    <row r="469" spans="2:2" x14ac:dyDescent="0.35">
      <c r="B469"/>
    </row>
    <row r="470" spans="2:2" x14ac:dyDescent="0.35">
      <c r="B470"/>
    </row>
    <row r="471" spans="2:2" x14ac:dyDescent="0.35">
      <c r="B471"/>
    </row>
    <row r="472" spans="2:2" x14ac:dyDescent="0.35">
      <c r="B472"/>
    </row>
    <row r="473" spans="2:2" x14ac:dyDescent="0.35">
      <c r="B473"/>
    </row>
    <row r="474" spans="2:2" x14ac:dyDescent="0.35">
      <c r="B474"/>
    </row>
    <row r="475" spans="2:2" x14ac:dyDescent="0.35">
      <c r="B475"/>
    </row>
    <row r="476" spans="2:2" x14ac:dyDescent="0.35">
      <c r="B476"/>
    </row>
    <row r="477" spans="2:2" x14ac:dyDescent="0.35">
      <c r="B477"/>
    </row>
    <row r="478" spans="2:2" x14ac:dyDescent="0.35">
      <c r="B478"/>
    </row>
    <row r="479" spans="2:2" x14ac:dyDescent="0.35">
      <c r="B479"/>
    </row>
    <row r="480" spans="2:2" x14ac:dyDescent="0.35">
      <c r="B480"/>
    </row>
    <row r="481" spans="2:2" x14ac:dyDescent="0.35">
      <c r="B481"/>
    </row>
    <row r="482" spans="2:2" x14ac:dyDescent="0.35">
      <c r="B482"/>
    </row>
    <row r="483" spans="2:2" x14ac:dyDescent="0.35">
      <c r="B483"/>
    </row>
    <row r="484" spans="2:2" x14ac:dyDescent="0.35">
      <c r="B484"/>
    </row>
    <row r="485" spans="2:2" x14ac:dyDescent="0.35">
      <c r="B485"/>
    </row>
    <row r="486" spans="2:2" x14ac:dyDescent="0.35">
      <c r="B486"/>
    </row>
    <row r="487" spans="2:2" x14ac:dyDescent="0.35">
      <c r="B487"/>
    </row>
    <row r="488" spans="2:2" x14ac:dyDescent="0.35">
      <c r="B488"/>
    </row>
    <row r="489" spans="2:2" x14ac:dyDescent="0.35">
      <c r="B489"/>
    </row>
    <row r="490" spans="2:2" x14ac:dyDescent="0.35">
      <c r="B490"/>
    </row>
    <row r="491" spans="2:2" x14ac:dyDescent="0.35">
      <c r="B491"/>
    </row>
    <row r="492" spans="2:2" x14ac:dyDescent="0.35">
      <c r="B492"/>
    </row>
    <row r="493" spans="2:2" x14ac:dyDescent="0.35">
      <c r="B493"/>
    </row>
    <row r="494" spans="2:2" x14ac:dyDescent="0.35">
      <c r="B494"/>
    </row>
    <row r="495" spans="2:2" x14ac:dyDescent="0.35">
      <c r="B495"/>
    </row>
    <row r="496" spans="2:2" x14ac:dyDescent="0.35">
      <c r="B496"/>
    </row>
    <row r="497" spans="2:2" x14ac:dyDescent="0.35">
      <c r="B497"/>
    </row>
  </sheetData>
  <conditionalFormatting sqref="B1 B3:B1048576">
    <cfRule type="duplicateValues" dxfId="2" priority="1"/>
  </conditionalFormatting>
  <pageMargins left="0.25" right="0.25" top="0.75" bottom="0.75" header="0.3" footer="0.3"/>
  <pageSetup paperSize="8" scale="13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1303"/>
  <sheetViews>
    <sheetView workbookViewId="0">
      <selection activeCell="A2" sqref="A2:D1303"/>
    </sheetView>
  </sheetViews>
  <sheetFormatPr defaultRowHeight="15" x14ac:dyDescent="0.25"/>
  <cols>
    <col min="1" max="1" width="11.85546875" customWidth="1"/>
    <col min="2" max="2" width="42.140625" bestFit="1" customWidth="1"/>
    <col min="3" max="3" width="67.7109375" bestFit="1" customWidth="1"/>
    <col min="4" max="4" width="11.85546875" customWidth="1"/>
  </cols>
  <sheetData>
    <row r="1" spans="1:4" x14ac:dyDescent="0.25">
      <c r="A1" t="s">
        <v>4</v>
      </c>
      <c r="B1" t="s">
        <v>6</v>
      </c>
      <c r="C1" t="s">
        <v>8</v>
      </c>
      <c r="D1" t="s">
        <v>9</v>
      </c>
    </row>
    <row r="2" spans="1:4" x14ac:dyDescent="0.25">
      <c r="A2" t="s">
        <v>1505</v>
      </c>
      <c r="B2" t="s">
        <v>1504</v>
      </c>
      <c r="C2" t="s">
        <v>2652</v>
      </c>
      <c r="D2">
        <v>31.55</v>
      </c>
    </row>
    <row r="3" spans="1:4" x14ac:dyDescent="0.25">
      <c r="A3" t="s">
        <v>1300</v>
      </c>
      <c r="B3" t="s">
        <v>1299</v>
      </c>
      <c r="C3" t="s">
        <v>2652</v>
      </c>
      <c r="D3">
        <v>31.55</v>
      </c>
    </row>
    <row r="4" spans="1:4" x14ac:dyDescent="0.25">
      <c r="A4" t="s">
        <v>2166</v>
      </c>
      <c r="B4" t="s">
        <v>2165</v>
      </c>
      <c r="C4" t="s">
        <v>2652</v>
      </c>
      <c r="D4">
        <v>31.55</v>
      </c>
    </row>
    <row r="5" spans="1:4" x14ac:dyDescent="0.25">
      <c r="A5" t="s">
        <v>1133</v>
      </c>
      <c r="B5" t="s">
        <v>2653</v>
      </c>
      <c r="C5" t="s">
        <v>2654</v>
      </c>
      <c r="D5">
        <v>33.43</v>
      </c>
    </row>
    <row r="6" spans="1:4" x14ac:dyDescent="0.25">
      <c r="A6" t="s">
        <v>680</v>
      </c>
      <c r="B6" t="s">
        <v>2655</v>
      </c>
      <c r="C6" t="s">
        <v>2656</v>
      </c>
      <c r="D6">
        <v>4800</v>
      </c>
    </row>
    <row r="7" spans="1:4" x14ac:dyDescent="0.25">
      <c r="A7" t="s">
        <v>200</v>
      </c>
      <c r="B7" t="s">
        <v>199</v>
      </c>
      <c r="C7" t="s">
        <v>2657</v>
      </c>
      <c r="D7">
        <v>6500</v>
      </c>
    </row>
    <row r="8" spans="1:4" x14ac:dyDescent="0.25">
      <c r="A8" t="s">
        <v>2360</v>
      </c>
      <c r="B8" t="s">
        <v>2658</v>
      </c>
      <c r="C8" t="s">
        <v>2652</v>
      </c>
      <c r="D8">
        <v>31.55</v>
      </c>
    </row>
    <row r="9" spans="1:4" x14ac:dyDescent="0.25">
      <c r="A9" t="s">
        <v>1236</v>
      </c>
      <c r="B9" t="s">
        <v>2659</v>
      </c>
      <c r="C9" t="s">
        <v>2652</v>
      </c>
      <c r="D9">
        <v>31.55</v>
      </c>
    </row>
    <row r="10" spans="1:4" x14ac:dyDescent="0.25">
      <c r="A10" t="s">
        <v>132</v>
      </c>
      <c r="B10" t="s">
        <v>131</v>
      </c>
      <c r="C10" t="s">
        <v>2654</v>
      </c>
      <c r="D10">
        <v>30.13</v>
      </c>
    </row>
    <row r="11" spans="1:4" x14ac:dyDescent="0.25">
      <c r="A11" t="s">
        <v>2022</v>
      </c>
      <c r="B11" t="s">
        <v>2021</v>
      </c>
      <c r="C11" t="s">
        <v>2652</v>
      </c>
      <c r="D11">
        <v>31.55</v>
      </c>
    </row>
    <row r="12" spans="1:4" x14ac:dyDescent="0.25">
      <c r="A12" t="s">
        <v>1687</v>
      </c>
      <c r="B12" t="s">
        <v>1686</v>
      </c>
      <c r="C12" t="s">
        <v>2652</v>
      </c>
      <c r="D12">
        <v>31.55</v>
      </c>
    </row>
    <row r="13" spans="1:4" x14ac:dyDescent="0.25">
      <c r="A13" t="s">
        <v>1522</v>
      </c>
      <c r="B13" t="s">
        <v>2660</v>
      </c>
      <c r="C13" t="s">
        <v>2652</v>
      </c>
      <c r="D13">
        <v>31.55</v>
      </c>
    </row>
    <row r="14" spans="1:4" x14ac:dyDescent="0.25">
      <c r="A14" t="s">
        <v>2661</v>
      </c>
      <c r="B14" t="s">
        <v>2662</v>
      </c>
      <c r="C14" t="s">
        <v>2652</v>
      </c>
      <c r="D14">
        <v>31.55</v>
      </c>
    </row>
    <row r="15" spans="1:4" x14ac:dyDescent="0.25">
      <c r="A15" t="s">
        <v>695</v>
      </c>
      <c r="B15" t="s">
        <v>694</v>
      </c>
      <c r="C15" t="s">
        <v>2656</v>
      </c>
      <c r="D15">
        <v>4800</v>
      </c>
    </row>
    <row r="16" spans="1:4" x14ac:dyDescent="0.25">
      <c r="A16" t="s">
        <v>1147</v>
      </c>
      <c r="B16" t="s">
        <v>1146</v>
      </c>
      <c r="C16" t="s">
        <v>2652</v>
      </c>
      <c r="D16">
        <v>31.55</v>
      </c>
    </row>
    <row r="17" spans="1:4" x14ac:dyDescent="0.25">
      <c r="A17" t="s">
        <v>1740</v>
      </c>
      <c r="B17" t="s">
        <v>1739</v>
      </c>
      <c r="C17" t="s">
        <v>2652</v>
      </c>
      <c r="D17">
        <v>31.55</v>
      </c>
    </row>
    <row r="18" spans="1:4" x14ac:dyDescent="0.25">
      <c r="A18" t="s">
        <v>657</v>
      </c>
      <c r="B18" t="s">
        <v>656</v>
      </c>
      <c r="C18" t="s">
        <v>2663</v>
      </c>
      <c r="D18">
        <v>7500</v>
      </c>
    </row>
    <row r="19" spans="1:4" x14ac:dyDescent="0.25">
      <c r="A19" t="s">
        <v>1707</v>
      </c>
      <c r="B19" t="s">
        <v>1706</v>
      </c>
      <c r="C19" t="s">
        <v>2652</v>
      </c>
      <c r="D19">
        <v>31.55</v>
      </c>
    </row>
    <row r="20" spans="1:4" x14ac:dyDescent="0.25">
      <c r="A20" t="s">
        <v>1836</v>
      </c>
      <c r="B20" t="s">
        <v>2664</v>
      </c>
      <c r="C20" t="s">
        <v>2652</v>
      </c>
      <c r="D20">
        <v>28.25</v>
      </c>
    </row>
    <row r="21" spans="1:4" x14ac:dyDescent="0.25">
      <c r="A21" t="s">
        <v>2665</v>
      </c>
      <c r="B21" t="s">
        <v>2666</v>
      </c>
      <c r="C21" t="s">
        <v>2652</v>
      </c>
      <c r="D21">
        <v>31.55</v>
      </c>
    </row>
    <row r="22" spans="1:4" x14ac:dyDescent="0.25">
      <c r="A22" t="s">
        <v>2667</v>
      </c>
      <c r="B22" t="s">
        <v>2668</v>
      </c>
      <c r="C22" t="s">
        <v>2652</v>
      </c>
      <c r="D22">
        <v>28.25</v>
      </c>
    </row>
    <row r="23" spans="1:4" x14ac:dyDescent="0.25">
      <c r="A23" t="s">
        <v>1844</v>
      </c>
      <c r="B23" t="s">
        <v>1843</v>
      </c>
      <c r="C23" t="s">
        <v>2652</v>
      </c>
      <c r="D23">
        <v>31.55</v>
      </c>
    </row>
    <row r="24" spans="1:4" x14ac:dyDescent="0.25">
      <c r="A24" t="s">
        <v>315</v>
      </c>
      <c r="B24" t="s">
        <v>314</v>
      </c>
      <c r="C24" t="s">
        <v>2669</v>
      </c>
      <c r="D24">
        <v>6500</v>
      </c>
    </row>
    <row r="25" spans="1:4" x14ac:dyDescent="0.25">
      <c r="A25" t="s">
        <v>2425</v>
      </c>
      <c r="B25" t="s">
        <v>2670</v>
      </c>
      <c r="C25" t="s">
        <v>2652</v>
      </c>
      <c r="D25">
        <v>31.55</v>
      </c>
    </row>
    <row r="26" spans="1:4" x14ac:dyDescent="0.25">
      <c r="A26" t="s">
        <v>1327</v>
      </c>
      <c r="B26" t="s">
        <v>1326</v>
      </c>
      <c r="C26" t="s">
        <v>2652</v>
      </c>
      <c r="D26">
        <v>31.55</v>
      </c>
    </row>
    <row r="27" spans="1:4" x14ac:dyDescent="0.25">
      <c r="A27" t="s">
        <v>1076</v>
      </c>
      <c r="B27" t="s">
        <v>1075</v>
      </c>
      <c r="C27" t="s">
        <v>2654</v>
      </c>
      <c r="D27">
        <v>33.43</v>
      </c>
    </row>
    <row r="28" spans="1:4" x14ac:dyDescent="0.25">
      <c r="A28" t="s">
        <v>1484</v>
      </c>
      <c r="B28" t="s">
        <v>1483</v>
      </c>
      <c r="C28" t="s">
        <v>2652</v>
      </c>
      <c r="D28">
        <v>31.55</v>
      </c>
    </row>
    <row r="29" spans="1:4" x14ac:dyDescent="0.25">
      <c r="A29" t="s">
        <v>1089</v>
      </c>
      <c r="B29" t="s">
        <v>1088</v>
      </c>
      <c r="C29" t="s">
        <v>2654</v>
      </c>
      <c r="D29">
        <v>33.43</v>
      </c>
    </row>
    <row r="30" spans="1:4" x14ac:dyDescent="0.25">
      <c r="A30" t="s">
        <v>203</v>
      </c>
      <c r="B30" t="s">
        <v>202</v>
      </c>
      <c r="C30" t="s">
        <v>2671</v>
      </c>
      <c r="D30">
        <v>7500</v>
      </c>
    </row>
    <row r="31" spans="1:4" x14ac:dyDescent="0.25">
      <c r="A31" t="s">
        <v>281</v>
      </c>
      <c r="B31" t="s">
        <v>280</v>
      </c>
      <c r="C31" t="s">
        <v>2672</v>
      </c>
      <c r="D31">
        <v>7000</v>
      </c>
    </row>
    <row r="32" spans="1:4" x14ac:dyDescent="0.25">
      <c r="A32" t="s">
        <v>2673</v>
      </c>
      <c r="B32" t="s">
        <v>2674</v>
      </c>
      <c r="C32" t="s">
        <v>2675</v>
      </c>
      <c r="D32">
        <v>4000</v>
      </c>
    </row>
    <row r="33" spans="1:4" x14ac:dyDescent="0.25">
      <c r="A33" t="s">
        <v>806</v>
      </c>
      <c r="B33" t="s">
        <v>805</v>
      </c>
      <c r="C33" t="s">
        <v>2654</v>
      </c>
      <c r="D33">
        <v>33.43</v>
      </c>
    </row>
    <row r="34" spans="1:4" x14ac:dyDescent="0.25">
      <c r="A34" t="s">
        <v>1145</v>
      </c>
      <c r="B34" t="s">
        <v>1144</v>
      </c>
      <c r="C34" t="s">
        <v>2654</v>
      </c>
      <c r="D34">
        <v>33.43</v>
      </c>
    </row>
    <row r="35" spans="1:4" x14ac:dyDescent="0.25">
      <c r="A35" t="s">
        <v>992</v>
      </c>
      <c r="B35" t="s">
        <v>991</v>
      </c>
      <c r="C35" t="s">
        <v>2654</v>
      </c>
      <c r="D35">
        <v>33.43</v>
      </c>
    </row>
    <row r="36" spans="1:4" x14ac:dyDescent="0.25">
      <c r="A36" t="s">
        <v>727</v>
      </c>
      <c r="B36" t="s">
        <v>726</v>
      </c>
      <c r="C36" t="s">
        <v>2652</v>
      </c>
      <c r="D36">
        <v>31.55</v>
      </c>
    </row>
    <row r="37" spans="1:4" x14ac:dyDescent="0.25">
      <c r="A37" t="s">
        <v>1949</v>
      </c>
      <c r="B37" t="s">
        <v>1948</v>
      </c>
      <c r="C37" t="s">
        <v>2663</v>
      </c>
      <c r="D37">
        <v>7500</v>
      </c>
    </row>
    <row r="38" spans="1:4" x14ac:dyDescent="0.25">
      <c r="A38" t="s">
        <v>1664</v>
      </c>
      <c r="B38" t="s">
        <v>1663</v>
      </c>
      <c r="C38" t="s">
        <v>2652</v>
      </c>
      <c r="D38">
        <v>31.55</v>
      </c>
    </row>
    <row r="39" spans="1:4" x14ac:dyDescent="0.25">
      <c r="A39" t="s">
        <v>1670</v>
      </c>
      <c r="B39" t="s">
        <v>1669</v>
      </c>
      <c r="C39" t="s">
        <v>2652</v>
      </c>
      <c r="D39">
        <v>31.55</v>
      </c>
    </row>
    <row r="40" spans="1:4" x14ac:dyDescent="0.25">
      <c r="A40" t="s">
        <v>2676</v>
      </c>
      <c r="B40" t="s">
        <v>2677</v>
      </c>
      <c r="C40" t="s">
        <v>2652</v>
      </c>
      <c r="D40">
        <v>31.55</v>
      </c>
    </row>
    <row r="41" spans="1:4" x14ac:dyDescent="0.25">
      <c r="A41" t="s">
        <v>2678</v>
      </c>
      <c r="B41" t="s">
        <v>2679</v>
      </c>
      <c r="C41" t="s">
        <v>2675</v>
      </c>
      <c r="D41">
        <v>4000</v>
      </c>
    </row>
    <row r="42" spans="1:4" x14ac:dyDescent="0.25">
      <c r="A42" t="s">
        <v>1803</v>
      </c>
      <c r="B42" t="s">
        <v>1802</v>
      </c>
      <c r="C42" t="s">
        <v>2654</v>
      </c>
      <c r="D42">
        <v>33.43</v>
      </c>
    </row>
    <row r="43" spans="1:4" x14ac:dyDescent="0.25">
      <c r="A43" t="s">
        <v>2383</v>
      </c>
      <c r="B43" t="s">
        <v>2382</v>
      </c>
      <c r="C43" t="s">
        <v>2652</v>
      </c>
      <c r="D43">
        <v>31.55</v>
      </c>
    </row>
    <row r="44" spans="1:4" x14ac:dyDescent="0.25">
      <c r="A44" t="s">
        <v>1627</v>
      </c>
      <c r="B44" t="s">
        <v>1626</v>
      </c>
      <c r="C44" t="s">
        <v>2652</v>
      </c>
      <c r="D44">
        <v>31.55</v>
      </c>
    </row>
    <row r="45" spans="1:4" x14ac:dyDescent="0.25">
      <c r="A45" t="s">
        <v>2226</v>
      </c>
      <c r="B45" t="s">
        <v>2225</v>
      </c>
      <c r="C45" t="s">
        <v>2652</v>
      </c>
      <c r="D45">
        <v>31.55</v>
      </c>
    </row>
    <row r="46" spans="1:4" x14ac:dyDescent="0.25">
      <c r="A46" t="s">
        <v>2214</v>
      </c>
      <c r="B46" t="s">
        <v>2213</v>
      </c>
      <c r="C46" t="s">
        <v>2652</v>
      </c>
      <c r="D46">
        <v>31.55</v>
      </c>
    </row>
    <row r="47" spans="1:4" x14ac:dyDescent="0.25">
      <c r="A47" t="s">
        <v>593</v>
      </c>
      <c r="B47" t="s">
        <v>592</v>
      </c>
      <c r="C47" t="s">
        <v>2650</v>
      </c>
      <c r="D47">
        <v>4500</v>
      </c>
    </row>
    <row r="48" spans="1:4" x14ac:dyDescent="0.25">
      <c r="A48" t="s">
        <v>389</v>
      </c>
      <c r="B48" t="s">
        <v>388</v>
      </c>
      <c r="C48" t="s">
        <v>2680</v>
      </c>
      <c r="D48">
        <v>6500</v>
      </c>
    </row>
    <row r="49" spans="1:4" x14ac:dyDescent="0.25">
      <c r="A49" t="s">
        <v>941</v>
      </c>
      <c r="B49" t="s">
        <v>940</v>
      </c>
      <c r="C49" t="s">
        <v>2652</v>
      </c>
      <c r="D49">
        <v>31.55</v>
      </c>
    </row>
    <row r="50" spans="1:4" x14ac:dyDescent="0.25">
      <c r="A50" t="s">
        <v>731</v>
      </c>
      <c r="B50" t="s">
        <v>730</v>
      </c>
      <c r="C50" t="s">
        <v>2654</v>
      </c>
      <c r="D50">
        <v>33.43</v>
      </c>
    </row>
    <row r="51" spans="1:4" x14ac:dyDescent="0.25">
      <c r="A51" t="s">
        <v>873</v>
      </c>
      <c r="B51" t="s">
        <v>872</v>
      </c>
      <c r="C51" t="s">
        <v>2654</v>
      </c>
      <c r="D51">
        <v>33.43</v>
      </c>
    </row>
    <row r="52" spans="1:4" x14ac:dyDescent="0.25">
      <c r="A52" t="s">
        <v>2455</v>
      </c>
      <c r="B52" t="s">
        <v>2454</v>
      </c>
      <c r="C52" t="s">
        <v>2652</v>
      </c>
      <c r="D52">
        <v>31.55</v>
      </c>
    </row>
    <row r="53" spans="1:4" x14ac:dyDescent="0.25">
      <c r="A53" t="s">
        <v>1222</v>
      </c>
      <c r="B53" t="s">
        <v>1221</v>
      </c>
      <c r="C53" t="s">
        <v>2652</v>
      </c>
      <c r="D53">
        <v>31.55</v>
      </c>
    </row>
    <row r="54" spans="1:4" x14ac:dyDescent="0.25">
      <c r="A54" t="s">
        <v>967</v>
      </c>
      <c r="B54" t="s">
        <v>966</v>
      </c>
      <c r="C54" t="s">
        <v>2654</v>
      </c>
      <c r="D54">
        <v>33.43</v>
      </c>
    </row>
    <row r="55" spans="1:4" x14ac:dyDescent="0.25">
      <c r="A55" t="s">
        <v>181</v>
      </c>
      <c r="B55" t="s">
        <v>180</v>
      </c>
      <c r="C55" t="s">
        <v>2681</v>
      </c>
      <c r="D55">
        <v>10000</v>
      </c>
    </row>
    <row r="56" spans="1:4" x14ac:dyDescent="0.25">
      <c r="A56" t="s">
        <v>513</v>
      </c>
      <c r="B56" t="s">
        <v>2682</v>
      </c>
      <c r="C56" t="s">
        <v>2650</v>
      </c>
      <c r="D56">
        <v>4500</v>
      </c>
    </row>
    <row r="57" spans="1:4" x14ac:dyDescent="0.25">
      <c r="A57" t="s">
        <v>2281</v>
      </c>
      <c r="B57" t="s">
        <v>2280</v>
      </c>
      <c r="C57" t="s">
        <v>2652</v>
      </c>
      <c r="D57">
        <v>31.55</v>
      </c>
    </row>
    <row r="58" spans="1:4" x14ac:dyDescent="0.25">
      <c r="A58" t="s">
        <v>2377</v>
      </c>
      <c r="B58" t="s">
        <v>2376</v>
      </c>
      <c r="C58" t="s">
        <v>2652</v>
      </c>
      <c r="D58">
        <v>31.55</v>
      </c>
    </row>
    <row r="59" spans="1:4" x14ac:dyDescent="0.25">
      <c r="A59" t="s">
        <v>994</v>
      </c>
      <c r="B59" t="s">
        <v>993</v>
      </c>
      <c r="C59" t="s">
        <v>2652</v>
      </c>
      <c r="D59">
        <v>31.55</v>
      </c>
    </row>
    <row r="60" spans="1:4" x14ac:dyDescent="0.25">
      <c r="A60" t="s">
        <v>1639</v>
      </c>
      <c r="B60" t="s">
        <v>2683</v>
      </c>
      <c r="C60" t="s">
        <v>2652</v>
      </c>
      <c r="D60">
        <v>31.55</v>
      </c>
    </row>
    <row r="61" spans="1:4" x14ac:dyDescent="0.25">
      <c r="A61" t="s">
        <v>2311</v>
      </c>
      <c r="B61" t="s">
        <v>2310</v>
      </c>
      <c r="C61" t="s">
        <v>2654</v>
      </c>
      <c r="D61">
        <v>30.13</v>
      </c>
    </row>
    <row r="62" spans="1:4" x14ac:dyDescent="0.25">
      <c r="A62" t="s">
        <v>1868</v>
      </c>
      <c r="B62" t="s">
        <v>1867</v>
      </c>
      <c r="C62" t="s">
        <v>2652</v>
      </c>
      <c r="D62">
        <v>31.55</v>
      </c>
    </row>
    <row r="63" spans="1:4" x14ac:dyDescent="0.25">
      <c r="A63" t="s">
        <v>2465</v>
      </c>
      <c r="B63" t="s">
        <v>2464</v>
      </c>
      <c r="C63" t="s">
        <v>2652</v>
      </c>
      <c r="D63">
        <v>28.25</v>
      </c>
    </row>
    <row r="64" spans="1:4" x14ac:dyDescent="0.25">
      <c r="A64" t="s">
        <v>2651</v>
      </c>
      <c r="B64" t="s">
        <v>418</v>
      </c>
      <c r="C64" t="s">
        <v>2680</v>
      </c>
      <c r="D64">
        <v>6500</v>
      </c>
    </row>
    <row r="65" spans="1:4" x14ac:dyDescent="0.25">
      <c r="A65" t="s">
        <v>2437</v>
      </c>
      <c r="B65" t="s">
        <v>2684</v>
      </c>
      <c r="C65" t="s">
        <v>2652</v>
      </c>
      <c r="D65">
        <v>28.25</v>
      </c>
    </row>
    <row r="66" spans="1:4" x14ac:dyDescent="0.25">
      <c r="A66" t="s">
        <v>2685</v>
      </c>
      <c r="B66" t="s">
        <v>2686</v>
      </c>
      <c r="C66" t="s">
        <v>2652</v>
      </c>
      <c r="D66">
        <v>28.25</v>
      </c>
    </row>
    <row r="67" spans="1:4" x14ac:dyDescent="0.25">
      <c r="A67" t="s">
        <v>2687</v>
      </c>
      <c r="B67" t="s">
        <v>2688</v>
      </c>
      <c r="C67" t="s">
        <v>2652</v>
      </c>
      <c r="D67">
        <v>31.55</v>
      </c>
    </row>
    <row r="68" spans="1:4" x14ac:dyDescent="0.25">
      <c r="A68" t="s">
        <v>2483</v>
      </c>
      <c r="B68" t="s">
        <v>2482</v>
      </c>
      <c r="C68" t="s">
        <v>2652</v>
      </c>
      <c r="D68">
        <v>28.25</v>
      </c>
    </row>
    <row r="69" spans="1:4" x14ac:dyDescent="0.25">
      <c r="A69" t="s">
        <v>1402</v>
      </c>
      <c r="B69" t="s">
        <v>1401</v>
      </c>
      <c r="C69" t="s">
        <v>2652</v>
      </c>
      <c r="D69">
        <v>31.55</v>
      </c>
    </row>
    <row r="70" spans="1:4" x14ac:dyDescent="0.25">
      <c r="A70" t="s">
        <v>1872</v>
      </c>
      <c r="B70" t="s">
        <v>1871</v>
      </c>
      <c r="C70" t="s">
        <v>2652</v>
      </c>
      <c r="D70">
        <v>31.55</v>
      </c>
    </row>
    <row r="71" spans="1:4" x14ac:dyDescent="0.25">
      <c r="A71" t="s">
        <v>1720</v>
      </c>
      <c r="B71" t="s">
        <v>1719</v>
      </c>
      <c r="C71" t="s">
        <v>2652</v>
      </c>
      <c r="D71">
        <v>31.55</v>
      </c>
    </row>
    <row r="72" spans="1:4" x14ac:dyDescent="0.25">
      <c r="A72" t="s">
        <v>1020</v>
      </c>
      <c r="B72" t="s">
        <v>2689</v>
      </c>
      <c r="C72" t="s">
        <v>2654</v>
      </c>
      <c r="D72">
        <v>33.43</v>
      </c>
    </row>
    <row r="73" spans="1:4" x14ac:dyDescent="0.25">
      <c r="A73" t="s">
        <v>573</v>
      </c>
      <c r="B73" t="s">
        <v>572</v>
      </c>
      <c r="C73" t="s">
        <v>2650</v>
      </c>
      <c r="D73">
        <v>4500</v>
      </c>
    </row>
    <row r="74" spans="1:4" x14ac:dyDescent="0.25">
      <c r="A74" t="s">
        <v>2690</v>
      </c>
      <c r="B74" t="s">
        <v>2691</v>
      </c>
      <c r="C74" t="s">
        <v>2652</v>
      </c>
      <c r="D74">
        <v>31.55</v>
      </c>
    </row>
    <row r="75" spans="1:4" x14ac:dyDescent="0.25">
      <c r="A75" t="s">
        <v>2692</v>
      </c>
      <c r="B75" t="s">
        <v>2693</v>
      </c>
      <c r="C75" t="s">
        <v>2654</v>
      </c>
      <c r="D75">
        <v>33.43</v>
      </c>
    </row>
    <row r="76" spans="1:4" x14ac:dyDescent="0.25">
      <c r="A76" t="s">
        <v>2228</v>
      </c>
      <c r="B76" t="s">
        <v>2227</v>
      </c>
      <c r="C76" t="s">
        <v>2654</v>
      </c>
      <c r="D76">
        <v>33.43</v>
      </c>
    </row>
    <row r="77" spans="1:4" x14ac:dyDescent="0.25">
      <c r="A77" t="s">
        <v>1830</v>
      </c>
      <c r="B77" t="s">
        <v>1829</v>
      </c>
      <c r="C77" t="s">
        <v>2652</v>
      </c>
      <c r="D77">
        <v>31.55</v>
      </c>
    </row>
    <row r="78" spans="1:4" x14ac:dyDescent="0.25">
      <c r="A78" t="s">
        <v>2694</v>
      </c>
      <c r="B78" t="s">
        <v>2695</v>
      </c>
      <c r="C78" t="s">
        <v>2652</v>
      </c>
      <c r="D78">
        <v>31.55</v>
      </c>
    </row>
    <row r="79" spans="1:4" x14ac:dyDescent="0.25">
      <c r="A79" t="s">
        <v>290</v>
      </c>
      <c r="B79" t="s">
        <v>2696</v>
      </c>
      <c r="C79" t="s">
        <v>2697</v>
      </c>
      <c r="D79">
        <v>6500</v>
      </c>
    </row>
    <row r="80" spans="1:4" x14ac:dyDescent="0.25">
      <c r="A80" t="s">
        <v>493</v>
      </c>
      <c r="B80" t="s">
        <v>492</v>
      </c>
      <c r="C80" t="s">
        <v>2698</v>
      </c>
      <c r="D80">
        <v>5500</v>
      </c>
    </row>
    <row r="81" spans="1:4" x14ac:dyDescent="0.25">
      <c r="A81" t="s">
        <v>2699</v>
      </c>
      <c r="B81" t="s">
        <v>2700</v>
      </c>
      <c r="C81" t="s">
        <v>2654</v>
      </c>
      <c r="D81">
        <v>33.43</v>
      </c>
    </row>
    <row r="82" spans="1:4" x14ac:dyDescent="0.25">
      <c r="A82" t="s">
        <v>1421</v>
      </c>
      <c r="B82" t="s">
        <v>1420</v>
      </c>
      <c r="C82" t="s">
        <v>2652</v>
      </c>
      <c r="D82">
        <v>31.55</v>
      </c>
    </row>
    <row r="83" spans="1:4" x14ac:dyDescent="0.25">
      <c r="A83" t="s">
        <v>356</v>
      </c>
      <c r="B83" t="s">
        <v>2701</v>
      </c>
      <c r="C83" t="s">
        <v>2702</v>
      </c>
      <c r="D83">
        <v>8000</v>
      </c>
    </row>
    <row r="84" spans="1:4" x14ac:dyDescent="0.25">
      <c r="A84" t="s">
        <v>672</v>
      </c>
      <c r="B84" t="s">
        <v>671</v>
      </c>
      <c r="C84" t="s">
        <v>2656</v>
      </c>
      <c r="D84">
        <v>4800</v>
      </c>
    </row>
    <row r="85" spans="1:4" x14ac:dyDescent="0.25">
      <c r="A85" t="s">
        <v>1216</v>
      </c>
      <c r="B85" t="s">
        <v>2703</v>
      </c>
      <c r="C85" t="s">
        <v>2652</v>
      </c>
      <c r="D85">
        <v>31.55</v>
      </c>
    </row>
    <row r="86" spans="1:4" x14ac:dyDescent="0.25">
      <c r="A86" t="s">
        <v>1736</v>
      </c>
      <c r="B86" t="s">
        <v>1735</v>
      </c>
      <c r="C86" t="s">
        <v>2652</v>
      </c>
      <c r="D86">
        <v>31.55</v>
      </c>
    </row>
    <row r="87" spans="1:4" x14ac:dyDescent="0.25">
      <c r="A87" t="s">
        <v>1641</v>
      </c>
      <c r="B87" t="s">
        <v>1640</v>
      </c>
      <c r="C87" t="s">
        <v>2652</v>
      </c>
      <c r="D87">
        <v>31.55</v>
      </c>
    </row>
    <row r="88" spans="1:4" x14ac:dyDescent="0.25">
      <c r="A88" t="s">
        <v>759</v>
      </c>
      <c r="B88" t="s">
        <v>758</v>
      </c>
      <c r="C88" t="s">
        <v>2654</v>
      </c>
      <c r="D88">
        <v>33.43</v>
      </c>
    </row>
    <row r="89" spans="1:4" x14ac:dyDescent="0.25">
      <c r="A89" t="s">
        <v>2321</v>
      </c>
      <c r="B89" t="s">
        <v>2320</v>
      </c>
      <c r="C89" t="s">
        <v>2652</v>
      </c>
      <c r="D89">
        <v>31.55</v>
      </c>
    </row>
    <row r="90" spans="1:4" x14ac:dyDescent="0.25">
      <c r="A90" t="s">
        <v>2196</v>
      </c>
      <c r="B90" t="s">
        <v>2195</v>
      </c>
      <c r="C90" t="s">
        <v>2652</v>
      </c>
      <c r="D90">
        <v>28.25</v>
      </c>
    </row>
    <row r="91" spans="1:4" x14ac:dyDescent="0.25">
      <c r="A91" t="s">
        <v>647</v>
      </c>
      <c r="B91" t="s">
        <v>2704</v>
      </c>
      <c r="C91" t="s">
        <v>2656</v>
      </c>
      <c r="D91">
        <v>4800</v>
      </c>
    </row>
    <row r="92" spans="1:4" x14ac:dyDescent="0.25">
      <c r="A92" t="s">
        <v>547</v>
      </c>
      <c r="B92" t="s">
        <v>546</v>
      </c>
      <c r="C92" t="s">
        <v>2650</v>
      </c>
      <c r="D92">
        <v>4500</v>
      </c>
    </row>
    <row r="93" spans="1:4" x14ac:dyDescent="0.25">
      <c r="A93" t="s">
        <v>569</v>
      </c>
      <c r="B93" t="s">
        <v>2705</v>
      </c>
      <c r="C93" t="s">
        <v>2650</v>
      </c>
      <c r="D93">
        <v>4500</v>
      </c>
    </row>
    <row r="94" spans="1:4" x14ac:dyDescent="0.25">
      <c r="A94" t="s">
        <v>1811</v>
      </c>
      <c r="B94" t="s">
        <v>1810</v>
      </c>
      <c r="C94" t="s">
        <v>2652</v>
      </c>
      <c r="D94">
        <v>31.55</v>
      </c>
    </row>
    <row r="95" spans="1:4" x14ac:dyDescent="0.25">
      <c r="A95" t="s">
        <v>1828</v>
      </c>
      <c r="B95" t="s">
        <v>1827</v>
      </c>
      <c r="C95" t="s">
        <v>2652</v>
      </c>
      <c r="D95">
        <v>31.55</v>
      </c>
    </row>
    <row r="96" spans="1:4" x14ac:dyDescent="0.25">
      <c r="A96" t="s">
        <v>2706</v>
      </c>
      <c r="B96" t="s">
        <v>2707</v>
      </c>
      <c r="C96" t="s">
        <v>2654</v>
      </c>
      <c r="D96">
        <v>33.43</v>
      </c>
    </row>
    <row r="97" spans="1:4" x14ac:dyDescent="0.25">
      <c r="A97" t="s">
        <v>2263</v>
      </c>
      <c r="B97" t="s">
        <v>2262</v>
      </c>
      <c r="C97" t="s">
        <v>2652</v>
      </c>
      <c r="D97">
        <v>31.55</v>
      </c>
    </row>
    <row r="98" spans="1:4" x14ac:dyDescent="0.25">
      <c r="A98" t="s">
        <v>495</v>
      </c>
      <c r="B98" t="s">
        <v>494</v>
      </c>
      <c r="C98" t="s">
        <v>2698</v>
      </c>
      <c r="D98">
        <v>5500</v>
      </c>
    </row>
    <row r="99" spans="1:4" x14ac:dyDescent="0.25">
      <c r="A99" t="s">
        <v>2172</v>
      </c>
      <c r="B99" t="s">
        <v>2171</v>
      </c>
      <c r="C99" t="s">
        <v>2663</v>
      </c>
      <c r="D99">
        <v>7500</v>
      </c>
    </row>
    <row r="100" spans="1:4" x14ac:dyDescent="0.25">
      <c r="A100" t="s">
        <v>2708</v>
      </c>
      <c r="B100" t="s">
        <v>2709</v>
      </c>
      <c r="C100" t="s">
        <v>2652</v>
      </c>
      <c r="D100">
        <v>28.25</v>
      </c>
    </row>
    <row r="101" spans="1:4" x14ac:dyDescent="0.25">
      <c r="A101" t="s">
        <v>442</v>
      </c>
      <c r="B101" t="s">
        <v>441</v>
      </c>
      <c r="C101" t="s">
        <v>2710</v>
      </c>
      <c r="D101">
        <v>5500</v>
      </c>
    </row>
    <row r="102" spans="1:4" x14ac:dyDescent="0.25">
      <c r="A102" t="s">
        <v>2371</v>
      </c>
      <c r="B102" t="s">
        <v>2370</v>
      </c>
      <c r="C102" t="s">
        <v>2652</v>
      </c>
      <c r="D102">
        <v>31.55</v>
      </c>
    </row>
    <row r="103" spans="1:4" x14ac:dyDescent="0.25">
      <c r="A103" t="s">
        <v>2002</v>
      </c>
      <c r="B103" t="s">
        <v>2001</v>
      </c>
      <c r="C103" t="s">
        <v>2652</v>
      </c>
      <c r="D103">
        <v>31.55</v>
      </c>
    </row>
    <row r="104" spans="1:4" x14ac:dyDescent="0.25">
      <c r="A104" t="s">
        <v>1697</v>
      </c>
      <c r="B104" t="s">
        <v>1696</v>
      </c>
      <c r="C104" t="s">
        <v>2652</v>
      </c>
      <c r="D104">
        <v>31.55</v>
      </c>
    </row>
    <row r="105" spans="1:4" x14ac:dyDescent="0.25">
      <c r="A105" t="s">
        <v>1046</v>
      </c>
      <c r="B105" t="s">
        <v>2711</v>
      </c>
      <c r="C105" t="s">
        <v>2654</v>
      </c>
      <c r="D105">
        <v>33.43</v>
      </c>
    </row>
    <row r="106" spans="1:4" x14ac:dyDescent="0.25">
      <c r="A106" t="s">
        <v>1606</v>
      </c>
      <c r="B106" t="s">
        <v>2712</v>
      </c>
      <c r="C106" t="s">
        <v>2652</v>
      </c>
      <c r="D106">
        <v>31.55</v>
      </c>
    </row>
    <row r="107" spans="1:4" x14ac:dyDescent="0.25">
      <c r="A107" t="s">
        <v>2247</v>
      </c>
      <c r="B107" t="s">
        <v>2246</v>
      </c>
      <c r="C107" t="s">
        <v>2652</v>
      </c>
      <c r="D107">
        <v>28.25</v>
      </c>
    </row>
    <row r="108" spans="1:4" x14ac:dyDescent="0.25">
      <c r="A108" t="s">
        <v>751</v>
      </c>
      <c r="B108" t="s">
        <v>750</v>
      </c>
      <c r="C108" t="s">
        <v>2652</v>
      </c>
      <c r="D108">
        <v>31.55</v>
      </c>
    </row>
    <row r="109" spans="1:4" x14ac:dyDescent="0.25">
      <c r="A109" t="s">
        <v>1703</v>
      </c>
      <c r="B109" t="s">
        <v>1702</v>
      </c>
      <c r="C109" t="s">
        <v>2652</v>
      </c>
      <c r="D109">
        <v>31.55</v>
      </c>
    </row>
    <row r="110" spans="1:4" x14ac:dyDescent="0.25">
      <c r="A110" t="s">
        <v>1325</v>
      </c>
      <c r="B110" t="s">
        <v>1324</v>
      </c>
      <c r="C110" t="s">
        <v>2652</v>
      </c>
      <c r="D110">
        <v>28.25</v>
      </c>
    </row>
    <row r="111" spans="1:4" x14ac:dyDescent="0.25">
      <c r="A111" t="s">
        <v>2319</v>
      </c>
      <c r="B111" t="s">
        <v>2713</v>
      </c>
      <c r="C111" t="s">
        <v>2652</v>
      </c>
      <c r="D111">
        <v>28.25</v>
      </c>
    </row>
    <row r="112" spans="1:4" x14ac:dyDescent="0.25">
      <c r="A112" t="s">
        <v>1139</v>
      </c>
      <c r="B112" t="s">
        <v>1138</v>
      </c>
      <c r="C112" t="s">
        <v>2654</v>
      </c>
      <c r="D112">
        <v>33.43</v>
      </c>
    </row>
    <row r="113" spans="1:4" x14ac:dyDescent="0.25">
      <c r="A113" t="s">
        <v>915</v>
      </c>
      <c r="B113" t="s">
        <v>2714</v>
      </c>
      <c r="C113" t="s">
        <v>2654</v>
      </c>
      <c r="D113">
        <v>33.43</v>
      </c>
    </row>
    <row r="114" spans="1:4" x14ac:dyDescent="0.25">
      <c r="A114" t="s">
        <v>1588</v>
      </c>
      <c r="B114" t="s">
        <v>1587</v>
      </c>
      <c r="C114" t="s">
        <v>2652</v>
      </c>
      <c r="D114">
        <v>31.55</v>
      </c>
    </row>
    <row r="115" spans="1:4" x14ac:dyDescent="0.25">
      <c r="A115" t="s">
        <v>1091</v>
      </c>
      <c r="B115" t="s">
        <v>1090</v>
      </c>
      <c r="C115" t="s">
        <v>2654</v>
      </c>
      <c r="D115">
        <v>33.43</v>
      </c>
    </row>
    <row r="116" spans="1:4" x14ac:dyDescent="0.25">
      <c r="A116" t="s">
        <v>365</v>
      </c>
      <c r="B116" t="s">
        <v>364</v>
      </c>
      <c r="C116" t="s">
        <v>2680</v>
      </c>
      <c r="D116">
        <v>6500</v>
      </c>
    </row>
    <row r="117" spans="1:4" x14ac:dyDescent="0.25">
      <c r="A117" t="s">
        <v>1777</v>
      </c>
      <c r="B117" t="s">
        <v>1776</v>
      </c>
      <c r="C117" t="s">
        <v>2652</v>
      </c>
      <c r="D117">
        <v>31.55</v>
      </c>
    </row>
    <row r="118" spans="1:4" x14ac:dyDescent="0.25">
      <c r="A118" t="s">
        <v>709</v>
      </c>
      <c r="B118" t="s">
        <v>2715</v>
      </c>
      <c r="C118" t="s">
        <v>2654</v>
      </c>
      <c r="D118">
        <v>33.43</v>
      </c>
    </row>
    <row r="119" spans="1:4" x14ac:dyDescent="0.25">
      <c r="A119" t="s">
        <v>2218</v>
      </c>
      <c r="B119" t="s">
        <v>2217</v>
      </c>
      <c r="C119" t="s">
        <v>2652</v>
      </c>
      <c r="D119">
        <v>31.55</v>
      </c>
    </row>
    <row r="120" spans="1:4" x14ac:dyDescent="0.25">
      <c r="A120" t="s">
        <v>2177</v>
      </c>
      <c r="B120" t="s">
        <v>2716</v>
      </c>
      <c r="C120" t="s">
        <v>2652</v>
      </c>
      <c r="D120">
        <v>28.25</v>
      </c>
    </row>
    <row r="121" spans="1:4" x14ac:dyDescent="0.25">
      <c r="A121" t="s">
        <v>2081</v>
      </c>
      <c r="B121" t="s">
        <v>2080</v>
      </c>
      <c r="C121" t="s">
        <v>2652</v>
      </c>
      <c r="D121">
        <v>31.55</v>
      </c>
    </row>
    <row r="122" spans="1:4" x14ac:dyDescent="0.25">
      <c r="A122" t="s">
        <v>804</v>
      </c>
      <c r="B122" t="s">
        <v>803</v>
      </c>
      <c r="C122" t="s">
        <v>2654</v>
      </c>
      <c r="D122">
        <v>33.43</v>
      </c>
    </row>
    <row r="123" spans="1:4" x14ac:dyDescent="0.25">
      <c r="A123" t="s">
        <v>2717</v>
      </c>
      <c r="B123" t="s">
        <v>2718</v>
      </c>
      <c r="C123" t="s">
        <v>2652</v>
      </c>
      <c r="D123">
        <v>28.25</v>
      </c>
    </row>
    <row r="124" spans="1:4" x14ac:dyDescent="0.25">
      <c r="A124" t="s">
        <v>1616</v>
      </c>
      <c r="B124" t="s">
        <v>1615</v>
      </c>
      <c r="C124" t="s">
        <v>2652</v>
      </c>
      <c r="D124">
        <v>31.55</v>
      </c>
    </row>
    <row r="125" spans="1:4" x14ac:dyDescent="0.25">
      <c r="A125" t="s">
        <v>2253</v>
      </c>
      <c r="B125" t="s">
        <v>2252</v>
      </c>
      <c r="C125" t="s">
        <v>2652</v>
      </c>
      <c r="D125">
        <v>31.55</v>
      </c>
    </row>
    <row r="126" spans="1:4" x14ac:dyDescent="0.25">
      <c r="A126" t="s">
        <v>1368</v>
      </c>
      <c r="B126" t="s">
        <v>1367</v>
      </c>
      <c r="C126" t="s">
        <v>2652</v>
      </c>
      <c r="D126">
        <v>31.55</v>
      </c>
    </row>
    <row r="127" spans="1:4" x14ac:dyDescent="0.25">
      <c r="A127" t="s">
        <v>454</v>
      </c>
      <c r="B127" t="s">
        <v>453</v>
      </c>
      <c r="C127" t="s">
        <v>2698</v>
      </c>
      <c r="D127">
        <v>5500</v>
      </c>
    </row>
    <row r="128" spans="1:4" x14ac:dyDescent="0.25">
      <c r="A128" t="s">
        <v>284</v>
      </c>
      <c r="B128" t="s">
        <v>2719</v>
      </c>
      <c r="C128" t="s">
        <v>2720</v>
      </c>
      <c r="D128">
        <v>9000</v>
      </c>
    </row>
    <row r="129" spans="1:4" x14ac:dyDescent="0.25">
      <c r="A129" t="s">
        <v>1286</v>
      </c>
      <c r="B129" t="s">
        <v>2721</v>
      </c>
      <c r="C129" t="s">
        <v>2652</v>
      </c>
      <c r="D129">
        <v>31.55</v>
      </c>
    </row>
    <row r="130" spans="1:4" x14ac:dyDescent="0.25">
      <c r="A130" t="s">
        <v>563</v>
      </c>
      <c r="B130" t="s">
        <v>2722</v>
      </c>
      <c r="C130" t="s">
        <v>2650</v>
      </c>
      <c r="D130">
        <v>4500</v>
      </c>
    </row>
    <row r="131" spans="1:4" x14ac:dyDescent="0.25">
      <c r="A131" t="s">
        <v>1006</v>
      </c>
      <c r="B131" t="s">
        <v>2723</v>
      </c>
      <c r="C131" t="s">
        <v>2654</v>
      </c>
      <c r="D131">
        <v>33.43</v>
      </c>
    </row>
    <row r="132" spans="1:4" x14ac:dyDescent="0.25">
      <c r="A132" t="s">
        <v>1280</v>
      </c>
      <c r="B132" t="s">
        <v>1279</v>
      </c>
      <c r="C132" t="s">
        <v>2652</v>
      </c>
      <c r="D132">
        <v>31.55</v>
      </c>
    </row>
    <row r="133" spans="1:4" x14ac:dyDescent="0.25">
      <c r="A133" t="s">
        <v>1113</v>
      </c>
      <c r="B133" t="s">
        <v>1112</v>
      </c>
      <c r="C133" t="s">
        <v>2652</v>
      </c>
      <c r="D133">
        <v>31.55</v>
      </c>
    </row>
    <row r="134" spans="1:4" x14ac:dyDescent="0.25">
      <c r="A134" t="s">
        <v>1846</v>
      </c>
      <c r="B134" t="s">
        <v>1845</v>
      </c>
      <c r="C134" t="s">
        <v>2652</v>
      </c>
      <c r="D134">
        <v>28.25</v>
      </c>
    </row>
    <row r="135" spans="1:4" x14ac:dyDescent="0.25">
      <c r="A135" t="s">
        <v>2275</v>
      </c>
      <c r="B135" t="s">
        <v>2274</v>
      </c>
      <c r="C135" t="s">
        <v>2652</v>
      </c>
      <c r="D135">
        <v>31.55</v>
      </c>
    </row>
    <row r="136" spans="1:4" x14ac:dyDescent="0.25">
      <c r="A136" t="s">
        <v>1947</v>
      </c>
      <c r="B136" t="s">
        <v>1946</v>
      </c>
      <c r="C136" t="s">
        <v>2652</v>
      </c>
      <c r="D136">
        <v>31.55</v>
      </c>
    </row>
    <row r="137" spans="1:4" x14ac:dyDescent="0.25">
      <c r="A137" t="s">
        <v>2402</v>
      </c>
      <c r="B137" t="s">
        <v>2401</v>
      </c>
      <c r="C137" t="s">
        <v>2652</v>
      </c>
      <c r="D137">
        <v>31.55</v>
      </c>
    </row>
    <row r="138" spans="1:4" x14ac:dyDescent="0.25">
      <c r="A138" t="s">
        <v>929</v>
      </c>
      <c r="B138" t="s">
        <v>928</v>
      </c>
      <c r="C138" t="s">
        <v>2654</v>
      </c>
      <c r="D138">
        <v>33.43</v>
      </c>
    </row>
    <row r="139" spans="1:4" x14ac:dyDescent="0.25">
      <c r="A139" t="s">
        <v>1709</v>
      </c>
      <c r="B139" t="s">
        <v>1708</v>
      </c>
      <c r="C139" t="s">
        <v>2652</v>
      </c>
      <c r="D139">
        <v>31.55</v>
      </c>
    </row>
    <row r="140" spans="1:4" x14ac:dyDescent="0.25">
      <c r="A140" t="s">
        <v>1691</v>
      </c>
      <c r="B140" t="s">
        <v>1690</v>
      </c>
      <c r="C140" t="s">
        <v>2652</v>
      </c>
      <c r="D140">
        <v>31.55</v>
      </c>
    </row>
    <row r="141" spans="1:4" x14ac:dyDescent="0.25">
      <c r="A141" t="s">
        <v>1374</v>
      </c>
      <c r="B141" t="s">
        <v>1373</v>
      </c>
      <c r="C141" t="s">
        <v>2652</v>
      </c>
      <c r="D141">
        <v>31.55</v>
      </c>
    </row>
    <row r="142" spans="1:4" x14ac:dyDescent="0.25">
      <c r="A142" t="s">
        <v>229</v>
      </c>
      <c r="B142" t="s">
        <v>228</v>
      </c>
      <c r="C142" t="s">
        <v>2671</v>
      </c>
      <c r="D142">
        <v>7500</v>
      </c>
    </row>
    <row r="143" spans="1:4" x14ac:dyDescent="0.25">
      <c r="A143" t="s">
        <v>2058</v>
      </c>
      <c r="B143" t="s">
        <v>2057</v>
      </c>
      <c r="C143" t="s">
        <v>2652</v>
      </c>
      <c r="D143">
        <v>31.55</v>
      </c>
    </row>
    <row r="144" spans="1:4" x14ac:dyDescent="0.25">
      <c r="A144" t="s">
        <v>2724</v>
      </c>
      <c r="B144" t="s">
        <v>2725</v>
      </c>
      <c r="C144" t="s">
        <v>2652</v>
      </c>
      <c r="D144">
        <v>31.55</v>
      </c>
    </row>
    <row r="145" spans="1:4" x14ac:dyDescent="0.25">
      <c r="A145" t="s">
        <v>1321</v>
      </c>
      <c r="B145" t="s">
        <v>1320</v>
      </c>
      <c r="C145" t="s">
        <v>2652</v>
      </c>
      <c r="D145">
        <v>31.55</v>
      </c>
    </row>
    <row r="146" spans="1:4" x14ac:dyDescent="0.25">
      <c r="A146" t="s">
        <v>2054</v>
      </c>
      <c r="B146" t="s">
        <v>2053</v>
      </c>
      <c r="C146" t="s">
        <v>2652</v>
      </c>
      <c r="D146">
        <v>31.55</v>
      </c>
    </row>
    <row r="147" spans="1:4" x14ac:dyDescent="0.25">
      <c r="A147" t="s">
        <v>2191</v>
      </c>
      <c r="B147" t="s">
        <v>2190</v>
      </c>
      <c r="C147" t="s">
        <v>2652</v>
      </c>
      <c r="D147">
        <v>31.55</v>
      </c>
    </row>
    <row r="148" spans="1:4" x14ac:dyDescent="0.25">
      <c r="A148" t="s">
        <v>2726</v>
      </c>
      <c r="B148" t="s">
        <v>2727</v>
      </c>
      <c r="C148" t="s">
        <v>2652</v>
      </c>
      <c r="D148">
        <v>28.25</v>
      </c>
    </row>
    <row r="149" spans="1:4" x14ac:dyDescent="0.25">
      <c r="A149" t="s">
        <v>1651</v>
      </c>
      <c r="B149" t="s">
        <v>1650</v>
      </c>
      <c r="C149" t="s">
        <v>2652</v>
      </c>
      <c r="D149">
        <v>31.55</v>
      </c>
    </row>
    <row r="150" spans="1:4" x14ac:dyDescent="0.25">
      <c r="A150" t="s">
        <v>1838</v>
      </c>
      <c r="B150" t="s">
        <v>1837</v>
      </c>
      <c r="C150" t="s">
        <v>2652</v>
      </c>
      <c r="D150">
        <v>28.25</v>
      </c>
    </row>
    <row r="151" spans="1:4" x14ac:dyDescent="0.25">
      <c r="A151" t="s">
        <v>1918</v>
      </c>
      <c r="B151" t="s">
        <v>1917</v>
      </c>
      <c r="C151" t="s">
        <v>2652</v>
      </c>
      <c r="D151">
        <v>31.55</v>
      </c>
    </row>
    <row r="152" spans="1:4" x14ac:dyDescent="0.25">
      <c r="A152" t="s">
        <v>1105</v>
      </c>
      <c r="B152" t="s">
        <v>1104</v>
      </c>
      <c r="C152" t="s">
        <v>2652</v>
      </c>
      <c r="D152">
        <v>31.55</v>
      </c>
    </row>
    <row r="153" spans="1:4" x14ac:dyDescent="0.25">
      <c r="A153" t="s">
        <v>2259</v>
      </c>
      <c r="B153" t="s">
        <v>2258</v>
      </c>
      <c r="C153" t="s">
        <v>2652</v>
      </c>
      <c r="D153">
        <v>31.55</v>
      </c>
    </row>
    <row r="154" spans="1:4" x14ac:dyDescent="0.25">
      <c r="A154" t="s">
        <v>867</v>
      </c>
      <c r="B154" t="s">
        <v>866</v>
      </c>
      <c r="C154" t="s">
        <v>2654</v>
      </c>
      <c r="D154">
        <v>33.43</v>
      </c>
    </row>
    <row r="155" spans="1:4" x14ac:dyDescent="0.25">
      <c r="A155" t="s">
        <v>218</v>
      </c>
      <c r="B155" t="s">
        <v>217</v>
      </c>
      <c r="C155" t="s">
        <v>2671</v>
      </c>
      <c r="D155">
        <v>7500</v>
      </c>
    </row>
    <row r="156" spans="1:4" x14ac:dyDescent="0.25">
      <c r="A156" t="s">
        <v>1054</v>
      </c>
      <c r="B156" t="s">
        <v>1053</v>
      </c>
      <c r="C156" t="s">
        <v>2654</v>
      </c>
      <c r="D156">
        <v>33.43</v>
      </c>
    </row>
    <row r="157" spans="1:4" x14ac:dyDescent="0.25">
      <c r="A157" t="s">
        <v>2728</v>
      </c>
      <c r="B157" t="s">
        <v>2729</v>
      </c>
      <c r="C157" t="s">
        <v>2654</v>
      </c>
      <c r="D157">
        <v>33.43</v>
      </c>
    </row>
    <row r="158" spans="1:4" x14ac:dyDescent="0.25">
      <c r="A158" t="s">
        <v>1751</v>
      </c>
      <c r="B158" t="s">
        <v>1750</v>
      </c>
      <c r="C158" t="s">
        <v>2654</v>
      </c>
      <c r="D158">
        <v>33.43</v>
      </c>
    </row>
    <row r="159" spans="1:4" x14ac:dyDescent="0.25">
      <c r="A159" t="s">
        <v>955</v>
      </c>
      <c r="B159" t="s">
        <v>2730</v>
      </c>
      <c r="C159" t="s">
        <v>2663</v>
      </c>
      <c r="D159">
        <v>7500</v>
      </c>
    </row>
    <row r="160" spans="1:4" x14ac:dyDescent="0.25">
      <c r="A160" t="s">
        <v>1036</v>
      </c>
      <c r="B160" t="s">
        <v>1035</v>
      </c>
      <c r="C160" t="s">
        <v>2654</v>
      </c>
      <c r="D160">
        <v>33.43</v>
      </c>
    </row>
    <row r="161" spans="1:4" x14ac:dyDescent="0.25">
      <c r="A161" t="s">
        <v>2160</v>
      </c>
      <c r="B161" t="s">
        <v>2159</v>
      </c>
      <c r="C161" t="s">
        <v>2652</v>
      </c>
      <c r="D161">
        <v>31.55</v>
      </c>
    </row>
    <row r="162" spans="1:4" x14ac:dyDescent="0.25">
      <c r="A162" t="s">
        <v>2034</v>
      </c>
      <c r="B162" t="s">
        <v>2033</v>
      </c>
      <c r="C162" t="s">
        <v>2652</v>
      </c>
      <c r="D162">
        <v>28.25</v>
      </c>
    </row>
    <row r="163" spans="1:4" x14ac:dyDescent="0.25">
      <c r="A163" t="s">
        <v>157</v>
      </c>
      <c r="B163" t="s">
        <v>156</v>
      </c>
      <c r="C163" t="s">
        <v>2731</v>
      </c>
      <c r="D163">
        <v>7100</v>
      </c>
    </row>
    <row r="164" spans="1:4" x14ac:dyDescent="0.25">
      <c r="A164" t="s">
        <v>2313</v>
      </c>
      <c r="B164" t="s">
        <v>2312</v>
      </c>
      <c r="C164" t="s">
        <v>2652</v>
      </c>
      <c r="D164">
        <v>28.25</v>
      </c>
    </row>
    <row r="165" spans="1:4" x14ac:dyDescent="0.25">
      <c r="A165" t="s">
        <v>670</v>
      </c>
      <c r="B165" t="s">
        <v>2732</v>
      </c>
      <c r="C165" t="s">
        <v>2656</v>
      </c>
      <c r="D165">
        <v>4800</v>
      </c>
    </row>
    <row r="166" spans="1:4" x14ac:dyDescent="0.25">
      <c r="A166" t="s">
        <v>614</v>
      </c>
      <c r="B166" t="s">
        <v>613</v>
      </c>
      <c r="C166" t="s">
        <v>2733</v>
      </c>
      <c r="D166">
        <v>4200</v>
      </c>
    </row>
    <row r="167" spans="1:4" x14ac:dyDescent="0.25">
      <c r="A167" t="s">
        <v>511</v>
      </c>
      <c r="B167" t="s">
        <v>510</v>
      </c>
      <c r="C167" t="s">
        <v>2650</v>
      </c>
      <c r="D167">
        <v>4500</v>
      </c>
    </row>
    <row r="168" spans="1:4" x14ac:dyDescent="0.25">
      <c r="A168" t="s">
        <v>1447</v>
      </c>
      <c r="B168" t="s">
        <v>2734</v>
      </c>
      <c r="C168" t="s">
        <v>2652</v>
      </c>
      <c r="D168">
        <v>31.55</v>
      </c>
    </row>
    <row r="169" spans="1:4" x14ac:dyDescent="0.25">
      <c r="A169" t="s">
        <v>214</v>
      </c>
      <c r="B169" t="s">
        <v>213</v>
      </c>
      <c r="C169" t="s">
        <v>2735</v>
      </c>
      <c r="D169">
        <v>7500</v>
      </c>
    </row>
    <row r="170" spans="1:4" x14ac:dyDescent="0.25">
      <c r="A170" t="s">
        <v>1127</v>
      </c>
      <c r="B170" t="s">
        <v>1126</v>
      </c>
      <c r="C170" t="s">
        <v>2654</v>
      </c>
      <c r="D170">
        <v>33.43</v>
      </c>
    </row>
    <row r="171" spans="1:4" x14ac:dyDescent="0.25">
      <c r="A171" t="s">
        <v>197</v>
      </c>
      <c r="B171" t="s">
        <v>196</v>
      </c>
      <c r="C171" t="s">
        <v>2736</v>
      </c>
      <c r="D171">
        <v>5100</v>
      </c>
    </row>
    <row r="172" spans="1:4" x14ac:dyDescent="0.25">
      <c r="A172" t="s">
        <v>295</v>
      </c>
      <c r="B172" t="s">
        <v>294</v>
      </c>
      <c r="C172" t="s">
        <v>2720</v>
      </c>
      <c r="D172">
        <v>6500</v>
      </c>
    </row>
    <row r="173" spans="1:4" x14ac:dyDescent="0.25">
      <c r="A173" t="s">
        <v>2170</v>
      </c>
      <c r="B173" t="s">
        <v>2169</v>
      </c>
      <c r="C173" t="s">
        <v>2652</v>
      </c>
      <c r="D173">
        <v>31.55</v>
      </c>
    </row>
    <row r="174" spans="1:4" x14ac:dyDescent="0.25">
      <c r="A174" t="s">
        <v>777</v>
      </c>
      <c r="B174" t="s">
        <v>776</v>
      </c>
      <c r="C174" t="s">
        <v>2652</v>
      </c>
      <c r="D174">
        <v>31.55</v>
      </c>
    </row>
    <row r="175" spans="1:4" x14ac:dyDescent="0.25">
      <c r="A175" t="s">
        <v>515</v>
      </c>
      <c r="B175" t="s">
        <v>514</v>
      </c>
      <c r="C175" t="s">
        <v>2650</v>
      </c>
      <c r="D175">
        <v>4500</v>
      </c>
    </row>
    <row r="176" spans="1:4" x14ac:dyDescent="0.25">
      <c r="A176" t="s">
        <v>2737</v>
      </c>
      <c r="B176" t="s">
        <v>2738</v>
      </c>
      <c r="C176" t="s">
        <v>2654</v>
      </c>
      <c r="D176">
        <v>33.43</v>
      </c>
    </row>
    <row r="177" spans="1:4" x14ac:dyDescent="0.25">
      <c r="A177" t="s">
        <v>733</v>
      </c>
      <c r="B177" t="s">
        <v>732</v>
      </c>
      <c r="C177" t="s">
        <v>2652</v>
      </c>
      <c r="D177">
        <v>31.55</v>
      </c>
    </row>
    <row r="178" spans="1:4" x14ac:dyDescent="0.25">
      <c r="A178" t="s">
        <v>235</v>
      </c>
      <c r="B178" t="s">
        <v>234</v>
      </c>
      <c r="C178" t="s">
        <v>2671</v>
      </c>
      <c r="D178">
        <v>7500</v>
      </c>
    </row>
    <row r="179" spans="1:4" x14ac:dyDescent="0.25">
      <c r="A179" t="s">
        <v>254</v>
      </c>
      <c r="B179" t="s">
        <v>253</v>
      </c>
      <c r="C179" t="s">
        <v>2656</v>
      </c>
      <c r="D179">
        <v>4800</v>
      </c>
    </row>
    <row r="180" spans="1:4" x14ac:dyDescent="0.25">
      <c r="A180" t="s">
        <v>893</v>
      </c>
      <c r="B180" t="s">
        <v>2739</v>
      </c>
      <c r="C180" t="s">
        <v>2654</v>
      </c>
      <c r="D180">
        <v>30.13</v>
      </c>
    </row>
    <row r="181" spans="1:4" x14ac:dyDescent="0.25">
      <c r="A181" t="s">
        <v>2077</v>
      </c>
      <c r="B181" t="s">
        <v>2076</v>
      </c>
      <c r="C181" t="s">
        <v>2652</v>
      </c>
      <c r="D181">
        <v>31.55</v>
      </c>
    </row>
    <row r="182" spans="1:4" x14ac:dyDescent="0.25">
      <c r="A182" t="s">
        <v>2740</v>
      </c>
      <c r="B182" t="s">
        <v>2741</v>
      </c>
      <c r="C182" t="s">
        <v>2698</v>
      </c>
      <c r="D182">
        <v>5500</v>
      </c>
    </row>
    <row r="183" spans="1:4" x14ac:dyDescent="0.25">
      <c r="A183" t="s">
        <v>1242</v>
      </c>
      <c r="B183" t="s">
        <v>1241</v>
      </c>
      <c r="C183" t="s">
        <v>2652</v>
      </c>
      <c r="D183">
        <v>31.55</v>
      </c>
    </row>
    <row r="184" spans="1:4" x14ac:dyDescent="0.25">
      <c r="A184" t="s">
        <v>937</v>
      </c>
      <c r="B184" t="s">
        <v>936</v>
      </c>
      <c r="C184" t="s">
        <v>2654</v>
      </c>
      <c r="D184">
        <v>33.43</v>
      </c>
    </row>
    <row r="185" spans="1:4" x14ac:dyDescent="0.25">
      <c r="A185" t="s">
        <v>2742</v>
      </c>
      <c r="B185" t="s">
        <v>2743</v>
      </c>
      <c r="C185" t="s">
        <v>2652</v>
      </c>
      <c r="D185">
        <v>31.55</v>
      </c>
    </row>
    <row r="186" spans="1:4" x14ac:dyDescent="0.25">
      <c r="A186" t="s">
        <v>2398</v>
      </c>
      <c r="B186" t="s">
        <v>2397</v>
      </c>
      <c r="C186" t="s">
        <v>2652</v>
      </c>
      <c r="D186">
        <v>31.55</v>
      </c>
    </row>
    <row r="187" spans="1:4" x14ac:dyDescent="0.25">
      <c r="A187" t="s">
        <v>1276</v>
      </c>
      <c r="B187" t="s">
        <v>1275</v>
      </c>
      <c r="C187" t="s">
        <v>2652</v>
      </c>
      <c r="D187">
        <v>31.55</v>
      </c>
    </row>
    <row r="188" spans="1:4" x14ac:dyDescent="0.25">
      <c r="A188" t="s">
        <v>403</v>
      </c>
      <c r="B188" t="s">
        <v>402</v>
      </c>
      <c r="C188" t="s">
        <v>2669</v>
      </c>
      <c r="D188">
        <v>6500</v>
      </c>
    </row>
    <row r="189" spans="1:4" x14ac:dyDescent="0.25">
      <c r="A189" t="s">
        <v>1151</v>
      </c>
      <c r="B189" t="s">
        <v>2744</v>
      </c>
      <c r="C189" t="s">
        <v>2654</v>
      </c>
      <c r="D189">
        <v>33.43</v>
      </c>
    </row>
    <row r="190" spans="1:4" x14ac:dyDescent="0.25">
      <c r="A190" t="s">
        <v>2366</v>
      </c>
      <c r="B190" t="s">
        <v>2365</v>
      </c>
      <c r="C190" t="s">
        <v>2652</v>
      </c>
      <c r="D190">
        <v>31.55</v>
      </c>
    </row>
    <row r="191" spans="1:4" x14ac:dyDescent="0.25">
      <c r="A191" t="s">
        <v>2745</v>
      </c>
      <c r="B191" t="s">
        <v>2746</v>
      </c>
      <c r="C191" t="s">
        <v>2654</v>
      </c>
      <c r="D191">
        <v>33.43</v>
      </c>
    </row>
    <row r="192" spans="1:4" x14ac:dyDescent="0.25">
      <c r="A192" t="s">
        <v>767</v>
      </c>
      <c r="B192" t="s">
        <v>766</v>
      </c>
      <c r="C192" t="s">
        <v>2654</v>
      </c>
      <c r="D192">
        <v>33.43</v>
      </c>
    </row>
    <row r="193" spans="1:4" x14ac:dyDescent="0.25">
      <c r="A193" t="s">
        <v>503</v>
      </c>
      <c r="B193" t="s">
        <v>502</v>
      </c>
      <c r="C193" t="s">
        <v>2698</v>
      </c>
      <c r="D193">
        <v>5500</v>
      </c>
    </row>
    <row r="194" spans="1:4" x14ac:dyDescent="0.25">
      <c r="A194" t="s">
        <v>755</v>
      </c>
      <c r="B194" t="s">
        <v>2747</v>
      </c>
      <c r="C194" t="s">
        <v>2652</v>
      </c>
      <c r="D194">
        <v>28.25</v>
      </c>
    </row>
    <row r="195" spans="1:4" x14ac:dyDescent="0.25">
      <c r="A195" t="s">
        <v>517</v>
      </c>
      <c r="B195" t="s">
        <v>2748</v>
      </c>
      <c r="C195" t="s">
        <v>2650</v>
      </c>
      <c r="D195">
        <v>4500</v>
      </c>
    </row>
    <row r="196" spans="1:4" x14ac:dyDescent="0.25">
      <c r="A196" t="s">
        <v>977</v>
      </c>
      <c r="B196" t="s">
        <v>976</v>
      </c>
      <c r="C196" t="s">
        <v>2652</v>
      </c>
      <c r="D196">
        <v>31.55</v>
      </c>
    </row>
    <row r="197" spans="1:4" x14ac:dyDescent="0.25">
      <c r="A197" t="s">
        <v>1565</v>
      </c>
      <c r="B197" t="s">
        <v>1564</v>
      </c>
      <c r="C197" t="s">
        <v>2654</v>
      </c>
      <c r="D197">
        <v>33.43</v>
      </c>
    </row>
    <row r="198" spans="1:4" x14ac:dyDescent="0.25">
      <c r="A198" t="s">
        <v>499</v>
      </c>
      <c r="B198" t="s">
        <v>2749</v>
      </c>
      <c r="C198" t="s">
        <v>2698</v>
      </c>
      <c r="D198">
        <v>5500</v>
      </c>
    </row>
    <row r="199" spans="1:4" x14ac:dyDescent="0.25">
      <c r="A199" t="s">
        <v>1360</v>
      </c>
      <c r="B199" t="s">
        <v>1359</v>
      </c>
      <c r="C199" t="s">
        <v>2652</v>
      </c>
      <c r="D199">
        <v>31.55</v>
      </c>
    </row>
    <row r="200" spans="1:4" x14ac:dyDescent="0.25">
      <c r="A200" t="s">
        <v>2130</v>
      </c>
      <c r="B200" t="s">
        <v>2129</v>
      </c>
      <c r="C200" t="s">
        <v>2652</v>
      </c>
      <c r="D200">
        <v>31.55</v>
      </c>
    </row>
    <row r="201" spans="1:4" x14ac:dyDescent="0.25">
      <c r="A201" t="s">
        <v>622</v>
      </c>
      <c r="B201" t="s">
        <v>621</v>
      </c>
      <c r="C201" t="s">
        <v>2733</v>
      </c>
      <c r="D201">
        <v>4200</v>
      </c>
    </row>
    <row r="202" spans="1:4" x14ac:dyDescent="0.25">
      <c r="A202" t="s">
        <v>2285</v>
      </c>
      <c r="B202" t="s">
        <v>2284</v>
      </c>
      <c r="C202" t="s">
        <v>2652</v>
      </c>
      <c r="D202">
        <v>28.25</v>
      </c>
    </row>
    <row r="203" spans="1:4" x14ac:dyDescent="0.25">
      <c r="A203" t="s">
        <v>1455</v>
      </c>
      <c r="B203" t="s">
        <v>2750</v>
      </c>
      <c r="C203" t="s">
        <v>2652</v>
      </c>
      <c r="D203">
        <v>31.55</v>
      </c>
    </row>
    <row r="204" spans="1:4" x14ac:dyDescent="0.25">
      <c r="A204" t="s">
        <v>869</v>
      </c>
      <c r="B204" t="s">
        <v>868</v>
      </c>
      <c r="C204" t="s">
        <v>2654</v>
      </c>
      <c r="D204">
        <v>33.43</v>
      </c>
    </row>
    <row r="205" spans="1:4" x14ac:dyDescent="0.25">
      <c r="A205" t="s">
        <v>1250</v>
      </c>
      <c r="B205" t="s">
        <v>1249</v>
      </c>
      <c r="C205" t="s">
        <v>2652</v>
      </c>
      <c r="D205">
        <v>31.55</v>
      </c>
    </row>
    <row r="206" spans="1:4" x14ac:dyDescent="0.25">
      <c r="A206" t="s">
        <v>1986</v>
      </c>
      <c r="B206" t="s">
        <v>1985</v>
      </c>
      <c r="C206" t="s">
        <v>2652</v>
      </c>
      <c r="D206">
        <v>31.55</v>
      </c>
    </row>
    <row r="207" spans="1:4" x14ac:dyDescent="0.25">
      <c r="A207" t="s">
        <v>1396</v>
      </c>
      <c r="B207" t="s">
        <v>1395</v>
      </c>
      <c r="C207" t="s">
        <v>2652</v>
      </c>
      <c r="D207">
        <v>31.55</v>
      </c>
    </row>
    <row r="208" spans="1:4" x14ac:dyDescent="0.25">
      <c r="A208" t="s">
        <v>385</v>
      </c>
      <c r="B208" t="s">
        <v>384</v>
      </c>
      <c r="C208" t="s">
        <v>2680</v>
      </c>
      <c r="D208">
        <v>6500</v>
      </c>
    </row>
    <row r="209" spans="1:4" x14ac:dyDescent="0.25">
      <c r="A209" t="s">
        <v>2220</v>
      </c>
      <c r="B209" t="s">
        <v>2219</v>
      </c>
      <c r="C209" t="s">
        <v>2652</v>
      </c>
      <c r="D209">
        <v>31.55</v>
      </c>
    </row>
    <row r="210" spans="1:4" x14ac:dyDescent="0.25">
      <c r="A210" t="s">
        <v>2751</v>
      </c>
      <c r="B210" t="s">
        <v>2752</v>
      </c>
      <c r="C210" t="s">
        <v>2652</v>
      </c>
      <c r="D210">
        <v>31.55</v>
      </c>
    </row>
    <row r="211" spans="1:4" x14ac:dyDescent="0.25">
      <c r="A211" t="s">
        <v>2753</v>
      </c>
      <c r="B211" t="s">
        <v>2754</v>
      </c>
      <c r="C211" t="s">
        <v>2652</v>
      </c>
      <c r="D211">
        <v>31.55</v>
      </c>
    </row>
    <row r="212" spans="1:4" x14ac:dyDescent="0.25">
      <c r="A212" t="s">
        <v>1842</v>
      </c>
      <c r="B212" t="s">
        <v>2755</v>
      </c>
      <c r="C212" t="s">
        <v>2652</v>
      </c>
      <c r="D212">
        <v>28.25</v>
      </c>
    </row>
    <row r="213" spans="1:4" x14ac:dyDescent="0.25">
      <c r="A213" t="s">
        <v>1131</v>
      </c>
      <c r="B213" t="s">
        <v>1130</v>
      </c>
      <c r="C213" t="s">
        <v>2654</v>
      </c>
      <c r="D213">
        <v>33.43</v>
      </c>
    </row>
    <row r="214" spans="1:4" x14ac:dyDescent="0.25">
      <c r="A214" t="s">
        <v>2193</v>
      </c>
      <c r="B214" t="s">
        <v>2192</v>
      </c>
      <c r="C214" t="s">
        <v>2652</v>
      </c>
      <c r="D214">
        <v>31.55</v>
      </c>
    </row>
    <row r="215" spans="1:4" x14ac:dyDescent="0.25">
      <c r="A215" t="s">
        <v>909</v>
      </c>
      <c r="B215" t="s">
        <v>908</v>
      </c>
      <c r="C215" t="s">
        <v>2654</v>
      </c>
      <c r="D215">
        <v>33.43</v>
      </c>
    </row>
    <row r="216" spans="1:4" x14ac:dyDescent="0.25">
      <c r="A216" t="s">
        <v>1548</v>
      </c>
      <c r="B216" t="s">
        <v>1547</v>
      </c>
      <c r="C216" t="s">
        <v>2652</v>
      </c>
      <c r="D216">
        <v>31.55</v>
      </c>
    </row>
    <row r="217" spans="1:4" x14ac:dyDescent="0.25">
      <c r="A217" t="s">
        <v>488</v>
      </c>
      <c r="B217" t="s">
        <v>487</v>
      </c>
      <c r="C217" t="s">
        <v>2756</v>
      </c>
      <c r="D217">
        <v>4800</v>
      </c>
    </row>
    <row r="218" spans="1:4" x14ac:dyDescent="0.25">
      <c r="A218" t="s">
        <v>2757</v>
      </c>
      <c r="B218" t="s">
        <v>2758</v>
      </c>
      <c r="C218" t="s">
        <v>2654</v>
      </c>
      <c r="D218">
        <v>33.43</v>
      </c>
    </row>
    <row r="219" spans="1:4" x14ac:dyDescent="0.25">
      <c r="A219" t="s">
        <v>2332</v>
      </c>
      <c r="B219" t="s">
        <v>2331</v>
      </c>
      <c r="C219" t="s">
        <v>2652</v>
      </c>
      <c r="D219">
        <v>31.55</v>
      </c>
    </row>
    <row r="220" spans="1:4" x14ac:dyDescent="0.25">
      <c r="A220" t="s">
        <v>2759</v>
      </c>
      <c r="B220" t="s">
        <v>2760</v>
      </c>
      <c r="C220" t="s">
        <v>2761</v>
      </c>
      <c r="D220">
        <v>6500</v>
      </c>
    </row>
    <row r="221" spans="1:4" x14ac:dyDescent="0.25">
      <c r="A221" t="s">
        <v>2107</v>
      </c>
      <c r="B221" t="s">
        <v>2106</v>
      </c>
      <c r="C221" t="s">
        <v>2652</v>
      </c>
      <c r="D221">
        <v>31.55</v>
      </c>
    </row>
    <row r="222" spans="1:4" x14ac:dyDescent="0.25">
      <c r="A222" t="s">
        <v>480</v>
      </c>
      <c r="B222" t="s">
        <v>479</v>
      </c>
      <c r="C222" t="s">
        <v>2698</v>
      </c>
      <c r="D222">
        <v>5500</v>
      </c>
    </row>
    <row r="223" spans="1:4" x14ac:dyDescent="0.25">
      <c r="A223" t="s">
        <v>523</v>
      </c>
      <c r="B223" t="s">
        <v>522</v>
      </c>
      <c r="C223" t="s">
        <v>2650</v>
      </c>
      <c r="D223">
        <v>4500</v>
      </c>
    </row>
    <row r="224" spans="1:4" x14ac:dyDescent="0.25">
      <c r="A224" t="s">
        <v>1153</v>
      </c>
      <c r="B224" t="s">
        <v>1152</v>
      </c>
      <c r="C224" t="s">
        <v>2654</v>
      </c>
      <c r="D224">
        <v>33.43</v>
      </c>
    </row>
    <row r="225" spans="1:4" x14ac:dyDescent="0.25">
      <c r="A225" t="s">
        <v>391</v>
      </c>
      <c r="B225" t="s">
        <v>390</v>
      </c>
      <c r="C225" t="s">
        <v>2680</v>
      </c>
      <c r="D225">
        <v>6500</v>
      </c>
    </row>
    <row r="226" spans="1:4" x14ac:dyDescent="0.25">
      <c r="A226" t="s">
        <v>152</v>
      </c>
      <c r="B226" t="s">
        <v>151</v>
      </c>
      <c r="C226" t="s">
        <v>2652</v>
      </c>
      <c r="D226">
        <v>28.25</v>
      </c>
    </row>
    <row r="227" spans="1:4" x14ac:dyDescent="0.25">
      <c r="A227" t="s">
        <v>555</v>
      </c>
      <c r="B227" t="s">
        <v>2762</v>
      </c>
      <c r="C227" t="s">
        <v>2650</v>
      </c>
      <c r="D227">
        <v>4500</v>
      </c>
    </row>
    <row r="228" spans="1:4" x14ac:dyDescent="0.25">
      <c r="A228" t="s">
        <v>2763</v>
      </c>
      <c r="B228" t="s">
        <v>2764</v>
      </c>
      <c r="C228" t="s">
        <v>2652</v>
      </c>
      <c r="D228">
        <v>28.25</v>
      </c>
    </row>
    <row r="229" spans="1:4" x14ac:dyDescent="0.25">
      <c r="A229" t="s">
        <v>2441</v>
      </c>
      <c r="B229" t="s">
        <v>2440</v>
      </c>
      <c r="C229" t="s">
        <v>2652</v>
      </c>
      <c r="D229">
        <v>28.25</v>
      </c>
    </row>
    <row r="230" spans="1:4" x14ac:dyDescent="0.25">
      <c r="A230" t="s">
        <v>2765</v>
      </c>
      <c r="B230" t="s">
        <v>2766</v>
      </c>
      <c r="C230" t="s">
        <v>2675</v>
      </c>
      <c r="D230">
        <v>4000</v>
      </c>
    </row>
    <row r="231" spans="1:4" x14ac:dyDescent="0.25">
      <c r="A231" t="s">
        <v>2767</v>
      </c>
      <c r="B231" t="s">
        <v>2768</v>
      </c>
      <c r="C231" t="s">
        <v>2652</v>
      </c>
      <c r="D231">
        <v>31.55</v>
      </c>
    </row>
    <row r="232" spans="1:4" x14ac:dyDescent="0.25">
      <c r="A232" t="s">
        <v>567</v>
      </c>
      <c r="B232" t="s">
        <v>566</v>
      </c>
      <c r="C232" t="s">
        <v>2650</v>
      </c>
      <c r="D232">
        <v>4500</v>
      </c>
    </row>
    <row r="233" spans="1:4" x14ac:dyDescent="0.25">
      <c r="A233" t="s">
        <v>1451</v>
      </c>
      <c r="B233" t="s">
        <v>2769</v>
      </c>
      <c r="C233" t="s">
        <v>2652</v>
      </c>
      <c r="D233">
        <v>28.25</v>
      </c>
    </row>
    <row r="234" spans="1:4" x14ac:dyDescent="0.25">
      <c r="A234" t="s">
        <v>2097</v>
      </c>
      <c r="B234" t="s">
        <v>2096</v>
      </c>
      <c r="C234" t="s">
        <v>2652</v>
      </c>
      <c r="D234">
        <v>31.55</v>
      </c>
    </row>
    <row r="235" spans="1:4" x14ac:dyDescent="0.25">
      <c r="A235" t="s">
        <v>2237</v>
      </c>
      <c r="B235" t="s">
        <v>2770</v>
      </c>
      <c r="C235" t="s">
        <v>2652</v>
      </c>
      <c r="D235">
        <v>31.55</v>
      </c>
    </row>
    <row r="236" spans="1:4" x14ac:dyDescent="0.25">
      <c r="A236" t="s">
        <v>1190</v>
      </c>
      <c r="B236" t="s">
        <v>2771</v>
      </c>
      <c r="C236" t="s">
        <v>2652</v>
      </c>
      <c r="D236">
        <v>31.55</v>
      </c>
    </row>
    <row r="237" spans="1:4" x14ac:dyDescent="0.25">
      <c r="A237" t="s">
        <v>2772</v>
      </c>
      <c r="B237" t="s">
        <v>2773</v>
      </c>
      <c r="C237" t="s">
        <v>2652</v>
      </c>
      <c r="D237">
        <v>28.25</v>
      </c>
    </row>
    <row r="238" spans="1:4" x14ac:dyDescent="0.25">
      <c r="A238" t="s">
        <v>458</v>
      </c>
      <c r="B238" t="s">
        <v>457</v>
      </c>
      <c r="C238" t="s">
        <v>2698</v>
      </c>
      <c r="D238">
        <v>5500</v>
      </c>
    </row>
    <row r="239" spans="1:4" x14ac:dyDescent="0.25">
      <c r="A239" t="s">
        <v>1083</v>
      </c>
      <c r="B239" t="s">
        <v>1082</v>
      </c>
      <c r="C239" t="s">
        <v>2654</v>
      </c>
      <c r="D239">
        <v>33.43</v>
      </c>
    </row>
    <row r="240" spans="1:4" x14ac:dyDescent="0.25">
      <c r="A240" t="s">
        <v>1482</v>
      </c>
      <c r="B240" t="s">
        <v>1481</v>
      </c>
      <c r="C240" t="s">
        <v>2652</v>
      </c>
      <c r="D240">
        <v>31.55</v>
      </c>
    </row>
    <row r="241" spans="1:4" x14ac:dyDescent="0.25">
      <c r="A241" t="s">
        <v>791</v>
      </c>
      <c r="B241" t="s">
        <v>790</v>
      </c>
      <c r="C241" t="s">
        <v>2652</v>
      </c>
      <c r="D241">
        <v>31.55</v>
      </c>
    </row>
    <row r="242" spans="1:4" x14ac:dyDescent="0.25">
      <c r="A242" t="s">
        <v>2423</v>
      </c>
      <c r="B242" t="s">
        <v>2422</v>
      </c>
      <c r="C242" t="s">
        <v>2652</v>
      </c>
      <c r="D242">
        <v>28.25</v>
      </c>
    </row>
    <row r="243" spans="1:4" x14ac:dyDescent="0.25">
      <c r="A243" t="s">
        <v>1799</v>
      </c>
      <c r="B243" t="s">
        <v>1798</v>
      </c>
      <c r="C243" t="s">
        <v>2652</v>
      </c>
      <c r="D243">
        <v>28.25</v>
      </c>
    </row>
    <row r="244" spans="1:4" x14ac:dyDescent="0.25">
      <c r="A244" t="s">
        <v>1238</v>
      </c>
      <c r="B244" t="s">
        <v>1237</v>
      </c>
      <c r="C244" t="s">
        <v>2652</v>
      </c>
      <c r="D244">
        <v>28.25</v>
      </c>
    </row>
    <row r="245" spans="1:4" x14ac:dyDescent="0.25">
      <c r="A245" t="s">
        <v>676</v>
      </c>
      <c r="B245" t="s">
        <v>2774</v>
      </c>
      <c r="C245" t="s">
        <v>2656</v>
      </c>
      <c r="D245">
        <v>4800</v>
      </c>
    </row>
    <row r="246" spans="1:4" x14ac:dyDescent="0.25">
      <c r="A246" t="s">
        <v>2418</v>
      </c>
      <c r="B246" t="s">
        <v>2417</v>
      </c>
      <c r="C246" t="s">
        <v>2652</v>
      </c>
      <c r="D246">
        <v>28.25</v>
      </c>
    </row>
    <row r="247" spans="1:4" x14ac:dyDescent="0.25">
      <c r="A247" t="s">
        <v>793</v>
      </c>
      <c r="B247" t="s">
        <v>792</v>
      </c>
      <c r="C247" t="s">
        <v>2663</v>
      </c>
      <c r="D247">
        <v>7500</v>
      </c>
    </row>
    <row r="248" spans="1:4" x14ac:dyDescent="0.25">
      <c r="A248" t="s">
        <v>1701</v>
      </c>
      <c r="B248" t="s">
        <v>1700</v>
      </c>
      <c r="C248" t="s">
        <v>2652</v>
      </c>
      <c r="D248">
        <v>28.25</v>
      </c>
    </row>
    <row r="249" spans="1:4" x14ac:dyDescent="0.25">
      <c r="A249" t="s">
        <v>2775</v>
      </c>
      <c r="B249" t="s">
        <v>2776</v>
      </c>
      <c r="C249" t="s">
        <v>2654</v>
      </c>
      <c r="D249">
        <v>33.43</v>
      </c>
    </row>
    <row r="250" spans="1:4" x14ac:dyDescent="0.25">
      <c r="A250" t="s">
        <v>1012</v>
      </c>
      <c r="B250" t="s">
        <v>1011</v>
      </c>
      <c r="C250" t="s">
        <v>2654</v>
      </c>
      <c r="D250">
        <v>33.43</v>
      </c>
    </row>
    <row r="251" spans="1:4" x14ac:dyDescent="0.25">
      <c r="A251" t="s">
        <v>2445</v>
      </c>
      <c r="B251" t="s">
        <v>2444</v>
      </c>
      <c r="C251" t="s">
        <v>2652</v>
      </c>
      <c r="D251">
        <v>28.25</v>
      </c>
    </row>
    <row r="252" spans="1:4" x14ac:dyDescent="0.25">
      <c r="A252" t="s">
        <v>1584</v>
      </c>
      <c r="B252" t="s">
        <v>1583</v>
      </c>
      <c r="C252" t="s">
        <v>2652</v>
      </c>
      <c r="D252">
        <v>31.55</v>
      </c>
    </row>
    <row r="253" spans="1:4" x14ac:dyDescent="0.25">
      <c r="A253" t="s">
        <v>2189</v>
      </c>
      <c r="B253" t="s">
        <v>2188</v>
      </c>
      <c r="C253" t="s">
        <v>2652</v>
      </c>
      <c r="D253">
        <v>31.55</v>
      </c>
    </row>
    <row r="254" spans="1:4" x14ac:dyDescent="0.25">
      <c r="A254" t="s">
        <v>2249</v>
      </c>
      <c r="B254" t="s">
        <v>2248</v>
      </c>
      <c r="C254" t="s">
        <v>2652</v>
      </c>
      <c r="D254">
        <v>31.55</v>
      </c>
    </row>
    <row r="255" spans="1:4" x14ac:dyDescent="0.25">
      <c r="A255" t="s">
        <v>1941</v>
      </c>
      <c r="B255" t="s">
        <v>1940</v>
      </c>
      <c r="C255" t="s">
        <v>2652</v>
      </c>
      <c r="D255">
        <v>31.55</v>
      </c>
    </row>
    <row r="256" spans="1:4" x14ac:dyDescent="0.25">
      <c r="A256" t="s">
        <v>1121</v>
      </c>
      <c r="B256" t="s">
        <v>1120</v>
      </c>
      <c r="C256" t="s">
        <v>2652</v>
      </c>
      <c r="D256">
        <v>31.55</v>
      </c>
    </row>
    <row r="257" spans="1:4" x14ac:dyDescent="0.25">
      <c r="A257" t="s">
        <v>1967</v>
      </c>
      <c r="B257" t="s">
        <v>1966</v>
      </c>
      <c r="C257" t="s">
        <v>2654</v>
      </c>
      <c r="D257">
        <v>33.43</v>
      </c>
    </row>
    <row r="258" spans="1:4" x14ac:dyDescent="0.25">
      <c r="A258" t="s">
        <v>1062</v>
      </c>
      <c r="B258" t="s">
        <v>2777</v>
      </c>
      <c r="C258" t="s">
        <v>2654</v>
      </c>
      <c r="D258">
        <v>33.43</v>
      </c>
    </row>
    <row r="259" spans="1:4" x14ac:dyDescent="0.25">
      <c r="A259" t="s">
        <v>1186</v>
      </c>
      <c r="B259" t="s">
        <v>1185</v>
      </c>
      <c r="C259" t="s">
        <v>2663</v>
      </c>
      <c r="D259">
        <v>7500</v>
      </c>
    </row>
    <row r="260" spans="1:4" x14ac:dyDescent="0.25">
      <c r="A260" t="s">
        <v>1711</v>
      </c>
      <c r="B260" t="s">
        <v>1710</v>
      </c>
      <c r="C260" t="s">
        <v>2652</v>
      </c>
      <c r="D260">
        <v>31.55</v>
      </c>
    </row>
    <row r="261" spans="1:4" x14ac:dyDescent="0.25">
      <c r="A261" t="s">
        <v>155</v>
      </c>
      <c r="B261" t="s">
        <v>2778</v>
      </c>
      <c r="C261" t="s">
        <v>2652</v>
      </c>
      <c r="D261">
        <v>28.25</v>
      </c>
    </row>
    <row r="262" spans="1:4" x14ac:dyDescent="0.25">
      <c r="A262" t="s">
        <v>2101</v>
      </c>
      <c r="B262" t="s">
        <v>2100</v>
      </c>
      <c r="C262" t="s">
        <v>2652</v>
      </c>
      <c r="D262">
        <v>31.55</v>
      </c>
    </row>
    <row r="263" spans="1:4" x14ac:dyDescent="0.25">
      <c r="A263" t="s">
        <v>1854</v>
      </c>
      <c r="B263" t="s">
        <v>1853</v>
      </c>
      <c r="C263" t="s">
        <v>2652</v>
      </c>
      <c r="D263">
        <v>31.55</v>
      </c>
    </row>
    <row r="264" spans="1:4" x14ac:dyDescent="0.25">
      <c r="A264" t="s">
        <v>1149</v>
      </c>
      <c r="B264" t="s">
        <v>1148</v>
      </c>
      <c r="C264" t="s">
        <v>2652</v>
      </c>
      <c r="D264">
        <v>31.55</v>
      </c>
    </row>
    <row r="265" spans="1:4" x14ac:dyDescent="0.25">
      <c r="A265" t="s">
        <v>849</v>
      </c>
      <c r="B265" t="s">
        <v>848</v>
      </c>
      <c r="C265" t="s">
        <v>2654</v>
      </c>
      <c r="D265">
        <v>33.43</v>
      </c>
    </row>
    <row r="266" spans="1:4" x14ac:dyDescent="0.25">
      <c r="A266" t="s">
        <v>2126</v>
      </c>
      <c r="B266" t="s">
        <v>2125</v>
      </c>
      <c r="C266" t="s">
        <v>2652</v>
      </c>
      <c r="D266">
        <v>31.55</v>
      </c>
    </row>
    <row r="267" spans="1:4" x14ac:dyDescent="0.25">
      <c r="A267" t="s">
        <v>2245</v>
      </c>
      <c r="B267" t="s">
        <v>2244</v>
      </c>
      <c r="C267" t="s">
        <v>2652</v>
      </c>
      <c r="D267">
        <v>31.55</v>
      </c>
    </row>
    <row r="268" spans="1:4" x14ac:dyDescent="0.25">
      <c r="A268" t="s">
        <v>1604</v>
      </c>
      <c r="B268" t="s">
        <v>1603</v>
      </c>
      <c r="C268" t="s">
        <v>2652</v>
      </c>
      <c r="D268">
        <v>31.55</v>
      </c>
    </row>
    <row r="269" spans="1:4" x14ac:dyDescent="0.25">
      <c r="A269" t="s">
        <v>2079</v>
      </c>
      <c r="B269" t="s">
        <v>2078</v>
      </c>
      <c r="C269" t="s">
        <v>2652</v>
      </c>
      <c r="D269">
        <v>31.55</v>
      </c>
    </row>
    <row r="270" spans="1:4" x14ac:dyDescent="0.25">
      <c r="A270" t="s">
        <v>1427</v>
      </c>
      <c r="B270" t="s">
        <v>1426</v>
      </c>
      <c r="C270" t="s">
        <v>2652</v>
      </c>
      <c r="D270">
        <v>31.55</v>
      </c>
    </row>
    <row r="271" spans="1:4" x14ac:dyDescent="0.25">
      <c r="A271" t="s">
        <v>861</v>
      </c>
      <c r="B271" t="s">
        <v>860</v>
      </c>
      <c r="C271" t="s">
        <v>2654</v>
      </c>
      <c r="D271">
        <v>30.13</v>
      </c>
    </row>
    <row r="272" spans="1:4" x14ac:dyDescent="0.25">
      <c r="A272" t="s">
        <v>1298</v>
      </c>
      <c r="B272" t="s">
        <v>1297</v>
      </c>
      <c r="C272" t="s">
        <v>2652</v>
      </c>
      <c r="D272">
        <v>31.55</v>
      </c>
    </row>
    <row r="273" spans="1:4" x14ac:dyDescent="0.25">
      <c r="A273" t="s">
        <v>1468</v>
      </c>
      <c r="B273" t="s">
        <v>2779</v>
      </c>
      <c r="C273" t="s">
        <v>2663</v>
      </c>
      <c r="D273">
        <v>7500</v>
      </c>
    </row>
    <row r="274" spans="1:4" x14ac:dyDescent="0.25">
      <c r="A274" t="s">
        <v>1852</v>
      </c>
      <c r="B274" t="s">
        <v>1851</v>
      </c>
      <c r="C274" t="s">
        <v>2652</v>
      </c>
      <c r="D274">
        <v>31.55</v>
      </c>
    </row>
    <row r="275" spans="1:4" x14ac:dyDescent="0.25">
      <c r="A275" t="s">
        <v>840</v>
      </c>
      <c r="B275" t="s">
        <v>839</v>
      </c>
      <c r="C275" t="s">
        <v>2654</v>
      </c>
      <c r="D275">
        <v>33.43</v>
      </c>
    </row>
    <row r="276" spans="1:4" x14ac:dyDescent="0.25">
      <c r="A276" t="s">
        <v>1178</v>
      </c>
      <c r="B276" t="s">
        <v>2780</v>
      </c>
      <c r="C276" t="s">
        <v>2652</v>
      </c>
      <c r="D276">
        <v>31.55</v>
      </c>
    </row>
    <row r="277" spans="1:4" x14ac:dyDescent="0.25">
      <c r="A277" t="s">
        <v>2781</v>
      </c>
      <c r="B277" t="s">
        <v>2782</v>
      </c>
      <c r="C277" t="s">
        <v>2652</v>
      </c>
      <c r="D277">
        <v>28.25</v>
      </c>
    </row>
    <row r="278" spans="1:4" x14ac:dyDescent="0.25">
      <c r="A278" t="s">
        <v>1048</v>
      </c>
      <c r="B278" t="s">
        <v>1047</v>
      </c>
      <c r="C278" t="s">
        <v>2654</v>
      </c>
      <c r="D278">
        <v>33.43</v>
      </c>
    </row>
    <row r="279" spans="1:4" x14ac:dyDescent="0.25">
      <c r="A279" t="s">
        <v>1499</v>
      </c>
      <c r="B279" t="s">
        <v>1498</v>
      </c>
      <c r="C279" t="s">
        <v>2652</v>
      </c>
      <c r="D279">
        <v>31.55</v>
      </c>
    </row>
    <row r="280" spans="1:4" x14ac:dyDescent="0.25">
      <c r="A280" t="s">
        <v>845</v>
      </c>
      <c r="B280" t="s">
        <v>2783</v>
      </c>
      <c r="C280" t="s">
        <v>2654</v>
      </c>
      <c r="D280">
        <v>33.43</v>
      </c>
    </row>
    <row r="281" spans="1:4" x14ac:dyDescent="0.25">
      <c r="A281" t="s">
        <v>476</v>
      </c>
      <c r="B281" t="s">
        <v>2784</v>
      </c>
      <c r="C281" t="s">
        <v>2698</v>
      </c>
      <c r="D281">
        <v>5500</v>
      </c>
    </row>
    <row r="282" spans="1:4" x14ac:dyDescent="0.25">
      <c r="A282" t="s">
        <v>1356</v>
      </c>
      <c r="B282" t="s">
        <v>1355</v>
      </c>
      <c r="C282" t="s">
        <v>2652</v>
      </c>
      <c r="D282">
        <v>31.55</v>
      </c>
    </row>
    <row r="283" spans="1:4" x14ac:dyDescent="0.25">
      <c r="A283" t="s">
        <v>399</v>
      </c>
      <c r="B283" t="s">
        <v>2785</v>
      </c>
      <c r="C283" t="s">
        <v>2680</v>
      </c>
      <c r="D283">
        <v>6500</v>
      </c>
    </row>
    <row r="284" spans="1:4" x14ac:dyDescent="0.25">
      <c r="A284" t="s">
        <v>987</v>
      </c>
      <c r="B284" t="s">
        <v>986</v>
      </c>
      <c r="C284" t="s">
        <v>2654</v>
      </c>
      <c r="D284">
        <v>33.43</v>
      </c>
    </row>
    <row r="285" spans="1:4" x14ac:dyDescent="0.25">
      <c r="A285" t="s">
        <v>1870</v>
      </c>
      <c r="B285" t="s">
        <v>1869</v>
      </c>
      <c r="C285" t="s">
        <v>2652</v>
      </c>
      <c r="D285">
        <v>28.25</v>
      </c>
    </row>
    <row r="286" spans="1:4" x14ac:dyDescent="0.25">
      <c r="A286" t="s">
        <v>1044</v>
      </c>
      <c r="B286" t="s">
        <v>1043</v>
      </c>
      <c r="C286" t="s">
        <v>2654</v>
      </c>
      <c r="D286">
        <v>33.43</v>
      </c>
    </row>
    <row r="287" spans="1:4" x14ac:dyDescent="0.25">
      <c r="A287" t="s">
        <v>1125</v>
      </c>
      <c r="B287" t="s">
        <v>2786</v>
      </c>
      <c r="C287" t="s">
        <v>2654</v>
      </c>
      <c r="D287">
        <v>33.43</v>
      </c>
    </row>
    <row r="288" spans="1:4" x14ac:dyDescent="0.25">
      <c r="A288" t="s">
        <v>2787</v>
      </c>
      <c r="B288" t="s">
        <v>2788</v>
      </c>
      <c r="C288" t="s">
        <v>2652</v>
      </c>
      <c r="D288">
        <v>31.55</v>
      </c>
    </row>
    <row r="289" spans="1:4" x14ac:dyDescent="0.25">
      <c r="A289" t="s">
        <v>2789</v>
      </c>
      <c r="B289" t="s">
        <v>2790</v>
      </c>
      <c r="C289" t="s">
        <v>2652</v>
      </c>
      <c r="D289">
        <v>28.25</v>
      </c>
    </row>
    <row r="290" spans="1:4" x14ac:dyDescent="0.25">
      <c r="A290" t="s">
        <v>973</v>
      </c>
      <c r="B290" t="s">
        <v>972</v>
      </c>
      <c r="C290" t="s">
        <v>2654</v>
      </c>
      <c r="D290">
        <v>33.43</v>
      </c>
    </row>
    <row r="291" spans="1:4" x14ac:dyDescent="0.25">
      <c r="A291" t="s">
        <v>1912</v>
      </c>
      <c r="B291" t="s">
        <v>1911</v>
      </c>
      <c r="C291" t="s">
        <v>2652</v>
      </c>
      <c r="D291">
        <v>31.55</v>
      </c>
    </row>
    <row r="292" spans="1:4" x14ac:dyDescent="0.25">
      <c r="A292" t="s">
        <v>405</v>
      </c>
      <c r="B292" t="s">
        <v>404</v>
      </c>
      <c r="C292" t="s">
        <v>2680</v>
      </c>
      <c r="D292">
        <v>6500</v>
      </c>
    </row>
    <row r="293" spans="1:4" x14ac:dyDescent="0.25">
      <c r="A293" t="s">
        <v>2099</v>
      </c>
      <c r="B293" t="s">
        <v>2098</v>
      </c>
      <c r="C293" t="s">
        <v>2652</v>
      </c>
      <c r="D293">
        <v>31.55</v>
      </c>
    </row>
    <row r="294" spans="1:4" x14ac:dyDescent="0.25">
      <c r="A294" t="s">
        <v>1335</v>
      </c>
      <c r="B294" t="s">
        <v>1334</v>
      </c>
      <c r="C294" t="s">
        <v>2652</v>
      </c>
      <c r="D294">
        <v>31.55</v>
      </c>
    </row>
    <row r="295" spans="1:4" x14ac:dyDescent="0.25">
      <c r="A295" t="s">
        <v>903</v>
      </c>
      <c r="B295" t="s">
        <v>902</v>
      </c>
      <c r="C295" t="s">
        <v>2654</v>
      </c>
      <c r="D295">
        <v>33.43</v>
      </c>
    </row>
    <row r="296" spans="1:4" x14ac:dyDescent="0.25">
      <c r="A296" t="s">
        <v>2142</v>
      </c>
      <c r="B296" t="s">
        <v>2791</v>
      </c>
      <c r="C296" t="s">
        <v>2652</v>
      </c>
      <c r="D296">
        <v>31.55</v>
      </c>
    </row>
    <row r="297" spans="1:4" x14ac:dyDescent="0.25">
      <c r="A297" t="s">
        <v>919</v>
      </c>
      <c r="B297" t="s">
        <v>2792</v>
      </c>
      <c r="C297" t="s">
        <v>2654</v>
      </c>
      <c r="D297">
        <v>33.43</v>
      </c>
    </row>
    <row r="298" spans="1:4" x14ac:dyDescent="0.25">
      <c r="A298" t="s">
        <v>715</v>
      </c>
      <c r="B298" t="s">
        <v>714</v>
      </c>
      <c r="C298" t="s">
        <v>2654</v>
      </c>
      <c r="D298">
        <v>33.43</v>
      </c>
    </row>
    <row r="299" spans="1:4" x14ac:dyDescent="0.25">
      <c r="A299" t="s">
        <v>1472</v>
      </c>
      <c r="B299" t="s">
        <v>1471</v>
      </c>
      <c r="C299" t="s">
        <v>2652</v>
      </c>
      <c r="D299">
        <v>31.55</v>
      </c>
    </row>
    <row r="300" spans="1:4" x14ac:dyDescent="0.25">
      <c r="A300" t="s">
        <v>595</v>
      </c>
      <c r="B300" t="s">
        <v>594</v>
      </c>
      <c r="C300" t="s">
        <v>2650</v>
      </c>
      <c r="D300">
        <v>4500</v>
      </c>
    </row>
    <row r="301" spans="1:4" x14ac:dyDescent="0.25">
      <c r="A301" t="s">
        <v>2793</v>
      </c>
      <c r="B301" t="s">
        <v>2794</v>
      </c>
      <c r="C301" t="s">
        <v>2650</v>
      </c>
      <c r="D301">
        <v>4500</v>
      </c>
    </row>
    <row r="302" spans="1:4" x14ac:dyDescent="0.25">
      <c r="A302" t="s">
        <v>1382</v>
      </c>
      <c r="B302" t="s">
        <v>1381</v>
      </c>
      <c r="C302" t="s">
        <v>2652</v>
      </c>
      <c r="D302">
        <v>31.55</v>
      </c>
    </row>
    <row r="303" spans="1:4" x14ac:dyDescent="0.25">
      <c r="A303" t="s">
        <v>2795</v>
      </c>
      <c r="B303" t="s">
        <v>2796</v>
      </c>
      <c r="C303" t="s">
        <v>2652</v>
      </c>
      <c r="D303">
        <v>31.55</v>
      </c>
    </row>
    <row r="304" spans="1:4" x14ac:dyDescent="0.25">
      <c r="A304" t="s">
        <v>2416</v>
      </c>
      <c r="B304" t="s">
        <v>2415</v>
      </c>
      <c r="C304" t="s">
        <v>2652</v>
      </c>
      <c r="D304">
        <v>31.55</v>
      </c>
    </row>
    <row r="305" spans="1:4" x14ac:dyDescent="0.25">
      <c r="A305" t="s">
        <v>1388</v>
      </c>
      <c r="B305" t="s">
        <v>1387</v>
      </c>
      <c r="C305" t="s">
        <v>2652</v>
      </c>
      <c r="D305">
        <v>31.55</v>
      </c>
    </row>
    <row r="306" spans="1:4" x14ac:dyDescent="0.25">
      <c r="A306" t="s">
        <v>1643</v>
      </c>
      <c r="B306" t="s">
        <v>1642</v>
      </c>
      <c r="C306" t="s">
        <v>2652</v>
      </c>
      <c r="D306">
        <v>31.55</v>
      </c>
    </row>
    <row r="307" spans="1:4" x14ac:dyDescent="0.25">
      <c r="A307" t="s">
        <v>1161</v>
      </c>
      <c r="B307" t="s">
        <v>1160</v>
      </c>
      <c r="C307" t="s">
        <v>2654</v>
      </c>
      <c r="D307">
        <v>33.43</v>
      </c>
    </row>
    <row r="308" spans="1:4" x14ac:dyDescent="0.25">
      <c r="A308" t="s">
        <v>2797</v>
      </c>
      <c r="B308" t="s">
        <v>2798</v>
      </c>
      <c r="C308" t="s">
        <v>2654</v>
      </c>
      <c r="D308">
        <v>33.43</v>
      </c>
    </row>
    <row r="309" spans="1:4" x14ac:dyDescent="0.25">
      <c r="A309" t="s">
        <v>1074</v>
      </c>
      <c r="B309" t="s">
        <v>1073</v>
      </c>
      <c r="C309" t="s">
        <v>2654</v>
      </c>
      <c r="D309">
        <v>33.43</v>
      </c>
    </row>
    <row r="310" spans="1:4" x14ac:dyDescent="0.25">
      <c r="A310" t="s">
        <v>2799</v>
      </c>
      <c r="B310" t="s">
        <v>2800</v>
      </c>
      <c r="C310" t="s">
        <v>2654</v>
      </c>
      <c r="D310">
        <v>33.43</v>
      </c>
    </row>
    <row r="311" spans="1:4" x14ac:dyDescent="0.25">
      <c r="A311" t="s">
        <v>2801</v>
      </c>
      <c r="B311" t="s">
        <v>2802</v>
      </c>
      <c r="C311" t="s">
        <v>2652</v>
      </c>
      <c r="D311">
        <v>28.25</v>
      </c>
    </row>
    <row r="312" spans="1:4" x14ac:dyDescent="0.25">
      <c r="A312" t="s">
        <v>1892</v>
      </c>
      <c r="B312" t="s">
        <v>2803</v>
      </c>
      <c r="C312" t="s">
        <v>2652</v>
      </c>
      <c r="D312">
        <v>31.55</v>
      </c>
    </row>
    <row r="313" spans="1:4" x14ac:dyDescent="0.25">
      <c r="A313" t="s">
        <v>211</v>
      </c>
      <c r="B313" t="s">
        <v>210</v>
      </c>
      <c r="C313" t="s">
        <v>2804</v>
      </c>
      <c r="D313">
        <v>6500</v>
      </c>
    </row>
    <row r="314" spans="1:4" x14ac:dyDescent="0.25">
      <c r="A314" t="s">
        <v>303</v>
      </c>
      <c r="B314" t="s">
        <v>2805</v>
      </c>
      <c r="C314" t="s">
        <v>2806</v>
      </c>
      <c r="D314">
        <v>23000</v>
      </c>
    </row>
    <row r="315" spans="1:4" x14ac:dyDescent="0.25">
      <c r="A315" t="s">
        <v>1935</v>
      </c>
      <c r="B315" t="s">
        <v>1934</v>
      </c>
      <c r="C315" t="s">
        <v>2652</v>
      </c>
      <c r="D315">
        <v>31.55</v>
      </c>
    </row>
    <row r="316" spans="1:4" x14ac:dyDescent="0.25">
      <c r="A316" t="s">
        <v>600</v>
      </c>
      <c r="B316" t="s">
        <v>599</v>
      </c>
      <c r="C316" t="s">
        <v>2733</v>
      </c>
      <c r="D316">
        <v>4200</v>
      </c>
    </row>
    <row r="317" spans="1:4" x14ac:dyDescent="0.25">
      <c r="A317" t="s">
        <v>1571</v>
      </c>
      <c r="B317" t="s">
        <v>1570</v>
      </c>
      <c r="C317" t="s">
        <v>2663</v>
      </c>
      <c r="D317">
        <v>7500</v>
      </c>
    </row>
    <row r="318" spans="1:4" x14ac:dyDescent="0.25">
      <c r="A318" t="s">
        <v>1364</v>
      </c>
      <c r="B318" t="s">
        <v>1363</v>
      </c>
      <c r="C318" t="s">
        <v>2652</v>
      </c>
      <c r="D318">
        <v>31.55</v>
      </c>
    </row>
    <row r="319" spans="1:4" x14ac:dyDescent="0.25">
      <c r="A319" t="s">
        <v>1569</v>
      </c>
      <c r="B319" t="s">
        <v>2807</v>
      </c>
      <c r="C319" t="s">
        <v>2652</v>
      </c>
      <c r="D319">
        <v>31.55</v>
      </c>
    </row>
    <row r="320" spans="1:4" x14ac:dyDescent="0.25">
      <c r="A320" t="s">
        <v>2808</v>
      </c>
      <c r="B320" t="s">
        <v>2809</v>
      </c>
      <c r="C320" t="s">
        <v>2652</v>
      </c>
      <c r="D320">
        <v>31.55</v>
      </c>
    </row>
    <row r="321" spans="1:4" x14ac:dyDescent="0.25">
      <c r="A321" t="s">
        <v>1558</v>
      </c>
      <c r="B321" t="s">
        <v>1557</v>
      </c>
      <c r="C321" t="s">
        <v>2652</v>
      </c>
      <c r="D321">
        <v>31.55</v>
      </c>
    </row>
    <row r="322" spans="1:4" x14ac:dyDescent="0.25">
      <c r="A322" t="s">
        <v>2810</v>
      </c>
      <c r="B322" t="s">
        <v>2811</v>
      </c>
      <c r="C322" t="s">
        <v>2652</v>
      </c>
      <c r="D322">
        <v>31.55</v>
      </c>
    </row>
    <row r="323" spans="1:4" x14ac:dyDescent="0.25">
      <c r="A323" t="s">
        <v>1929</v>
      </c>
      <c r="B323" t="s">
        <v>1928</v>
      </c>
      <c r="C323" t="s">
        <v>2652</v>
      </c>
      <c r="D323">
        <v>31.55</v>
      </c>
    </row>
    <row r="324" spans="1:4" x14ac:dyDescent="0.25">
      <c r="A324" t="s">
        <v>1269</v>
      </c>
      <c r="B324" t="s">
        <v>1268</v>
      </c>
      <c r="C324" t="s">
        <v>2652</v>
      </c>
      <c r="D324">
        <v>31.55</v>
      </c>
    </row>
    <row r="325" spans="1:4" x14ac:dyDescent="0.25">
      <c r="A325" t="s">
        <v>2812</v>
      </c>
      <c r="B325" t="s">
        <v>2813</v>
      </c>
      <c r="C325" t="s">
        <v>2652</v>
      </c>
      <c r="D325">
        <v>31.55</v>
      </c>
    </row>
    <row r="326" spans="1:4" x14ac:dyDescent="0.25">
      <c r="A326" t="s">
        <v>1068</v>
      </c>
      <c r="B326" t="s">
        <v>1067</v>
      </c>
      <c r="C326" t="s">
        <v>2654</v>
      </c>
      <c r="D326">
        <v>33.43</v>
      </c>
    </row>
    <row r="327" spans="1:4" x14ac:dyDescent="0.25">
      <c r="A327" t="s">
        <v>2338</v>
      </c>
      <c r="B327" t="s">
        <v>2337</v>
      </c>
      <c r="C327" t="s">
        <v>2652</v>
      </c>
      <c r="D327">
        <v>31.55</v>
      </c>
    </row>
    <row r="328" spans="1:4" x14ac:dyDescent="0.25">
      <c r="A328" t="s">
        <v>802</v>
      </c>
      <c r="B328" t="s">
        <v>801</v>
      </c>
      <c r="C328" t="s">
        <v>2652</v>
      </c>
      <c r="D328">
        <v>31.55</v>
      </c>
    </row>
    <row r="329" spans="1:4" x14ac:dyDescent="0.25">
      <c r="A329" t="s">
        <v>2185</v>
      </c>
      <c r="B329" t="s">
        <v>2184</v>
      </c>
      <c r="C329" t="s">
        <v>2652</v>
      </c>
      <c r="D329">
        <v>31.55</v>
      </c>
    </row>
    <row r="330" spans="1:4" x14ac:dyDescent="0.25">
      <c r="A330" t="s">
        <v>525</v>
      </c>
      <c r="B330" t="s">
        <v>524</v>
      </c>
      <c r="C330" t="s">
        <v>2650</v>
      </c>
      <c r="D330">
        <v>4500</v>
      </c>
    </row>
    <row r="331" spans="1:4" x14ac:dyDescent="0.25">
      <c r="A331" t="s">
        <v>678</v>
      </c>
      <c r="B331" t="s">
        <v>677</v>
      </c>
      <c r="C331" t="s">
        <v>2656</v>
      </c>
      <c r="D331">
        <v>4800</v>
      </c>
    </row>
    <row r="332" spans="1:4" x14ac:dyDescent="0.25">
      <c r="A332" t="s">
        <v>810</v>
      </c>
      <c r="B332" t="s">
        <v>2814</v>
      </c>
      <c r="C332" t="s">
        <v>2652</v>
      </c>
      <c r="D332">
        <v>31.55</v>
      </c>
    </row>
    <row r="333" spans="1:4" x14ac:dyDescent="0.25">
      <c r="A333" t="s">
        <v>943</v>
      </c>
      <c r="B333" t="s">
        <v>942</v>
      </c>
      <c r="C333" t="s">
        <v>2654</v>
      </c>
      <c r="D333">
        <v>33.43</v>
      </c>
    </row>
    <row r="334" spans="1:4" x14ac:dyDescent="0.25">
      <c r="A334" t="s">
        <v>2224</v>
      </c>
      <c r="B334" t="s">
        <v>2223</v>
      </c>
      <c r="C334" t="s">
        <v>2652</v>
      </c>
      <c r="D334">
        <v>31.55</v>
      </c>
    </row>
    <row r="335" spans="1:4" x14ac:dyDescent="0.25">
      <c r="A335" t="s">
        <v>2815</v>
      </c>
      <c r="B335" t="s">
        <v>2816</v>
      </c>
      <c r="C335" t="s">
        <v>2654</v>
      </c>
      <c r="D335">
        <v>33.43</v>
      </c>
    </row>
    <row r="336" spans="1:4" x14ac:dyDescent="0.25">
      <c r="A336" t="s">
        <v>2817</v>
      </c>
      <c r="B336" t="s">
        <v>2818</v>
      </c>
      <c r="C336" t="s">
        <v>2652</v>
      </c>
      <c r="D336">
        <v>31.55</v>
      </c>
    </row>
    <row r="337" spans="1:4" x14ac:dyDescent="0.25">
      <c r="A337" t="s">
        <v>688</v>
      </c>
      <c r="B337" t="s">
        <v>2819</v>
      </c>
      <c r="C337" t="s">
        <v>2656</v>
      </c>
      <c r="D337">
        <v>4800</v>
      </c>
    </row>
    <row r="338" spans="1:4" x14ac:dyDescent="0.25">
      <c r="A338" t="s">
        <v>2473</v>
      </c>
      <c r="B338" t="s">
        <v>2472</v>
      </c>
      <c r="C338" t="s">
        <v>2652</v>
      </c>
      <c r="D338">
        <v>28.25</v>
      </c>
    </row>
    <row r="339" spans="1:4" x14ac:dyDescent="0.25">
      <c r="A339" t="s">
        <v>2820</v>
      </c>
      <c r="B339" t="s">
        <v>2821</v>
      </c>
      <c r="C339" t="s">
        <v>2652</v>
      </c>
      <c r="D339">
        <v>28.25</v>
      </c>
    </row>
    <row r="340" spans="1:4" x14ac:dyDescent="0.25">
      <c r="A340" t="s">
        <v>225</v>
      </c>
      <c r="B340" t="s">
        <v>224</v>
      </c>
      <c r="C340" t="s">
        <v>2657</v>
      </c>
      <c r="D340">
        <v>6500</v>
      </c>
    </row>
    <row r="341" spans="1:4" x14ac:dyDescent="0.25">
      <c r="A341" t="s">
        <v>957</v>
      </c>
      <c r="B341" t="s">
        <v>2822</v>
      </c>
      <c r="C341" t="s">
        <v>2654</v>
      </c>
      <c r="D341">
        <v>33.43</v>
      </c>
    </row>
    <row r="342" spans="1:4" x14ac:dyDescent="0.25">
      <c r="A342" t="s">
        <v>223</v>
      </c>
      <c r="B342" t="s">
        <v>222</v>
      </c>
      <c r="C342" t="s">
        <v>2823</v>
      </c>
      <c r="D342">
        <v>6500</v>
      </c>
    </row>
    <row r="343" spans="1:4" x14ac:dyDescent="0.25">
      <c r="A343" t="s">
        <v>749</v>
      </c>
      <c r="B343" t="s">
        <v>748</v>
      </c>
      <c r="C343" t="s">
        <v>2654</v>
      </c>
      <c r="D343">
        <v>33.43</v>
      </c>
    </row>
    <row r="344" spans="1:4" x14ac:dyDescent="0.25">
      <c r="A344" t="s">
        <v>287</v>
      </c>
      <c r="B344" t="s">
        <v>286</v>
      </c>
      <c r="C344" t="s">
        <v>2669</v>
      </c>
      <c r="D344">
        <v>6500</v>
      </c>
    </row>
    <row r="345" spans="1:4" x14ac:dyDescent="0.25">
      <c r="A345" t="s">
        <v>1666</v>
      </c>
      <c r="B345" t="s">
        <v>1665</v>
      </c>
      <c r="C345" t="s">
        <v>2652</v>
      </c>
      <c r="D345">
        <v>31.55</v>
      </c>
    </row>
    <row r="346" spans="1:4" x14ac:dyDescent="0.25">
      <c r="A346" t="s">
        <v>607</v>
      </c>
      <c r="B346" t="s">
        <v>606</v>
      </c>
      <c r="C346" t="s">
        <v>2733</v>
      </c>
      <c r="D346">
        <v>4200</v>
      </c>
    </row>
    <row r="347" spans="1:4" x14ac:dyDescent="0.25">
      <c r="A347" t="s">
        <v>529</v>
      </c>
      <c r="B347" t="s">
        <v>528</v>
      </c>
      <c r="C347" t="s">
        <v>2650</v>
      </c>
      <c r="D347">
        <v>4500</v>
      </c>
    </row>
    <row r="348" spans="1:4" x14ac:dyDescent="0.25">
      <c r="A348" t="s">
        <v>2457</v>
      </c>
      <c r="B348" t="s">
        <v>2456</v>
      </c>
      <c r="C348" t="s">
        <v>2652</v>
      </c>
      <c r="D348">
        <v>31.55</v>
      </c>
    </row>
    <row r="349" spans="1:4" x14ac:dyDescent="0.25">
      <c r="A349" t="s">
        <v>2204</v>
      </c>
      <c r="B349" t="s">
        <v>2203</v>
      </c>
      <c r="C349" t="s">
        <v>2652</v>
      </c>
      <c r="D349">
        <v>31.55</v>
      </c>
    </row>
    <row r="350" spans="1:4" x14ac:dyDescent="0.25">
      <c r="A350" t="s">
        <v>1101</v>
      </c>
      <c r="B350" t="s">
        <v>1100</v>
      </c>
      <c r="C350" t="s">
        <v>2654</v>
      </c>
      <c r="D350">
        <v>33.43</v>
      </c>
    </row>
    <row r="351" spans="1:4" x14ac:dyDescent="0.25">
      <c r="A351" t="s">
        <v>1290</v>
      </c>
      <c r="B351" t="s">
        <v>1289</v>
      </c>
      <c r="C351" t="s">
        <v>2654</v>
      </c>
      <c r="D351">
        <v>33.43</v>
      </c>
    </row>
    <row r="352" spans="1:4" x14ac:dyDescent="0.25">
      <c r="A352" t="s">
        <v>642</v>
      </c>
      <c r="B352" t="s">
        <v>2824</v>
      </c>
      <c r="C352" t="s">
        <v>2656</v>
      </c>
      <c r="D352">
        <v>4800</v>
      </c>
    </row>
    <row r="353" spans="1:4" x14ac:dyDescent="0.25">
      <c r="A353" t="s">
        <v>1333</v>
      </c>
      <c r="B353" t="s">
        <v>1332</v>
      </c>
      <c r="C353" t="s">
        <v>2652</v>
      </c>
      <c r="D353">
        <v>31.55</v>
      </c>
    </row>
    <row r="354" spans="1:4" x14ac:dyDescent="0.25">
      <c r="A354" t="s">
        <v>340</v>
      </c>
      <c r="B354" t="s">
        <v>339</v>
      </c>
      <c r="C354" t="s">
        <v>2825</v>
      </c>
      <c r="D354">
        <v>10000</v>
      </c>
    </row>
    <row r="355" spans="1:4" x14ac:dyDescent="0.25">
      <c r="A355" t="s">
        <v>2826</v>
      </c>
      <c r="B355" t="s">
        <v>2827</v>
      </c>
      <c r="C355" t="s">
        <v>2652</v>
      </c>
      <c r="D355">
        <v>31.55</v>
      </c>
    </row>
    <row r="356" spans="1:4" x14ac:dyDescent="0.25">
      <c r="A356" t="s">
        <v>1214</v>
      </c>
      <c r="B356" t="s">
        <v>2828</v>
      </c>
      <c r="C356" t="s">
        <v>2652</v>
      </c>
      <c r="D356">
        <v>31.55</v>
      </c>
    </row>
    <row r="357" spans="1:4" x14ac:dyDescent="0.25">
      <c r="A357" t="s">
        <v>2467</v>
      </c>
      <c r="B357" t="s">
        <v>2466</v>
      </c>
      <c r="C357" t="s">
        <v>2663</v>
      </c>
      <c r="D357">
        <v>7500</v>
      </c>
    </row>
    <row r="358" spans="1:4" x14ac:dyDescent="0.25">
      <c r="A358" t="s">
        <v>2829</v>
      </c>
      <c r="B358" t="s">
        <v>2830</v>
      </c>
      <c r="C358" t="s">
        <v>2652</v>
      </c>
      <c r="D358">
        <v>31.55</v>
      </c>
    </row>
    <row r="359" spans="1:4" x14ac:dyDescent="0.25">
      <c r="A359" t="s">
        <v>370</v>
      </c>
      <c r="B359" t="s">
        <v>369</v>
      </c>
      <c r="C359" t="s">
        <v>2680</v>
      </c>
      <c r="D359">
        <v>7500</v>
      </c>
    </row>
    <row r="360" spans="1:4" x14ac:dyDescent="0.25">
      <c r="A360" t="s">
        <v>1218</v>
      </c>
      <c r="B360" t="s">
        <v>2831</v>
      </c>
      <c r="C360" t="s">
        <v>2652</v>
      </c>
      <c r="D360">
        <v>31.55</v>
      </c>
    </row>
    <row r="361" spans="1:4" x14ac:dyDescent="0.25">
      <c r="A361" t="s">
        <v>2477</v>
      </c>
      <c r="B361" t="s">
        <v>2476</v>
      </c>
      <c r="C361" t="s">
        <v>2654</v>
      </c>
      <c r="D361">
        <v>33.43</v>
      </c>
    </row>
    <row r="362" spans="1:4" x14ac:dyDescent="0.25">
      <c r="A362" t="s">
        <v>2832</v>
      </c>
      <c r="B362" t="s">
        <v>2833</v>
      </c>
      <c r="C362" t="s">
        <v>2652</v>
      </c>
      <c r="D362">
        <v>31.55</v>
      </c>
    </row>
    <row r="363" spans="1:4" x14ac:dyDescent="0.25">
      <c r="A363" t="s">
        <v>609</v>
      </c>
      <c r="B363" t="s">
        <v>608</v>
      </c>
      <c r="C363" t="s">
        <v>2733</v>
      </c>
      <c r="D363">
        <v>4200</v>
      </c>
    </row>
    <row r="364" spans="1:4" x14ac:dyDescent="0.25">
      <c r="A364" t="s">
        <v>693</v>
      </c>
      <c r="B364" t="s">
        <v>692</v>
      </c>
      <c r="C364" t="s">
        <v>2656</v>
      </c>
      <c r="D364">
        <v>4800</v>
      </c>
    </row>
    <row r="365" spans="1:4" x14ac:dyDescent="0.25">
      <c r="A365" t="s">
        <v>1341</v>
      </c>
      <c r="B365" t="s">
        <v>1340</v>
      </c>
      <c r="C365" t="s">
        <v>2652</v>
      </c>
      <c r="D365">
        <v>31.55</v>
      </c>
    </row>
    <row r="366" spans="1:4" x14ac:dyDescent="0.25">
      <c r="A366" t="s">
        <v>2396</v>
      </c>
      <c r="B366" t="s">
        <v>2395</v>
      </c>
      <c r="C366" t="s">
        <v>2654</v>
      </c>
      <c r="D366">
        <v>33.43</v>
      </c>
    </row>
    <row r="367" spans="1:4" x14ac:dyDescent="0.25">
      <c r="A367" t="s">
        <v>1908</v>
      </c>
      <c r="B367" t="s">
        <v>1907</v>
      </c>
      <c r="C367" t="s">
        <v>2652</v>
      </c>
      <c r="D367">
        <v>31.55</v>
      </c>
    </row>
    <row r="368" spans="1:4" x14ac:dyDescent="0.25">
      <c r="A368" t="s">
        <v>407</v>
      </c>
      <c r="B368" t="s">
        <v>2834</v>
      </c>
      <c r="C368" t="s">
        <v>2680</v>
      </c>
      <c r="D368">
        <v>6500</v>
      </c>
    </row>
    <row r="369" spans="1:4" x14ac:dyDescent="0.25">
      <c r="A369" t="s">
        <v>2481</v>
      </c>
      <c r="B369" t="s">
        <v>2480</v>
      </c>
      <c r="C369" t="s">
        <v>2654</v>
      </c>
      <c r="D369">
        <v>30.13</v>
      </c>
    </row>
    <row r="370" spans="1:4" x14ac:dyDescent="0.25">
      <c r="A370" t="s">
        <v>1689</v>
      </c>
      <c r="B370" t="s">
        <v>1688</v>
      </c>
      <c r="C370" t="s">
        <v>2663</v>
      </c>
      <c r="D370">
        <v>7500</v>
      </c>
    </row>
    <row r="371" spans="1:4" x14ac:dyDescent="0.25">
      <c r="A371" t="s">
        <v>1824</v>
      </c>
      <c r="B371" t="s">
        <v>2835</v>
      </c>
      <c r="C371" t="s">
        <v>2652</v>
      </c>
      <c r="D371">
        <v>28.25</v>
      </c>
    </row>
    <row r="372" spans="1:4" x14ac:dyDescent="0.25">
      <c r="A372" t="s">
        <v>2836</v>
      </c>
      <c r="B372" t="s">
        <v>2837</v>
      </c>
      <c r="C372" t="s">
        <v>2656</v>
      </c>
      <c r="D372">
        <v>4800</v>
      </c>
    </row>
    <row r="373" spans="1:4" x14ac:dyDescent="0.25">
      <c r="A373" t="s">
        <v>1637</v>
      </c>
      <c r="B373" t="s">
        <v>1636</v>
      </c>
      <c r="C373" t="s">
        <v>2652</v>
      </c>
      <c r="D373">
        <v>28.25</v>
      </c>
    </row>
    <row r="374" spans="1:4" x14ac:dyDescent="0.25">
      <c r="A374" t="s">
        <v>1129</v>
      </c>
      <c r="B374" t="s">
        <v>1128</v>
      </c>
      <c r="C374" t="s">
        <v>2654</v>
      </c>
      <c r="D374">
        <v>33.43</v>
      </c>
    </row>
    <row r="375" spans="1:4" x14ac:dyDescent="0.25">
      <c r="A375" t="s">
        <v>266</v>
      </c>
      <c r="B375" t="s">
        <v>2838</v>
      </c>
      <c r="C375" t="s">
        <v>2839</v>
      </c>
      <c r="D375">
        <v>8000</v>
      </c>
    </row>
    <row r="376" spans="1:4" x14ac:dyDescent="0.25">
      <c r="A376" t="s">
        <v>1765</v>
      </c>
      <c r="B376" t="s">
        <v>2840</v>
      </c>
      <c r="C376" t="s">
        <v>2652</v>
      </c>
      <c r="D376">
        <v>31.55</v>
      </c>
    </row>
    <row r="377" spans="1:4" x14ac:dyDescent="0.25">
      <c r="A377" t="s">
        <v>2443</v>
      </c>
      <c r="B377" t="s">
        <v>2442</v>
      </c>
      <c r="C377" t="s">
        <v>2654</v>
      </c>
      <c r="D377">
        <v>30.13</v>
      </c>
    </row>
    <row r="378" spans="1:4" x14ac:dyDescent="0.25">
      <c r="A378" t="s">
        <v>1620</v>
      </c>
      <c r="B378" t="s">
        <v>1619</v>
      </c>
      <c r="C378" t="s">
        <v>2652</v>
      </c>
      <c r="D378">
        <v>31.55</v>
      </c>
    </row>
    <row r="379" spans="1:4" x14ac:dyDescent="0.25">
      <c r="A379" t="s">
        <v>651</v>
      </c>
      <c r="B379" t="s">
        <v>650</v>
      </c>
      <c r="C379" t="s">
        <v>2656</v>
      </c>
      <c r="D379">
        <v>4800</v>
      </c>
    </row>
    <row r="380" spans="1:4" x14ac:dyDescent="0.25">
      <c r="A380" t="s">
        <v>1169</v>
      </c>
      <c r="B380" t="s">
        <v>2841</v>
      </c>
      <c r="C380" t="s">
        <v>2663</v>
      </c>
      <c r="D380">
        <v>7500</v>
      </c>
    </row>
    <row r="381" spans="1:4" x14ac:dyDescent="0.25">
      <c r="A381" t="s">
        <v>535</v>
      </c>
      <c r="B381" t="s">
        <v>534</v>
      </c>
      <c r="C381" t="s">
        <v>2650</v>
      </c>
      <c r="D381">
        <v>4500</v>
      </c>
    </row>
    <row r="382" spans="1:4" x14ac:dyDescent="0.25">
      <c r="A382" t="s">
        <v>263</v>
      </c>
      <c r="B382" t="s">
        <v>2842</v>
      </c>
      <c r="C382" t="s">
        <v>2843</v>
      </c>
      <c r="D382">
        <v>13000</v>
      </c>
    </row>
    <row r="383" spans="1:4" x14ac:dyDescent="0.25">
      <c r="A383" t="s">
        <v>1284</v>
      </c>
      <c r="B383" t="s">
        <v>2844</v>
      </c>
      <c r="C383" t="s">
        <v>2652</v>
      </c>
      <c r="D383">
        <v>28.25</v>
      </c>
    </row>
    <row r="384" spans="1:4" x14ac:dyDescent="0.25">
      <c r="A384" t="s">
        <v>2845</v>
      </c>
      <c r="B384" t="s">
        <v>2846</v>
      </c>
      <c r="C384" t="s">
        <v>2654</v>
      </c>
      <c r="D384">
        <v>33.43</v>
      </c>
    </row>
    <row r="385" spans="1:4" x14ac:dyDescent="0.25">
      <c r="A385" t="s">
        <v>699</v>
      </c>
      <c r="B385" t="s">
        <v>2847</v>
      </c>
      <c r="C385" t="s">
        <v>2654</v>
      </c>
      <c r="D385">
        <v>33.43</v>
      </c>
    </row>
    <row r="386" spans="1:4" x14ac:dyDescent="0.25">
      <c r="A386" t="s">
        <v>666</v>
      </c>
      <c r="B386" t="s">
        <v>665</v>
      </c>
      <c r="C386" t="s">
        <v>2656</v>
      </c>
      <c r="D386">
        <v>4800</v>
      </c>
    </row>
    <row r="387" spans="1:4" x14ac:dyDescent="0.25">
      <c r="A387" t="s">
        <v>1866</v>
      </c>
      <c r="B387" t="s">
        <v>1865</v>
      </c>
      <c r="C387" t="s">
        <v>2652</v>
      </c>
      <c r="D387">
        <v>28.25</v>
      </c>
    </row>
    <row r="388" spans="1:4" x14ac:dyDescent="0.25">
      <c r="A388" t="s">
        <v>1969</v>
      </c>
      <c r="B388" t="s">
        <v>1968</v>
      </c>
      <c r="C388" t="s">
        <v>2652</v>
      </c>
      <c r="D388">
        <v>31.55</v>
      </c>
    </row>
    <row r="389" spans="1:4" x14ac:dyDescent="0.25">
      <c r="A389" t="s">
        <v>1675</v>
      </c>
      <c r="B389" t="s">
        <v>1674</v>
      </c>
      <c r="C389" t="s">
        <v>2652</v>
      </c>
      <c r="D389">
        <v>31.55</v>
      </c>
    </row>
    <row r="390" spans="1:4" x14ac:dyDescent="0.25">
      <c r="A390" t="s">
        <v>1668</v>
      </c>
      <c r="B390" t="s">
        <v>2848</v>
      </c>
      <c r="C390" t="s">
        <v>2663</v>
      </c>
      <c r="D390">
        <v>7500</v>
      </c>
    </row>
    <row r="391" spans="1:4" x14ac:dyDescent="0.25">
      <c r="A391" t="s">
        <v>242</v>
      </c>
      <c r="B391" t="s">
        <v>241</v>
      </c>
      <c r="C391" t="s">
        <v>2849</v>
      </c>
      <c r="D391">
        <v>5800</v>
      </c>
    </row>
    <row r="392" spans="1:4" x14ac:dyDescent="0.25">
      <c r="A392" t="s">
        <v>2850</v>
      </c>
      <c r="B392" t="s">
        <v>2851</v>
      </c>
      <c r="C392" t="s">
        <v>2650</v>
      </c>
      <c r="D392">
        <v>4500</v>
      </c>
    </row>
    <row r="393" spans="1:4" x14ac:dyDescent="0.25">
      <c r="A393" t="s">
        <v>662</v>
      </c>
      <c r="B393" t="s">
        <v>661</v>
      </c>
      <c r="C393" t="s">
        <v>2656</v>
      </c>
      <c r="D393">
        <v>4800</v>
      </c>
    </row>
    <row r="394" spans="1:4" x14ac:dyDescent="0.25">
      <c r="A394" t="s">
        <v>300</v>
      </c>
      <c r="B394" t="s">
        <v>299</v>
      </c>
      <c r="C394" t="s">
        <v>2852</v>
      </c>
      <c r="D394">
        <v>8000</v>
      </c>
    </row>
    <row r="395" spans="1:4" x14ac:dyDescent="0.25">
      <c r="A395" t="s">
        <v>248</v>
      </c>
      <c r="B395" t="s">
        <v>247</v>
      </c>
      <c r="C395" t="s">
        <v>2853</v>
      </c>
      <c r="D395">
        <v>21000</v>
      </c>
    </row>
    <row r="396" spans="1:4" x14ac:dyDescent="0.25">
      <c r="A396" t="s">
        <v>1449</v>
      </c>
      <c r="B396" t="s">
        <v>1448</v>
      </c>
      <c r="C396" t="s">
        <v>2652</v>
      </c>
      <c r="D396">
        <v>31.55</v>
      </c>
    </row>
    <row r="397" spans="1:4" x14ac:dyDescent="0.25">
      <c r="A397" t="s">
        <v>1345</v>
      </c>
      <c r="B397" t="s">
        <v>1344</v>
      </c>
      <c r="C397" t="s">
        <v>2652</v>
      </c>
      <c r="D397">
        <v>31.55</v>
      </c>
    </row>
    <row r="398" spans="1:4" x14ac:dyDescent="0.25">
      <c r="A398" t="s">
        <v>1141</v>
      </c>
      <c r="B398" t="s">
        <v>1140</v>
      </c>
      <c r="C398" t="s">
        <v>2654</v>
      </c>
      <c r="D398">
        <v>33.43</v>
      </c>
    </row>
    <row r="399" spans="1:4" x14ac:dyDescent="0.25">
      <c r="A399" t="s">
        <v>2392</v>
      </c>
      <c r="B399" t="s">
        <v>2854</v>
      </c>
      <c r="C399" t="s">
        <v>2652</v>
      </c>
      <c r="D399">
        <v>31.55</v>
      </c>
    </row>
    <row r="400" spans="1:4" x14ac:dyDescent="0.25">
      <c r="A400" t="s">
        <v>2287</v>
      </c>
      <c r="B400" t="s">
        <v>2286</v>
      </c>
      <c r="C400" t="s">
        <v>2652</v>
      </c>
      <c r="D400">
        <v>28.25</v>
      </c>
    </row>
    <row r="401" spans="1:4" x14ac:dyDescent="0.25">
      <c r="A401" t="s">
        <v>527</v>
      </c>
      <c r="B401" t="s">
        <v>526</v>
      </c>
      <c r="C401" t="s">
        <v>2650</v>
      </c>
      <c r="D401">
        <v>4500</v>
      </c>
    </row>
    <row r="402" spans="1:4" x14ac:dyDescent="0.25">
      <c r="A402" t="s">
        <v>353</v>
      </c>
      <c r="B402" t="s">
        <v>2855</v>
      </c>
      <c r="C402" t="s">
        <v>2680</v>
      </c>
      <c r="D402">
        <v>6500</v>
      </c>
    </row>
    <row r="403" spans="1:4" x14ac:dyDescent="0.25">
      <c r="A403" t="s">
        <v>1633</v>
      </c>
      <c r="B403" t="s">
        <v>1632</v>
      </c>
      <c r="C403" t="s">
        <v>2654</v>
      </c>
      <c r="D403">
        <v>33.43</v>
      </c>
    </row>
    <row r="404" spans="1:4" x14ac:dyDescent="0.25">
      <c r="A404" t="s">
        <v>863</v>
      </c>
      <c r="B404" t="s">
        <v>862</v>
      </c>
      <c r="C404" t="s">
        <v>2654</v>
      </c>
      <c r="D404">
        <v>33.43</v>
      </c>
    </row>
    <row r="405" spans="1:4" x14ac:dyDescent="0.25">
      <c r="A405" t="s">
        <v>1888</v>
      </c>
      <c r="B405" t="s">
        <v>1887</v>
      </c>
      <c r="C405" t="s">
        <v>2654</v>
      </c>
      <c r="D405">
        <v>33.43</v>
      </c>
    </row>
    <row r="406" spans="1:4" x14ac:dyDescent="0.25">
      <c r="A406" t="s">
        <v>604</v>
      </c>
      <c r="B406" t="s">
        <v>603</v>
      </c>
      <c r="C406" t="s">
        <v>2733</v>
      </c>
      <c r="D406">
        <v>4200</v>
      </c>
    </row>
    <row r="407" spans="1:4" x14ac:dyDescent="0.25">
      <c r="A407" t="s">
        <v>1103</v>
      </c>
      <c r="B407" t="s">
        <v>1102</v>
      </c>
      <c r="C407" t="s">
        <v>2654</v>
      </c>
      <c r="D407">
        <v>33.43</v>
      </c>
    </row>
    <row r="408" spans="1:4" x14ac:dyDescent="0.25">
      <c r="A408" t="s">
        <v>917</v>
      </c>
      <c r="B408" t="s">
        <v>916</v>
      </c>
      <c r="C408" t="s">
        <v>2654</v>
      </c>
      <c r="D408">
        <v>33.43</v>
      </c>
    </row>
    <row r="409" spans="1:4" x14ac:dyDescent="0.25">
      <c r="A409" t="s">
        <v>589</v>
      </c>
      <c r="B409" t="s">
        <v>588</v>
      </c>
      <c r="C409" t="s">
        <v>2650</v>
      </c>
      <c r="D409">
        <v>4500</v>
      </c>
    </row>
    <row r="410" spans="1:4" x14ac:dyDescent="0.25">
      <c r="A410" t="s">
        <v>1544</v>
      </c>
      <c r="B410" t="s">
        <v>1543</v>
      </c>
      <c r="C410" t="s">
        <v>2652</v>
      </c>
      <c r="D410">
        <v>31.55</v>
      </c>
    </row>
    <row r="411" spans="1:4" x14ac:dyDescent="0.25">
      <c r="A411" t="s">
        <v>735</v>
      </c>
      <c r="B411" t="s">
        <v>734</v>
      </c>
      <c r="C411" t="s">
        <v>2654</v>
      </c>
      <c r="D411">
        <v>33.43</v>
      </c>
    </row>
    <row r="412" spans="1:4" x14ac:dyDescent="0.25">
      <c r="A412" t="s">
        <v>1574</v>
      </c>
      <c r="B412" t="s">
        <v>1573</v>
      </c>
      <c r="C412" t="s">
        <v>2652</v>
      </c>
      <c r="D412">
        <v>31.55</v>
      </c>
    </row>
    <row r="413" spans="1:4" x14ac:dyDescent="0.25">
      <c r="A413" t="s">
        <v>1137</v>
      </c>
      <c r="B413" t="s">
        <v>1136</v>
      </c>
      <c r="C413" t="s">
        <v>2654</v>
      </c>
      <c r="D413">
        <v>33.43</v>
      </c>
    </row>
    <row r="414" spans="1:4" x14ac:dyDescent="0.25">
      <c r="A414" t="s">
        <v>2461</v>
      </c>
      <c r="B414" t="s">
        <v>2460</v>
      </c>
      <c r="C414" t="s">
        <v>2652</v>
      </c>
      <c r="D414">
        <v>28.25</v>
      </c>
    </row>
    <row r="415" spans="1:4" x14ac:dyDescent="0.25">
      <c r="A415" t="s">
        <v>889</v>
      </c>
      <c r="B415" t="s">
        <v>888</v>
      </c>
      <c r="C415" t="s">
        <v>2654</v>
      </c>
      <c r="D415">
        <v>33.43</v>
      </c>
    </row>
    <row r="416" spans="1:4" x14ac:dyDescent="0.25">
      <c r="A416" t="s">
        <v>1329</v>
      </c>
      <c r="B416" t="s">
        <v>1328</v>
      </c>
      <c r="C416" t="s">
        <v>2652</v>
      </c>
      <c r="D416">
        <v>31.55</v>
      </c>
    </row>
    <row r="417" spans="1:4" x14ac:dyDescent="0.25">
      <c r="A417" t="s">
        <v>1353</v>
      </c>
      <c r="B417" t="s">
        <v>1352</v>
      </c>
      <c r="C417" t="s">
        <v>2652</v>
      </c>
      <c r="D417">
        <v>31.55</v>
      </c>
    </row>
    <row r="418" spans="1:4" x14ac:dyDescent="0.25">
      <c r="A418" t="s">
        <v>1474</v>
      </c>
      <c r="B418" t="s">
        <v>1473</v>
      </c>
      <c r="C418" t="s">
        <v>2652</v>
      </c>
      <c r="D418">
        <v>31.55</v>
      </c>
    </row>
    <row r="419" spans="1:4" x14ac:dyDescent="0.25">
      <c r="A419" t="s">
        <v>653</v>
      </c>
      <c r="B419" t="s">
        <v>652</v>
      </c>
      <c r="C419" t="s">
        <v>2656</v>
      </c>
      <c r="D419">
        <v>4800</v>
      </c>
    </row>
    <row r="420" spans="1:4" x14ac:dyDescent="0.25">
      <c r="A420" t="s">
        <v>1916</v>
      </c>
      <c r="B420" t="s">
        <v>1915</v>
      </c>
      <c r="C420" t="s">
        <v>2654</v>
      </c>
      <c r="D420">
        <v>33.43</v>
      </c>
    </row>
    <row r="421" spans="1:4" x14ac:dyDescent="0.25">
      <c r="A421" t="s">
        <v>2856</v>
      </c>
      <c r="B421" t="s">
        <v>2857</v>
      </c>
      <c r="C421" t="s">
        <v>2652</v>
      </c>
      <c r="D421">
        <v>28.25</v>
      </c>
    </row>
    <row r="422" spans="1:4" x14ac:dyDescent="0.25">
      <c r="A422" t="s">
        <v>329</v>
      </c>
      <c r="B422" t="s">
        <v>328</v>
      </c>
      <c r="C422" t="s">
        <v>2825</v>
      </c>
      <c r="D422">
        <v>9000</v>
      </c>
    </row>
    <row r="423" spans="1:4" x14ac:dyDescent="0.25">
      <c r="A423" t="s">
        <v>1910</v>
      </c>
      <c r="B423" t="s">
        <v>1909</v>
      </c>
      <c r="C423" t="s">
        <v>2652</v>
      </c>
      <c r="D423">
        <v>31.55</v>
      </c>
    </row>
    <row r="424" spans="1:4" x14ac:dyDescent="0.25">
      <c r="A424" t="s">
        <v>2024</v>
      </c>
      <c r="B424" t="s">
        <v>2023</v>
      </c>
      <c r="C424" t="s">
        <v>2652</v>
      </c>
      <c r="D424">
        <v>31.55</v>
      </c>
    </row>
    <row r="425" spans="1:4" x14ac:dyDescent="0.25">
      <c r="A425" t="s">
        <v>701</v>
      </c>
      <c r="B425" t="s">
        <v>700</v>
      </c>
      <c r="C425" t="s">
        <v>2652</v>
      </c>
      <c r="D425">
        <v>31.55</v>
      </c>
    </row>
    <row r="426" spans="1:4" x14ac:dyDescent="0.25">
      <c r="A426" t="s">
        <v>308</v>
      </c>
      <c r="B426" t="s">
        <v>307</v>
      </c>
      <c r="C426" t="s">
        <v>2858</v>
      </c>
      <c r="D426">
        <v>6500</v>
      </c>
    </row>
    <row r="427" spans="1:4" x14ac:dyDescent="0.25">
      <c r="A427" t="s">
        <v>537</v>
      </c>
      <c r="B427" t="s">
        <v>536</v>
      </c>
      <c r="C427" t="s">
        <v>2650</v>
      </c>
      <c r="D427">
        <v>4500</v>
      </c>
    </row>
    <row r="428" spans="1:4" x14ac:dyDescent="0.25">
      <c r="A428" t="s">
        <v>691</v>
      </c>
      <c r="B428" t="s">
        <v>2859</v>
      </c>
      <c r="C428" t="s">
        <v>2656</v>
      </c>
      <c r="D428">
        <v>4800</v>
      </c>
    </row>
    <row r="429" spans="1:4" x14ac:dyDescent="0.25">
      <c r="A429" t="s">
        <v>1524</v>
      </c>
      <c r="B429" t="s">
        <v>1523</v>
      </c>
      <c r="C429" t="s">
        <v>2652</v>
      </c>
      <c r="D429">
        <v>31.55</v>
      </c>
    </row>
    <row r="430" spans="1:4" x14ac:dyDescent="0.25">
      <c r="A430" t="s">
        <v>1864</v>
      </c>
      <c r="B430" t="s">
        <v>1863</v>
      </c>
      <c r="C430" t="s">
        <v>2652</v>
      </c>
      <c r="D430">
        <v>31.55</v>
      </c>
    </row>
    <row r="431" spans="1:4" x14ac:dyDescent="0.25">
      <c r="A431" t="s">
        <v>2860</v>
      </c>
      <c r="B431" t="s">
        <v>2861</v>
      </c>
      <c r="C431" t="s">
        <v>2652</v>
      </c>
      <c r="D431">
        <v>28.25</v>
      </c>
    </row>
    <row r="432" spans="1:4" x14ac:dyDescent="0.25">
      <c r="A432" t="s">
        <v>1920</v>
      </c>
      <c r="B432" t="s">
        <v>1919</v>
      </c>
      <c r="C432" t="s">
        <v>2663</v>
      </c>
      <c r="D432">
        <v>7500</v>
      </c>
    </row>
    <row r="433" spans="1:4" x14ac:dyDescent="0.25">
      <c r="A433" t="s">
        <v>1425</v>
      </c>
      <c r="B433" t="s">
        <v>1424</v>
      </c>
      <c r="C433" t="s">
        <v>2652</v>
      </c>
      <c r="D433">
        <v>31.55</v>
      </c>
    </row>
    <row r="434" spans="1:4" x14ac:dyDescent="0.25">
      <c r="A434" t="s">
        <v>1552</v>
      </c>
      <c r="B434" t="s">
        <v>1551</v>
      </c>
      <c r="C434" t="s">
        <v>2652</v>
      </c>
      <c r="D434">
        <v>31.55</v>
      </c>
    </row>
    <row r="435" spans="1:4" x14ac:dyDescent="0.25">
      <c r="A435" t="s">
        <v>897</v>
      </c>
      <c r="B435" t="s">
        <v>2862</v>
      </c>
      <c r="C435" t="s">
        <v>2654</v>
      </c>
      <c r="D435">
        <v>30.13</v>
      </c>
    </row>
    <row r="436" spans="1:4" x14ac:dyDescent="0.25">
      <c r="A436" t="s">
        <v>2863</v>
      </c>
      <c r="B436" t="s">
        <v>2864</v>
      </c>
      <c r="C436" t="s">
        <v>2652</v>
      </c>
      <c r="D436">
        <v>31.55</v>
      </c>
    </row>
    <row r="437" spans="1:4" x14ac:dyDescent="0.25">
      <c r="A437" t="s">
        <v>1435</v>
      </c>
      <c r="B437" t="s">
        <v>1434</v>
      </c>
      <c r="C437" t="s">
        <v>2652</v>
      </c>
      <c r="D437">
        <v>31.55</v>
      </c>
    </row>
    <row r="438" spans="1:4" x14ac:dyDescent="0.25">
      <c r="A438" t="s">
        <v>521</v>
      </c>
      <c r="B438" t="s">
        <v>520</v>
      </c>
      <c r="C438" t="s">
        <v>2650</v>
      </c>
      <c r="D438">
        <v>4500</v>
      </c>
    </row>
    <row r="439" spans="1:4" x14ac:dyDescent="0.25">
      <c r="A439" t="s">
        <v>2410</v>
      </c>
      <c r="B439" t="s">
        <v>2409</v>
      </c>
      <c r="C439" t="s">
        <v>2652</v>
      </c>
      <c r="D439">
        <v>31.55</v>
      </c>
    </row>
    <row r="440" spans="1:4" x14ac:dyDescent="0.25">
      <c r="A440" t="s">
        <v>887</v>
      </c>
      <c r="B440" t="s">
        <v>886</v>
      </c>
      <c r="C440" t="s">
        <v>2654</v>
      </c>
      <c r="D440">
        <v>33.43</v>
      </c>
    </row>
    <row r="441" spans="1:4" x14ac:dyDescent="0.25">
      <c r="A441" t="s">
        <v>2309</v>
      </c>
      <c r="B441" t="s">
        <v>2308</v>
      </c>
      <c r="C441" t="s">
        <v>2652</v>
      </c>
      <c r="D441">
        <v>28.25</v>
      </c>
    </row>
    <row r="442" spans="1:4" x14ac:dyDescent="0.25">
      <c r="A442" t="s">
        <v>2069</v>
      </c>
      <c r="B442" t="s">
        <v>2068</v>
      </c>
      <c r="C442" t="s">
        <v>2652</v>
      </c>
      <c r="D442">
        <v>31.55</v>
      </c>
    </row>
    <row r="443" spans="1:4" x14ac:dyDescent="0.25">
      <c r="A443" t="s">
        <v>126</v>
      </c>
      <c r="B443" t="s">
        <v>2865</v>
      </c>
      <c r="C443" t="s">
        <v>2654</v>
      </c>
      <c r="D443">
        <v>30.13</v>
      </c>
    </row>
    <row r="444" spans="1:4" x14ac:dyDescent="0.25">
      <c r="A444" t="s">
        <v>2866</v>
      </c>
      <c r="B444" t="s">
        <v>2867</v>
      </c>
      <c r="C444" t="s">
        <v>2652</v>
      </c>
      <c r="D444">
        <v>28.25</v>
      </c>
    </row>
    <row r="445" spans="1:4" x14ac:dyDescent="0.25">
      <c r="A445" t="s">
        <v>419</v>
      </c>
      <c r="B445" t="s">
        <v>2617</v>
      </c>
      <c r="C445" t="s">
        <v>2698</v>
      </c>
      <c r="D445">
        <v>5500</v>
      </c>
    </row>
    <row r="446" spans="1:4" x14ac:dyDescent="0.25">
      <c r="A446" t="s">
        <v>1596</v>
      </c>
      <c r="B446" t="s">
        <v>1595</v>
      </c>
      <c r="C446" t="s">
        <v>2652</v>
      </c>
      <c r="D446">
        <v>31.55</v>
      </c>
    </row>
    <row r="447" spans="1:4" x14ac:dyDescent="0.25">
      <c r="A447" t="s">
        <v>1797</v>
      </c>
      <c r="B447" t="s">
        <v>1796</v>
      </c>
      <c r="C447" t="s">
        <v>2652</v>
      </c>
      <c r="D447">
        <v>31.55</v>
      </c>
    </row>
    <row r="448" spans="1:4" x14ac:dyDescent="0.25">
      <c r="A448" t="s">
        <v>626</v>
      </c>
      <c r="B448" t="s">
        <v>625</v>
      </c>
      <c r="C448" t="s">
        <v>2733</v>
      </c>
      <c r="D448">
        <v>4200</v>
      </c>
    </row>
    <row r="449" spans="1:4" x14ac:dyDescent="0.25">
      <c r="A449" t="s">
        <v>2179</v>
      </c>
      <c r="B449" t="s">
        <v>2178</v>
      </c>
      <c r="C449" t="s">
        <v>2654</v>
      </c>
      <c r="D449">
        <v>30.13</v>
      </c>
    </row>
    <row r="450" spans="1:4" x14ac:dyDescent="0.25">
      <c r="A450" t="s">
        <v>630</v>
      </c>
      <c r="B450" t="s">
        <v>2868</v>
      </c>
      <c r="C450" t="s">
        <v>2733</v>
      </c>
      <c r="D450">
        <v>4200</v>
      </c>
    </row>
    <row r="451" spans="1:4" x14ac:dyDescent="0.25">
      <c r="A451" t="s">
        <v>245</v>
      </c>
      <c r="B451" t="s">
        <v>244</v>
      </c>
      <c r="C451" t="s">
        <v>2869</v>
      </c>
      <c r="D451">
        <v>5500</v>
      </c>
    </row>
    <row r="452" spans="1:4" x14ac:dyDescent="0.25">
      <c r="A452" t="s">
        <v>857</v>
      </c>
      <c r="B452" t="s">
        <v>856</v>
      </c>
      <c r="C452" t="s">
        <v>2654</v>
      </c>
      <c r="D452">
        <v>33.43</v>
      </c>
    </row>
    <row r="453" spans="1:4" x14ac:dyDescent="0.25">
      <c r="A453" t="s">
        <v>1957</v>
      </c>
      <c r="B453" t="s">
        <v>1956</v>
      </c>
      <c r="C453" t="s">
        <v>2652</v>
      </c>
      <c r="D453">
        <v>31.55</v>
      </c>
    </row>
    <row r="454" spans="1:4" x14ac:dyDescent="0.25">
      <c r="A454" t="s">
        <v>2040</v>
      </c>
      <c r="B454" t="s">
        <v>2039</v>
      </c>
      <c r="C454" t="s">
        <v>2652</v>
      </c>
      <c r="D454">
        <v>31.55</v>
      </c>
    </row>
    <row r="455" spans="1:4" x14ac:dyDescent="0.25">
      <c r="A455" t="s">
        <v>192</v>
      </c>
      <c r="B455" t="s">
        <v>2870</v>
      </c>
      <c r="C455" t="s">
        <v>2871</v>
      </c>
      <c r="D455">
        <v>10000</v>
      </c>
    </row>
    <row r="456" spans="1:4" x14ac:dyDescent="0.25">
      <c r="A456" t="s">
        <v>859</v>
      </c>
      <c r="B456" t="s">
        <v>858</v>
      </c>
      <c r="C456" t="s">
        <v>2654</v>
      </c>
      <c r="D456">
        <v>33.43</v>
      </c>
    </row>
    <row r="457" spans="1:4" x14ac:dyDescent="0.25">
      <c r="A457" t="s">
        <v>2872</v>
      </c>
      <c r="B457" t="s">
        <v>2873</v>
      </c>
      <c r="C457" t="s">
        <v>2652</v>
      </c>
      <c r="D457">
        <v>28.25</v>
      </c>
    </row>
    <row r="458" spans="1:4" x14ac:dyDescent="0.25">
      <c r="A458" t="s">
        <v>1781</v>
      </c>
      <c r="B458" t="s">
        <v>1780</v>
      </c>
      <c r="C458" t="s">
        <v>2652</v>
      </c>
      <c r="D458">
        <v>31.55</v>
      </c>
    </row>
    <row r="459" spans="1:4" x14ac:dyDescent="0.25">
      <c r="A459" t="s">
        <v>660</v>
      </c>
      <c r="B459" t="s">
        <v>659</v>
      </c>
      <c r="C459" t="s">
        <v>2656</v>
      </c>
      <c r="D459">
        <v>4800</v>
      </c>
    </row>
    <row r="460" spans="1:4" x14ac:dyDescent="0.25">
      <c r="A460" t="s">
        <v>1372</v>
      </c>
      <c r="B460" t="s">
        <v>1371</v>
      </c>
      <c r="C460" t="s">
        <v>2652</v>
      </c>
      <c r="D460">
        <v>31.55</v>
      </c>
    </row>
    <row r="461" spans="1:4" x14ac:dyDescent="0.25">
      <c r="A461" t="s">
        <v>2874</v>
      </c>
      <c r="B461" t="s">
        <v>2875</v>
      </c>
      <c r="C461" t="s">
        <v>2652</v>
      </c>
      <c r="D461">
        <v>31.55</v>
      </c>
    </row>
    <row r="462" spans="1:4" x14ac:dyDescent="0.25">
      <c r="A462" t="s">
        <v>2876</v>
      </c>
      <c r="B462" t="s">
        <v>2877</v>
      </c>
      <c r="C462" t="s">
        <v>2650</v>
      </c>
      <c r="D462">
        <v>4500</v>
      </c>
    </row>
    <row r="463" spans="1:4" x14ac:dyDescent="0.25">
      <c r="A463" t="s">
        <v>1167</v>
      </c>
      <c r="B463" t="s">
        <v>1166</v>
      </c>
      <c r="C463" t="s">
        <v>2654</v>
      </c>
      <c r="D463">
        <v>33.43</v>
      </c>
    </row>
    <row r="464" spans="1:4" x14ac:dyDescent="0.25">
      <c r="A464" t="s">
        <v>1278</v>
      </c>
      <c r="B464" t="s">
        <v>1277</v>
      </c>
      <c r="C464" t="s">
        <v>2652</v>
      </c>
      <c r="D464">
        <v>28.25</v>
      </c>
    </row>
    <row r="465" spans="1:4" x14ac:dyDescent="0.25">
      <c r="A465" t="s">
        <v>1159</v>
      </c>
      <c r="B465" t="s">
        <v>2878</v>
      </c>
      <c r="C465" t="s">
        <v>2652</v>
      </c>
      <c r="D465">
        <v>31.55</v>
      </c>
    </row>
    <row r="466" spans="1:4" x14ac:dyDescent="0.25">
      <c r="A466" t="s">
        <v>401</v>
      </c>
      <c r="B466" t="s">
        <v>400</v>
      </c>
      <c r="C466" t="s">
        <v>2680</v>
      </c>
      <c r="D466">
        <v>6500</v>
      </c>
    </row>
    <row r="467" spans="1:4" x14ac:dyDescent="0.25">
      <c r="A467" t="s">
        <v>1232</v>
      </c>
      <c r="B467" t="s">
        <v>1231</v>
      </c>
      <c r="C467" t="s">
        <v>2652</v>
      </c>
      <c r="D467">
        <v>31.55</v>
      </c>
    </row>
    <row r="468" spans="1:4" x14ac:dyDescent="0.25">
      <c r="A468" t="s">
        <v>2330</v>
      </c>
      <c r="B468" t="s">
        <v>2329</v>
      </c>
      <c r="C468" t="s">
        <v>2663</v>
      </c>
      <c r="D468">
        <v>7500</v>
      </c>
    </row>
    <row r="469" spans="1:4" x14ac:dyDescent="0.25">
      <c r="A469" t="s">
        <v>1532</v>
      </c>
      <c r="B469" t="s">
        <v>2879</v>
      </c>
      <c r="C469" t="s">
        <v>2652</v>
      </c>
      <c r="D469">
        <v>28.25</v>
      </c>
    </row>
    <row r="470" spans="1:4" x14ac:dyDescent="0.25">
      <c r="A470" t="s">
        <v>2406</v>
      </c>
      <c r="B470" t="s">
        <v>2405</v>
      </c>
      <c r="C470" t="s">
        <v>2652</v>
      </c>
      <c r="D470">
        <v>31.55</v>
      </c>
    </row>
    <row r="471" spans="1:4" x14ac:dyDescent="0.25">
      <c r="A471" t="s">
        <v>1466</v>
      </c>
      <c r="B471" t="s">
        <v>1465</v>
      </c>
      <c r="C471" t="s">
        <v>2652</v>
      </c>
      <c r="D471">
        <v>31.55</v>
      </c>
    </row>
    <row r="472" spans="1:4" x14ac:dyDescent="0.25">
      <c r="A472" t="s">
        <v>561</v>
      </c>
      <c r="B472" t="s">
        <v>560</v>
      </c>
      <c r="C472" t="s">
        <v>2650</v>
      </c>
      <c r="D472">
        <v>4500</v>
      </c>
    </row>
    <row r="473" spans="1:4" x14ac:dyDescent="0.25">
      <c r="A473" t="s">
        <v>231</v>
      </c>
      <c r="B473" t="s">
        <v>2880</v>
      </c>
      <c r="C473" t="s">
        <v>2671</v>
      </c>
      <c r="D473">
        <v>7500</v>
      </c>
    </row>
    <row r="474" spans="1:4" x14ac:dyDescent="0.25">
      <c r="A474" t="s">
        <v>571</v>
      </c>
      <c r="B474" t="s">
        <v>570</v>
      </c>
      <c r="C474" t="s">
        <v>2650</v>
      </c>
      <c r="D474">
        <v>4500</v>
      </c>
    </row>
    <row r="475" spans="1:4" x14ac:dyDescent="0.25">
      <c r="A475" t="s">
        <v>632</v>
      </c>
      <c r="B475" t="s">
        <v>2881</v>
      </c>
      <c r="C475" t="s">
        <v>2733</v>
      </c>
      <c r="D475">
        <v>4200</v>
      </c>
    </row>
    <row r="476" spans="1:4" x14ac:dyDescent="0.25">
      <c r="A476" t="s">
        <v>1376</v>
      </c>
      <c r="B476" t="s">
        <v>1375</v>
      </c>
      <c r="C476" t="s">
        <v>2652</v>
      </c>
      <c r="D476">
        <v>31.55</v>
      </c>
    </row>
    <row r="477" spans="1:4" x14ac:dyDescent="0.25">
      <c r="A477" t="s">
        <v>2018</v>
      </c>
      <c r="B477" t="s">
        <v>2017</v>
      </c>
      <c r="C477" t="s">
        <v>2652</v>
      </c>
      <c r="D477">
        <v>31.55</v>
      </c>
    </row>
    <row r="478" spans="1:4" x14ac:dyDescent="0.25">
      <c r="A478" t="s">
        <v>166</v>
      </c>
      <c r="B478" t="s">
        <v>165</v>
      </c>
      <c r="C478" t="s">
        <v>2882</v>
      </c>
      <c r="D478">
        <v>6600</v>
      </c>
    </row>
    <row r="479" spans="1:4" x14ac:dyDescent="0.25">
      <c r="A479" t="s">
        <v>2883</v>
      </c>
      <c r="B479" t="s">
        <v>2884</v>
      </c>
      <c r="C479" t="s">
        <v>2885</v>
      </c>
    </row>
    <row r="480" spans="1:4" x14ac:dyDescent="0.25">
      <c r="A480" t="s">
        <v>1681</v>
      </c>
      <c r="B480" t="s">
        <v>1680</v>
      </c>
      <c r="C480" t="s">
        <v>2652</v>
      </c>
      <c r="D480">
        <v>31.55</v>
      </c>
    </row>
    <row r="481" spans="1:4" x14ac:dyDescent="0.25">
      <c r="A481" t="s">
        <v>2291</v>
      </c>
      <c r="B481" t="s">
        <v>2290</v>
      </c>
      <c r="C481" t="s">
        <v>2652</v>
      </c>
      <c r="D481">
        <v>31.55</v>
      </c>
    </row>
    <row r="482" spans="1:4" x14ac:dyDescent="0.25">
      <c r="A482" t="s">
        <v>175</v>
      </c>
      <c r="B482" t="s">
        <v>174</v>
      </c>
      <c r="C482" t="s">
        <v>2657</v>
      </c>
      <c r="D482">
        <v>6500</v>
      </c>
    </row>
    <row r="483" spans="1:4" x14ac:dyDescent="0.25">
      <c r="A483" t="s">
        <v>1988</v>
      </c>
      <c r="B483" t="s">
        <v>1987</v>
      </c>
      <c r="C483" t="s">
        <v>2654</v>
      </c>
      <c r="D483">
        <v>33.43</v>
      </c>
    </row>
    <row r="484" spans="1:4" x14ac:dyDescent="0.25">
      <c r="A484" t="s">
        <v>2886</v>
      </c>
      <c r="B484" t="s">
        <v>2887</v>
      </c>
      <c r="C484" t="s">
        <v>2654</v>
      </c>
      <c r="D484">
        <v>33.43</v>
      </c>
    </row>
    <row r="485" spans="1:4" x14ac:dyDescent="0.25">
      <c r="A485" t="s">
        <v>1248</v>
      </c>
      <c r="B485" t="s">
        <v>1247</v>
      </c>
      <c r="C485" t="s">
        <v>2652</v>
      </c>
      <c r="D485">
        <v>31.55</v>
      </c>
    </row>
    <row r="486" spans="1:4" x14ac:dyDescent="0.25">
      <c r="A486" t="s">
        <v>1366</v>
      </c>
      <c r="B486" t="s">
        <v>1365</v>
      </c>
      <c r="C486" t="s">
        <v>2652</v>
      </c>
      <c r="D486">
        <v>28.25</v>
      </c>
    </row>
    <row r="487" spans="1:4" x14ac:dyDescent="0.25">
      <c r="A487" t="s">
        <v>949</v>
      </c>
      <c r="B487" t="s">
        <v>2888</v>
      </c>
      <c r="C487" t="s">
        <v>2654</v>
      </c>
      <c r="D487">
        <v>33.43</v>
      </c>
    </row>
    <row r="488" spans="1:4" x14ac:dyDescent="0.25">
      <c r="A488" t="s">
        <v>237</v>
      </c>
      <c r="B488" t="s">
        <v>2889</v>
      </c>
      <c r="C488" t="s">
        <v>238</v>
      </c>
      <c r="D488">
        <v>18000</v>
      </c>
    </row>
    <row r="489" spans="1:4" x14ac:dyDescent="0.25">
      <c r="A489" t="s">
        <v>2890</v>
      </c>
      <c r="B489" t="s">
        <v>2891</v>
      </c>
      <c r="C489" t="s">
        <v>2652</v>
      </c>
      <c r="D489">
        <v>28.25</v>
      </c>
    </row>
    <row r="490" spans="1:4" x14ac:dyDescent="0.25">
      <c r="A490" t="s">
        <v>2892</v>
      </c>
      <c r="B490" t="s">
        <v>2893</v>
      </c>
      <c r="C490" t="s">
        <v>2652</v>
      </c>
      <c r="D490">
        <v>31.55</v>
      </c>
    </row>
    <row r="491" spans="1:4" x14ac:dyDescent="0.25">
      <c r="A491" t="s">
        <v>2000</v>
      </c>
      <c r="B491" t="s">
        <v>1999</v>
      </c>
      <c r="C491" t="s">
        <v>2663</v>
      </c>
      <c r="D491">
        <v>7500</v>
      </c>
    </row>
    <row r="492" spans="1:4" x14ac:dyDescent="0.25">
      <c r="A492" t="s">
        <v>1294</v>
      </c>
      <c r="B492" t="s">
        <v>1293</v>
      </c>
      <c r="C492" t="s">
        <v>2652</v>
      </c>
      <c r="D492">
        <v>31.55</v>
      </c>
    </row>
    <row r="493" spans="1:4" x14ac:dyDescent="0.25">
      <c r="A493" t="s">
        <v>1943</v>
      </c>
      <c r="B493" t="s">
        <v>1942</v>
      </c>
      <c r="C493" t="s">
        <v>2652</v>
      </c>
      <c r="D493">
        <v>31.55</v>
      </c>
    </row>
    <row r="494" spans="1:4" x14ac:dyDescent="0.25">
      <c r="A494" t="s">
        <v>628</v>
      </c>
      <c r="B494" t="s">
        <v>2894</v>
      </c>
      <c r="C494" t="s">
        <v>2733</v>
      </c>
      <c r="D494">
        <v>4200</v>
      </c>
    </row>
    <row r="495" spans="1:4" x14ac:dyDescent="0.25">
      <c r="A495" t="s">
        <v>1494</v>
      </c>
      <c r="B495" t="s">
        <v>1493</v>
      </c>
      <c r="C495" t="s">
        <v>2652</v>
      </c>
      <c r="D495">
        <v>31.55</v>
      </c>
    </row>
    <row r="496" spans="1:4" x14ac:dyDescent="0.25">
      <c r="A496" t="s">
        <v>2895</v>
      </c>
      <c r="B496" t="s">
        <v>2896</v>
      </c>
      <c r="C496" t="s">
        <v>2652</v>
      </c>
      <c r="D496">
        <v>31.55</v>
      </c>
    </row>
    <row r="497" spans="1:4" x14ac:dyDescent="0.25">
      <c r="A497" t="s">
        <v>460</v>
      </c>
      <c r="B497" t="s">
        <v>459</v>
      </c>
      <c r="C497" t="s">
        <v>2698</v>
      </c>
      <c r="D497">
        <v>5500</v>
      </c>
    </row>
    <row r="498" spans="1:4" x14ac:dyDescent="0.25">
      <c r="A498" t="s">
        <v>1820</v>
      </c>
      <c r="B498" t="s">
        <v>1819</v>
      </c>
      <c r="C498" t="s">
        <v>2652</v>
      </c>
      <c r="D498">
        <v>31.55</v>
      </c>
    </row>
    <row r="499" spans="1:4" x14ac:dyDescent="0.25">
      <c r="A499" t="s">
        <v>409</v>
      </c>
      <c r="B499" t="s">
        <v>2897</v>
      </c>
      <c r="C499" t="s">
        <v>2680</v>
      </c>
      <c r="D499">
        <v>6500</v>
      </c>
    </row>
    <row r="500" spans="1:4" x14ac:dyDescent="0.25">
      <c r="A500" t="s">
        <v>2012</v>
      </c>
      <c r="B500" t="s">
        <v>2011</v>
      </c>
      <c r="C500" t="s">
        <v>2652</v>
      </c>
      <c r="D500">
        <v>28.25</v>
      </c>
    </row>
    <row r="501" spans="1:4" x14ac:dyDescent="0.25">
      <c r="A501" t="s">
        <v>1763</v>
      </c>
      <c r="B501" t="s">
        <v>1762</v>
      </c>
      <c r="C501" t="s">
        <v>2652</v>
      </c>
      <c r="D501">
        <v>31.55</v>
      </c>
    </row>
    <row r="502" spans="1:4" x14ac:dyDescent="0.25">
      <c r="A502" t="s">
        <v>2340</v>
      </c>
      <c r="B502" t="s">
        <v>2339</v>
      </c>
      <c r="C502" t="s">
        <v>2652</v>
      </c>
      <c r="D502">
        <v>28.25</v>
      </c>
    </row>
    <row r="503" spans="1:4" x14ac:dyDescent="0.25">
      <c r="A503" t="s">
        <v>2038</v>
      </c>
      <c r="B503" t="s">
        <v>2037</v>
      </c>
      <c r="C503" t="s">
        <v>2652</v>
      </c>
      <c r="D503">
        <v>31.55</v>
      </c>
    </row>
    <row r="504" spans="1:4" x14ac:dyDescent="0.25">
      <c r="A504" t="s">
        <v>634</v>
      </c>
      <c r="B504" t="s">
        <v>2898</v>
      </c>
      <c r="C504" t="s">
        <v>2733</v>
      </c>
      <c r="D504">
        <v>4200</v>
      </c>
    </row>
    <row r="505" spans="1:4" x14ac:dyDescent="0.25">
      <c r="A505" t="s">
        <v>184</v>
      </c>
      <c r="B505" t="s">
        <v>2899</v>
      </c>
      <c r="C505" t="s">
        <v>2900</v>
      </c>
      <c r="D505">
        <v>9000</v>
      </c>
    </row>
    <row r="506" spans="1:4" x14ac:dyDescent="0.25">
      <c r="A506" t="s">
        <v>1398</v>
      </c>
      <c r="B506" t="s">
        <v>1397</v>
      </c>
      <c r="C506" t="s">
        <v>2652</v>
      </c>
      <c r="D506">
        <v>31.55</v>
      </c>
    </row>
    <row r="507" spans="1:4" x14ac:dyDescent="0.25">
      <c r="A507" t="s">
        <v>445</v>
      </c>
      <c r="B507" t="s">
        <v>444</v>
      </c>
      <c r="C507" t="s">
        <v>2901</v>
      </c>
      <c r="D507">
        <v>4900</v>
      </c>
    </row>
    <row r="508" spans="1:4" x14ac:dyDescent="0.25">
      <c r="A508" t="s">
        <v>533</v>
      </c>
      <c r="B508" t="s">
        <v>532</v>
      </c>
      <c r="C508" t="s">
        <v>2650</v>
      </c>
      <c r="D508">
        <v>4500</v>
      </c>
    </row>
    <row r="509" spans="1:4" x14ac:dyDescent="0.25">
      <c r="A509" t="s">
        <v>1629</v>
      </c>
      <c r="B509" t="s">
        <v>1628</v>
      </c>
      <c r="C509" t="s">
        <v>2652</v>
      </c>
      <c r="D509">
        <v>31.55</v>
      </c>
    </row>
    <row r="510" spans="1:4" x14ac:dyDescent="0.25">
      <c r="A510" t="s">
        <v>1961</v>
      </c>
      <c r="B510" t="s">
        <v>1960</v>
      </c>
      <c r="C510" t="s">
        <v>2652</v>
      </c>
      <c r="D510">
        <v>31.55</v>
      </c>
    </row>
    <row r="511" spans="1:4" x14ac:dyDescent="0.25">
      <c r="A511" t="s">
        <v>2200</v>
      </c>
      <c r="B511" t="s">
        <v>2199</v>
      </c>
      <c r="C511" t="s">
        <v>2652</v>
      </c>
      <c r="D511">
        <v>31.55</v>
      </c>
    </row>
    <row r="512" spans="1:4" x14ac:dyDescent="0.25">
      <c r="A512" t="s">
        <v>895</v>
      </c>
      <c r="B512" t="s">
        <v>894</v>
      </c>
      <c r="C512" t="s">
        <v>2652</v>
      </c>
      <c r="D512">
        <v>31.55</v>
      </c>
    </row>
    <row r="513" spans="1:4" x14ac:dyDescent="0.25">
      <c r="A513" t="s">
        <v>875</v>
      </c>
      <c r="B513" t="s">
        <v>874</v>
      </c>
      <c r="C513" t="s">
        <v>2654</v>
      </c>
      <c r="D513">
        <v>33.43</v>
      </c>
    </row>
    <row r="514" spans="1:4" x14ac:dyDescent="0.25">
      <c r="A514" t="s">
        <v>1657</v>
      </c>
      <c r="B514" t="s">
        <v>1656</v>
      </c>
      <c r="C514" t="s">
        <v>2652</v>
      </c>
      <c r="D514">
        <v>28.25</v>
      </c>
    </row>
    <row r="515" spans="1:4" x14ac:dyDescent="0.25">
      <c r="A515" t="s">
        <v>2902</v>
      </c>
      <c r="B515" t="s">
        <v>2903</v>
      </c>
      <c r="C515" t="s">
        <v>2654</v>
      </c>
      <c r="D515">
        <v>33.43</v>
      </c>
    </row>
    <row r="516" spans="1:4" x14ac:dyDescent="0.25">
      <c r="A516" t="s">
        <v>1902</v>
      </c>
      <c r="B516" t="s">
        <v>1901</v>
      </c>
      <c r="C516" t="s">
        <v>2652</v>
      </c>
      <c r="D516">
        <v>28.25</v>
      </c>
    </row>
    <row r="517" spans="1:4" x14ac:dyDescent="0.25">
      <c r="A517" t="s">
        <v>1826</v>
      </c>
      <c r="B517" t="s">
        <v>1825</v>
      </c>
      <c r="C517" t="s">
        <v>2654</v>
      </c>
      <c r="D517">
        <v>33.43</v>
      </c>
    </row>
    <row r="518" spans="1:4" x14ac:dyDescent="0.25">
      <c r="A518" t="s">
        <v>2212</v>
      </c>
      <c r="B518" t="s">
        <v>2211</v>
      </c>
      <c r="C518" t="s">
        <v>2652</v>
      </c>
      <c r="D518">
        <v>28.25</v>
      </c>
    </row>
    <row r="519" spans="1:4" x14ac:dyDescent="0.25">
      <c r="A519" t="s">
        <v>1095</v>
      </c>
      <c r="B519" t="s">
        <v>1094</v>
      </c>
      <c r="C519" t="s">
        <v>2654</v>
      </c>
      <c r="D519">
        <v>33.43</v>
      </c>
    </row>
    <row r="520" spans="1:4" x14ac:dyDescent="0.25">
      <c r="A520" t="s">
        <v>169</v>
      </c>
      <c r="B520" t="s">
        <v>2904</v>
      </c>
      <c r="C520" t="s">
        <v>2905</v>
      </c>
      <c r="D520">
        <v>43300</v>
      </c>
    </row>
    <row r="521" spans="1:4" x14ac:dyDescent="0.25">
      <c r="A521" t="s">
        <v>1990</v>
      </c>
      <c r="B521" t="s">
        <v>1989</v>
      </c>
      <c r="C521" t="s">
        <v>2652</v>
      </c>
      <c r="D521">
        <v>31.55</v>
      </c>
    </row>
    <row r="522" spans="1:4" x14ac:dyDescent="0.25">
      <c r="A522" t="s">
        <v>2906</v>
      </c>
      <c r="B522" t="s">
        <v>2907</v>
      </c>
      <c r="C522" t="s">
        <v>2654</v>
      </c>
      <c r="D522">
        <v>33.43</v>
      </c>
    </row>
    <row r="523" spans="1:4" x14ac:dyDescent="0.25">
      <c r="A523" t="s">
        <v>1093</v>
      </c>
      <c r="B523" t="s">
        <v>1092</v>
      </c>
      <c r="C523" t="s">
        <v>2654</v>
      </c>
      <c r="D523">
        <v>33.43</v>
      </c>
    </row>
    <row r="524" spans="1:4" x14ac:dyDescent="0.25">
      <c r="A524" t="s">
        <v>741</v>
      </c>
      <c r="B524" t="s">
        <v>2908</v>
      </c>
      <c r="C524" t="s">
        <v>2654</v>
      </c>
      <c r="D524">
        <v>33.43</v>
      </c>
    </row>
    <row r="525" spans="1:4" x14ac:dyDescent="0.25">
      <c r="A525" t="s">
        <v>1582</v>
      </c>
      <c r="B525" t="s">
        <v>1581</v>
      </c>
      <c r="C525" t="s">
        <v>2652</v>
      </c>
      <c r="D525">
        <v>31.55</v>
      </c>
    </row>
    <row r="526" spans="1:4" x14ac:dyDescent="0.25">
      <c r="A526" t="s">
        <v>1933</v>
      </c>
      <c r="B526" t="s">
        <v>1932</v>
      </c>
      <c r="C526" t="s">
        <v>2652</v>
      </c>
      <c r="D526">
        <v>31.55</v>
      </c>
    </row>
    <row r="527" spans="1:4" x14ac:dyDescent="0.25">
      <c r="A527" t="s">
        <v>431</v>
      </c>
      <c r="B527" t="s">
        <v>430</v>
      </c>
      <c r="C527" t="s">
        <v>2909</v>
      </c>
      <c r="D527">
        <v>9000</v>
      </c>
    </row>
    <row r="528" spans="1:4" x14ac:dyDescent="0.25">
      <c r="A528" t="s">
        <v>899</v>
      </c>
      <c r="B528" t="s">
        <v>898</v>
      </c>
      <c r="C528" t="s">
        <v>2654</v>
      </c>
      <c r="D528">
        <v>33.43</v>
      </c>
    </row>
    <row r="529" spans="1:4" x14ac:dyDescent="0.25">
      <c r="A529" t="s">
        <v>439</v>
      </c>
      <c r="B529" t="s">
        <v>2910</v>
      </c>
      <c r="C529" t="s">
        <v>2911</v>
      </c>
      <c r="D529">
        <v>5300</v>
      </c>
    </row>
    <row r="530" spans="1:4" x14ac:dyDescent="0.25">
      <c r="A530" t="s">
        <v>2375</v>
      </c>
      <c r="B530" t="s">
        <v>2374</v>
      </c>
      <c r="C530" t="s">
        <v>2652</v>
      </c>
      <c r="D530">
        <v>31.55</v>
      </c>
    </row>
    <row r="531" spans="1:4" x14ac:dyDescent="0.25">
      <c r="A531" t="s">
        <v>1801</v>
      </c>
      <c r="B531" t="s">
        <v>1800</v>
      </c>
      <c r="C531" t="s">
        <v>2652</v>
      </c>
      <c r="D531">
        <v>31.55</v>
      </c>
    </row>
    <row r="532" spans="1:4" x14ac:dyDescent="0.25">
      <c r="A532" t="s">
        <v>2156</v>
      </c>
      <c r="B532" t="s">
        <v>2155</v>
      </c>
      <c r="C532" t="s">
        <v>2652</v>
      </c>
      <c r="D532">
        <v>31.55</v>
      </c>
    </row>
    <row r="533" spans="1:4" x14ac:dyDescent="0.25">
      <c r="A533" t="s">
        <v>2912</v>
      </c>
      <c r="B533" t="s">
        <v>2913</v>
      </c>
      <c r="C533" t="s">
        <v>2652</v>
      </c>
      <c r="D533">
        <v>28.25</v>
      </c>
    </row>
    <row r="534" spans="1:4" x14ac:dyDescent="0.25">
      <c r="A534" t="s">
        <v>2181</v>
      </c>
      <c r="B534" t="s">
        <v>2914</v>
      </c>
      <c r="C534" t="s">
        <v>2663</v>
      </c>
      <c r="D534">
        <v>7500</v>
      </c>
    </row>
    <row r="535" spans="1:4" x14ac:dyDescent="0.25">
      <c r="A535" t="s">
        <v>2174</v>
      </c>
      <c r="B535" t="s">
        <v>2173</v>
      </c>
      <c r="C535" t="s">
        <v>2652</v>
      </c>
      <c r="D535">
        <v>31.55</v>
      </c>
    </row>
    <row r="536" spans="1:4" x14ac:dyDescent="0.25">
      <c r="A536" t="s">
        <v>773</v>
      </c>
      <c r="B536" t="s">
        <v>772</v>
      </c>
      <c r="C536" t="s">
        <v>2654</v>
      </c>
      <c r="D536">
        <v>33.43</v>
      </c>
    </row>
    <row r="537" spans="1:4" x14ac:dyDescent="0.25">
      <c r="A537" t="s">
        <v>1228</v>
      </c>
      <c r="B537" t="s">
        <v>1227</v>
      </c>
      <c r="C537" t="s">
        <v>2652</v>
      </c>
      <c r="D537">
        <v>31.55</v>
      </c>
    </row>
    <row r="538" spans="1:4" x14ac:dyDescent="0.25">
      <c r="A538" t="s">
        <v>2427</v>
      </c>
      <c r="B538" t="s">
        <v>2426</v>
      </c>
      <c r="C538" t="s">
        <v>2652</v>
      </c>
      <c r="D538">
        <v>31.55</v>
      </c>
    </row>
    <row r="539" spans="1:4" x14ac:dyDescent="0.25">
      <c r="A539" t="s">
        <v>771</v>
      </c>
      <c r="B539" t="s">
        <v>770</v>
      </c>
      <c r="C539" t="s">
        <v>2652</v>
      </c>
      <c r="D539">
        <v>31.55</v>
      </c>
    </row>
    <row r="540" spans="1:4" x14ac:dyDescent="0.25">
      <c r="A540" t="s">
        <v>1415</v>
      </c>
      <c r="B540" t="s">
        <v>1414</v>
      </c>
      <c r="C540" t="s">
        <v>2652</v>
      </c>
      <c r="D540">
        <v>31.55</v>
      </c>
    </row>
    <row r="541" spans="1:4" x14ac:dyDescent="0.25">
      <c r="A541" t="s">
        <v>2915</v>
      </c>
      <c r="B541" t="s">
        <v>2916</v>
      </c>
      <c r="C541" t="s">
        <v>2652</v>
      </c>
      <c r="D541">
        <v>31.55</v>
      </c>
    </row>
    <row r="542" spans="1:4" x14ac:dyDescent="0.25">
      <c r="A542" t="s">
        <v>1649</v>
      </c>
      <c r="B542" t="s">
        <v>1648</v>
      </c>
      <c r="C542" t="s">
        <v>2652</v>
      </c>
      <c r="D542">
        <v>28.25</v>
      </c>
    </row>
    <row r="543" spans="1:4" x14ac:dyDescent="0.25">
      <c r="A543" t="s">
        <v>2093</v>
      </c>
      <c r="B543" t="s">
        <v>2092</v>
      </c>
      <c r="C543" t="s">
        <v>2652</v>
      </c>
      <c r="D543">
        <v>31.55</v>
      </c>
    </row>
    <row r="544" spans="1:4" x14ac:dyDescent="0.25">
      <c r="A544" t="s">
        <v>2917</v>
      </c>
      <c r="B544" t="s">
        <v>2918</v>
      </c>
      <c r="C544" t="s">
        <v>2652</v>
      </c>
      <c r="D544">
        <v>28.25</v>
      </c>
    </row>
    <row r="545" spans="1:4" x14ac:dyDescent="0.25">
      <c r="A545" t="s">
        <v>1992</v>
      </c>
      <c r="B545" t="s">
        <v>1991</v>
      </c>
      <c r="C545" t="s">
        <v>2652</v>
      </c>
      <c r="D545">
        <v>31.55</v>
      </c>
    </row>
    <row r="546" spans="1:4" x14ac:dyDescent="0.25">
      <c r="A546" t="s">
        <v>883</v>
      </c>
      <c r="B546" t="s">
        <v>882</v>
      </c>
      <c r="C546" t="s">
        <v>2654</v>
      </c>
      <c r="D546">
        <v>33.43</v>
      </c>
    </row>
    <row r="547" spans="1:4" x14ac:dyDescent="0.25">
      <c r="A547" t="s">
        <v>1939</v>
      </c>
      <c r="B547" t="s">
        <v>1938</v>
      </c>
      <c r="C547" t="s">
        <v>2652</v>
      </c>
      <c r="D547">
        <v>31.55</v>
      </c>
    </row>
    <row r="548" spans="1:4" x14ac:dyDescent="0.25">
      <c r="A548" t="s">
        <v>1392</v>
      </c>
      <c r="B548" t="s">
        <v>1391</v>
      </c>
      <c r="C548" t="s">
        <v>2654</v>
      </c>
      <c r="D548">
        <v>33.43</v>
      </c>
    </row>
    <row r="549" spans="1:4" x14ac:dyDescent="0.25">
      <c r="A549" t="s">
        <v>2919</v>
      </c>
      <c r="B549" t="s">
        <v>2920</v>
      </c>
      <c r="C549" t="s">
        <v>2652</v>
      </c>
      <c r="D549">
        <v>31.55</v>
      </c>
    </row>
    <row r="550" spans="1:4" x14ac:dyDescent="0.25">
      <c r="A550" t="s">
        <v>2921</v>
      </c>
      <c r="B550" t="s">
        <v>2922</v>
      </c>
      <c r="C550" t="s">
        <v>2654</v>
      </c>
      <c r="D550">
        <v>33.43</v>
      </c>
    </row>
    <row r="551" spans="1:4" x14ac:dyDescent="0.25">
      <c r="A551" t="s">
        <v>1578</v>
      </c>
      <c r="B551" t="s">
        <v>1577</v>
      </c>
      <c r="C551" t="s">
        <v>2652</v>
      </c>
      <c r="D551">
        <v>31.55</v>
      </c>
    </row>
    <row r="552" spans="1:4" x14ac:dyDescent="0.25">
      <c r="A552" t="s">
        <v>1659</v>
      </c>
      <c r="B552" t="s">
        <v>1658</v>
      </c>
      <c r="C552" t="s">
        <v>2654</v>
      </c>
      <c r="D552">
        <v>33.43</v>
      </c>
    </row>
    <row r="553" spans="1:4" x14ac:dyDescent="0.25">
      <c r="A553" t="s">
        <v>769</v>
      </c>
      <c r="B553" t="s">
        <v>768</v>
      </c>
      <c r="C553" t="s">
        <v>2652</v>
      </c>
      <c r="D553">
        <v>31.55</v>
      </c>
    </row>
    <row r="554" spans="1:4" x14ac:dyDescent="0.25">
      <c r="A554" t="s">
        <v>911</v>
      </c>
      <c r="B554" t="s">
        <v>910</v>
      </c>
      <c r="C554" t="s">
        <v>2654</v>
      </c>
      <c r="D554">
        <v>33.43</v>
      </c>
    </row>
    <row r="555" spans="1:4" x14ac:dyDescent="0.25">
      <c r="A555" t="s">
        <v>2471</v>
      </c>
      <c r="B555" t="s">
        <v>2470</v>
      </c>
      <c r="C555" t="s">
        <v>2652</v>
      </c>
      <c r="D555">
        <v>28.25</v>
      </c>
    </row>
    <row r="556" spans="1:4" x14ac:dyDescent="0.25">
      <c r="A556" t="s">
        <v>2295</v>
      </c>
      <c r="B556" t="s">
        <v>2294</v>
      </c>
      <c r="C556" t="s">
        <v>2652</v>
      </c>
      <c r="D556">
        <v>28.25</v>
      </c>
    </row>
    <row r="557" spans="1:4" x14ac:dyDescent="0.25">
      <c r="A557" t="s">
        <v>2305</v>
      </c>
      <c r="B557" t="s">
        <v>2304</v>
      </c>
      <c r="C557" t="s">
        <v>2652</v>
      </c>
      <c r="D557">
        <v>31.55</v>
      </c>
    </row>
    <row r="558" spans="1:4" x14ac:dyDescent="0.25">
      <c r="A558" t="s">
        <v>2014</v>
      </c>
      <c r="B558" t="s">
        <v>2013</v>
      </c>
      <c r="C558" t="s">
        <v>2652</v>
      </c>
      <c r="D558">
        <v>31.55</v>
      </c>
    </row>
    <row r="559" spans="1:4" x14ac:dyDescent="0.25">
      <c r="A559" t="s">
        <v>1567</v>
      </c>
      <c r="B559" t="s">
        <v>2923</v>
      </c>
      <c r="C559" t="s">
        <v>2663</v>
      </c>
      <c r="D559">
        <v>7500</v>
      </c>
    </row>
    <row r="560" spans="1:4" x14ac:dyDescent="0.25">
      <c r="A560" t="s">
        <v>1351</v>
      </c>
      <c r="B560" t="s">
        <v>1350</v>
      </c>
      <c r="C560" t="s">
        <v>2652</v>
      </c>
      <c r="D560">
        <v>31.55</v>
      </c>
    </row>
    <row r="561" spans="1:4" x14ac:dyDescent="0.25">
      <c r="A561" t="s">
        <v>765</v>
      </c>
      <c r="B561" t="s">
        <v>2924</v>
      </c>
      <c r="C561" t="s">
        <v>2652</v>
      </c>
      <c r="D561">
        <v>31.55</v>
      </c>
    </row>
    <row r="562" spans="1:4" x14ac:dyDescent="0.25">
      <c r="A562" t="s">
        <v>583</v>
      </c>
      <c r="B562" t="s">
        <v>582</v>
      </c>
      <c r="C562" t="s">
        <v>2650</v>
      </c>
      <c r="D562">
        <v>4500</v>
      </c>
    </row>
    <row r="563" spans="1:4" x14ac:dyDescent="0.25">
      <c r="A563" t="s">
        <v>447</v>
      </c>
      <c r="B563" t="s">
        <v>2925</v>
      </c>
      <c r="C563" t="s">
        <v>2926</v>
      </c>
      <c r="D563">
        <v>7500</v>
      </c>
    </row>
    <row r="564" spans="1:4" x14ac:dyDescent="0.25">
      <c r="A564" t="s">
        <v>1779</v>
      </c>
      <c r="B564" t="s">
        <v>1778</v>
      </c>
      <c r="C564" t="s">
        <v>2652</v>
      </c>
      <c r="D564">
        <v>31.55</v>
      </c>
    </row>
    <row r="565" spans="1:4" x14ac:dyDescent="0.25">
      <c r="A565" t="s">
        <v>1085</v>
      </c>
      <c r="B565" t="s">
        <v>1084</v>
      </c>
      <c r="C565" t="s">
        <v>2654</v>
      </c>
      <c r="D565">
        <v>33.43</v>
      </c>
    </row>
    <row r="566" spans="1:4" x14ac:dyDescent="0.25">
      <c r="A566" t="s">
        <v>2927</v>
      </c>
      <c r="B566" t="s">
        <v>2928</v>
      </c>
      <c r="C566" t="s">
        <v>2652</v>
      </c>
      <c r="D566">
        <v>31.55</v>
      </c>
    </row>
    <row r="567" spans="1:4" x14ac:dyDescent="0.25">
      <c r="A567" t="s">
        <v>137</v>
      </c>
      <c r="B567" t="s">
        <v>2929</v>
      </c>
      <c r="C567" t="s">
        <v>2825</v>
      </c>
      <c r="D567">
        <v>10000</v>
      </c>
    </row>
    <row r="568" spans="1:4" x14ac:dyDescent="0.25">
      <c r="A568" t="s">
        <v>359</v>
      </c>
      <c r="B568" t="s">
        <v>2930</v>
      </c>
      <c r="C568" t="s">
        <v>2680</v>
      </c>
      <c r="D568">
        <v>6500</v>
      </c>
    </row>
    <row r="569" spans="1:4" x14ac:dyDescent="0.25">
      <c r="A569" t="s">
        <v>1052</v>
      </c>
      <c r="B569" t="s">
        <v>1051</v>
      </c>
      <c r="C569" t="s">
        <v>2652</v>
      </c>
      <c r="D569">
        <v>28.25</v>
      </c>
    </row>
    <row r="570" spans="1:4" x14ac:dyDescent="0.25">
      <c r="A570" t="s">
        <v>684</v>
      </c>
      <c r="B570" t="s">
        <v>683</v>
      </c>
      <c r="C570" t="s">
        <v>2656</v>
      </c>
      <c r="D570">
        <v>4800</v>
      </c>
    </row>
    <row r="571" spans="1:4" x14ac:dyDescent="0.25">
      <c r="A571" t="s">
        <v>1165</v>
      </c>
      <c r="B571" t="s">
        <v>1164</v>
      </c>
      <c r="C571" t="s">
        <v>2654</v>
      </c>
      <c r="D571">
        <v>33.43</v>
      </c>
    </row>
    <row r="572" spans="1:4" x14ac:dyDescent="0.25">
      <c r="A572" t="s">
        <v>1008</v>
      </c>
      <c r="B572" t="s">
        <v>1007</v>
      </c>
      <c r="C572" t="s">
        <v>2654</v>
      </c>
      <c r="D572">
        <v>30.13</v>
      </c>
    </row>
    <row r="573" spans="1:4" x14ac:dyDescent="0.25">
      <c r="A573" t="s">
        <v>1226</v>
      </c>
      <c r="B573" t="s">
        <v>1225</v>
      </c>
      <c r="C573" t="s">
        <v>2652</v>
      </c>
      <c r="D573">
        <v>31.55</v>
      </c>
    </row>
    <row r="574" spans="1:4" x14ac:dyDescent="0.25">
      <c r="A574" t="s">
        <v>1655</v>
      </c>
      <c r="B574" t="s">
        <v>1654</v>
      </c>
      <c r="C574" t="s">
        <v>2652</v>
      </c>
      <c r="D574">
        <v>31.55</v>
      </c>
    </row>
    <row r="575" spans="1:4" x14ac:dyDescent="0.25">
      <c r="A575" t="s">
        <v>216</v>
      </c>
      <c r="B575" t="s">
        <v>215</v>
      </c>
      <c r="C575" t="s">
        <v>2804</v>
      </c>
      <c r="D575">
        <v>6500</v>
      </c>
    </row>
    <row r="576" spans="1:4" x14ac:dyDescent="0.25">
      <c r="A576" t="s">
        <v>387</v>
      </c>
      <c r="B576" t="s">
        <v>386</v>
      </c>
      <c r="C576" t="s">
        <v>2680</v>
      </c>
      <c r="D576">
        <v>6500</v>
      </c>
    </row>
    <row r="577" spans="1:4" x14ac:dyDescent="0.25">
      <c r="A577" t="s">
        <v>374</v>
      </c>
      <c r="B577" t="s">
        <v>373</v>
      </c>
      <c r="C577" t="s">
        <v>2680</v>
      </c>
      <c r="D577">
        <v>6500</v>
      </c>
    </row>
    <row r="578" spans="1:4" x14ac:dyDescent="0.25">
      <c r="A578" t="s">
        <v>462</v>
      </c>
      <c r="B578" t="s">
        <v>461</v>
      </c>
      <c r="C578" t="s">
        <v>2698</v>
      </c>
      <c r="D578">
        <v>5500</v>
      </c>
    </row>
    <row r="579" spans="1:4" x14ac:dyDescent="0.25">
      <c r="A579" t="s">
        <v>2052</v>
      </c>
      <c r="B579" t="s">
        <v>2051</v>
      </c>
      <c r="C579" t="s">
        <v>2652</v>
      </c>
      <c r="D579">
        <v>31.55</v>
      </c>
    </row>
    <row r="580" spans="1:4" x14ac:dyDescent="0.25">
      <c r="A580" t="s">
        <v>1503</v>
      </c>
      <c r="B580" t="s">
        <v>2931</v>
      </c>
      <c r="C580" t="s">
        <v>2652</v>
      </c>
      <c r="D580">
        <v>31.55</v>
      </c>
    </row>
    <row r="581" spans="1:4" x14ac:dyDescent="0.25">
      <c r="A581" t="s">
        <v>1520</v>
      </c>
      <c r="B581" t="s">
        <v>1519</v>
      </c>
      <c r="C581" t="s">
        <v>2652</v>
      </c>
      <c r="D581">
        <v>31.55</v>
      </c>
    </row>
    <row r="582" spans="1:4" x14ac:dyDescent="0.25">
      <c r="A582" t="s">
        <v>2414</v>
      </c>
      <c r="B582" t="s">
        <v>2413</v>
      </c>
      <c r="C582" t="s">
        <v>2652</v>
      </c>
      <c r="D582">
        <v>31.55</v>
      </c>
    </row>
    <row r="583" spans="1:4" x14ac:dyDescent="0.25">
      <c r="A583" t="s">
        <v>2346</v>
      </c>
      <c r="B583" t="s">
        <v>2345</v>
      </c>
      <c r="C583" t="s">
        <v>2652</v>
      </c>
      <c r="D583">
        <v>31.55</v>
      </c>
    </row>
    <row r="584" spans="1:4" x14ac:dyDescent="0.25">
      <c r="A584" t="s">
        <v>1982</v>
      </c>
      <c r="B584" t="s">
        <v>1981</v>
      </c>
      <c r="C584" t="s">
        <v>2652</v>
      </c>
      <c r="D584">
        <v>31.55</v>
      </c>
    </row>
    <row r="585" spans="1:4" x14ac:dyDescent="0.25">
      <c r="A585" t="s">
        <v>1212</v>
      </c>
      <c r="B585" t="s">
        <v>1211</v>
      </c>
      <c r="C585" t="s">
        <v>2652</v>
      </c>
      <c r="D585">
        <v>31.55</v>
      </c>
    </row>
    <row r="586" spans="1:4" x14ac:dyDescent="0.25">
      <c r="A586" t="s">
        <v>1459</v>
      </c>
      <c r="B586" t="s">
        <v>2932</v>
      </c>
      <c r="C586" t="s">
        <v>2652</v>
      </c>
      <c r="D586">
        <v>31.55</v>
      </c>
    </row>
    <row r="587" spans="1:4" x14ac:dyDescent="0.25">
      <c r="A587" t="s">
        <v>2933</v>
      </c>
      <c r="B587" t="s">
        <v>2934</v>
      </c>
      <c r="C587" t="s">
        <v>2652</v>
      </c>
      <c r="D587">
        <v>31.55</v>
      </c>
    </row>
    <row r="588" spans="1:4" x14ac:dyDescent="0.25">
      <c r="A588" t="s">
        <v>826</v>
      </c>
      <c r="B588" t="s">
        <v>825</v>
      </c>
      <c r="C588" t="s">
        <v>2654</v>
      </c>
      <c r="D588">
        <v>33.43</v>
      </c>
    </row>
    <row r="589" spans="1:4" x14ac:dyDescent="0.25">
      <c r="A589" t="s">
        <v>1526</v>
      </c>
      <c r="B589" t="s">
        <v>1525</v>
      </c>
      <c r="C589" t="s">
        <v>2652</v>
      </c>
      <c r="D589">
        <v>31.55</v>
      </c>
    </row>
    <row r="590" spans="1:4" x14ac:dyDescent="0.25">
      <c r="A590" t="s">
        <v>959</v>
      </c>
      <c r="B590" t="s">
        <v>2935</v>
      </c>
      <c r="C590" t="s">
        <v>2652</v>
      </c>
      <c r="D590">
        <v>31.55</v>
      </c>
    </row>
    <row r="591" spans="1:4" x14ac:dyDescent="0.25">
      <c r="A591" t="s">
        <v>2265</v>
      </c>
      <c r="B591" t="s">
        <v>2264</v>
      </c>
      <c r="C591" t="s">
        <v>2654</v>
      </c>
      <c r="D591">
        <v>33.43</v>
      </c>
    </row>
    <row r="592" spans="1:4" x14ac:dyDescent="0.25">
      <c r="A592" t="s">
        <v>1877</v>
      </c>
      <c r="B592" t="s">
        <v>1876</v>
      </c>
      <c r="C592" t="s">
        <v>2654</v>
      </c>
      <c r="D592">
        <v>33.43</v>
      </c>
    </row>
    <row r="593" spans="1:4" x14ac:dyDescent="0.25">
      <c r="A593" t="s">
        <v>1879</v>
      </c>
      <c r="B593" t="s">
        <v>2936</v>
      </c>
      <c r="C593" t="s">
        <v>2654</v>
      </c>
      <c r="D593">
        <v>33.43</v>
      </c>
    </row>
    <row r="594" spans="1:4" x14ac:dyDescent="0.25">
      <c r="A594" t="s">
        <v>781</v>
      </c>
      <c r="B594" t="s">
        <v>780</v>
      </c>
      <c r="C594" t="s">
        <v>2654</v>
      </c>
      <c r="D594">
        <v>33.43</v>
      </c>
    </row>
    <row r="595" spans="1:4" x14ac:dyDescent="0.25">
      <c r="A595" t="s">
        <v>1174</v>
      </c>
      <c r="B595" t="s">
        <v>1173</v>
      </c>
      <c r="C595" t="s">
        <v>2652</v>
      </c>
      <c r="D595">
        <v>31.55</v>
      </c>
    </row>
    <row r="596" spans="1:4" x14ac:dyDescent="0.25">
      <c r="A596" t="s">
        <v>620</v>
      </c>
      <c r="B596" t="s">
        <v>2937</v>
      </c>
      <c r="C596" t="s">
        <v>2733</v>
      </c>
      <c r="D596">
        <v>4200</v>
      </c>
    </row>
    <row r="597" spans="1:4" x14ac:dyDescent="0.25">
      <c r="A597" t="s">
        <v>1362</v>
      </c>
      <c r="B597" t="s">
        <v>1361</v>
      </c>
      <c r="C597" t="s">
        <v>2652</v>
      </c>
      <c r="D597">
        <v>31.55</v>
      </c>
    </row>
    <row r="598" spans="1:4" x14ac:dyDescent="0.25">
      <c r="A598" t="s">
        <v>450</v>
      </c>
      <c r="B598" t="s">
        <v>449</v>
      </c>
      <c r="C598" t="s">
        <v>2698</v>
      </c>
      <c r="D598">
        <v>5500</v>
      </c>
    </row>
    <row r="599" spans="1:4" x14ac:dyDescent="0.25">
      <c r="A599" t="s">
        <v>1419</v>
      </c>
      <c r="B599" t="s">
        <v>1418</v>
      </c>
      <c r="C599" t="s">
        <v>2652</v>
      </c>
      <c r="D599">
        <v>31.55</v>
      </c>
    </row>
    <row r="600" spans="1:4" x14ac:dyDescent="0.25">
      <c r="A600" t="s">
        <v>814</v>
      </c>
      <c r="B600" t="s">
        <v>813</v>
      </c>
      <c r="C600" t="s">
        <v>2654</v>
      </c>
      <c r="D600">
        <v>33.43</v>
      </c>
    </row>
    <row r="601" spans="1:4" x14ac:dyDescent="0.25">
      <c r="A601" t="s">
        <v>2134</v>
      </c>
      <c r="B601" t="s">
        <v>2938</v>
      </c>
      <c r="C601" t="s">
        <v>2652</v>
      </c>
      <c r="D601">
        <v>31.55</v>
      </c>
    </row>
    <row r="602" spans="1:4" x14ac:dyDescent="0.25">
      <c r="A602" t="s">
        <v>2939</v>
      </c>
      <c r="B602" t="s">
        <v>2940</v>
      </c>
      <c r="C602" t="s">
        <v>2652</v>
      </c>
      <c r="D602">
        <v>28.25</v>
      </c>
    </row>
    <row r="603" spans="1:4" x14ac:dyDescent="0.25">
      <c r="A603" t="s">
        <v>464</v>
      </c>
      <c r="B603" t="s">
        <v>463</v>
      </c>
      <c r="C603" t="s">
        <v>2698</v>
      </c>
      <c r="D603">
        <v>5500</v>
      </c>
    </row>
    <row r="604" spans="1:4" x14ac:dyDescent="0.25">
      <c r="A604" t="s">
        <v>951</v>
      </c>
      <c r="B604" t="s">
        <v>950</v>
      </c>
      <c r="C604" t="s">
        <v>2654</v>
      </c>
      <c r="D604">
        <v>33.43</v>
      </c>
    </row>
    <row r="605" spans="1:4" x14ac:dyDescent="0.25">
      <c r="A605" t="s">
        <v>1951</v>
      </c>
      <c r="B605" t="s">
        <v>1950</v>
      </c>
      <c r="C605" t="s">
        <v>2654</v>
      </c>
      <c r="D605">
        <v>33.43</v>
      </c>
    </row>
    <row r="606" spans="1:4" x14ac:dyDescent="0.25">
      <c r="A606" t="s">
        <v>2433</v>
      </c>
      <c r="B606" t="s">
        <v>2941</v>
      </c>
      <c r="C606" t="s">
        <v>2652</v>
      </c>
      <c r="D606">
        <v>28.25</v>
      </c>
    </row>
    <row r="607" spans="1:4" x14ac:dyDescent="0.25">
      <c r="A607" t="s">
        <v>1347</v>
      </c>
      <c r="B607" t="s">
        <v>1346</v>
      </c>
      <c r="C607" t="s">
        <v>2663</v>
      </c>
      <c r="D607">
        <v>7500</v>
      </c>
    </row>
    <row r="608" spans="1:4" x14ac:dyDescent="0.25">
      <c r="A608" t="s">
        <v>1261</v>
      </c>
      <c r="B608" t="s">
        <v>1260</v>
      </c>
      <c r="C608" t="s">
        <v>2652</v>
      </c>
      <c r="D608">
        <v>31.55</v>
      </c>
    </row>
    <row r="609" spans="1:4" x14ac:dyDescent="0.25">
      <c r="A609" t="s">
        <v>1323</v>
      </c>
      <c r="B609" t="s">
        <v>1322</v>
      </c>
      <c r="C609" t="s">
        <v>2652</v>
      </c>
      <c r="D609">
        <v>31.55</v>
      </c>
    </row>
    <row r="610" spans="1:4" x14ac:dyDescent="0.25">
      <c r="A610" t="s">
        <v>2942</v>
      </c>
      <c r="B610" t="s">
        <v>2943</v>
      </c>
      <c r="C610" t="s">
        <v>2654</v>
      </c>
      <c r="D610">
        <v>33.43</v>
      </c>
    </row>
    <row r="611" spans="1:4" x14ac:dyDescent="0.25">
      <c r="A611" t="s">
        <v>1509</v>
      </c>
      <c r="B611" t="s">
        <v>1508</v>
      </c>
      <c r="C611" t="s">
        <v>2652</v>
      </c>
      <c r="D611">
        <v>31.55</v>
      </c>
    </row>
    <row r="612" spans="1:4" x14ac:dyDescent="0.25">
      <c r="A612" t="s">
        <v>1610</v>
      </c>
      <c r="B612" t="s">
        <v>1609</v>
      </c>
      <c r="C612" t="s">
        <v>2652</v>
      </c>
      <c r="D612">
        <v>31.55</v>
      </c>
    </row>
    <row r="613" spans="1:4" x14ac:dyDescent="0.25">
      <c r="A613" t="s">
        <v>2944</v>
      </c>
      <c r="B613" t="s">
        <v>2945</v>
      </c>
      <c r="C613" t="s">
        <v>2680</v>
      </c>
      <c r="D613">
        <v>6500</v>
      </c>
    </row>
    <row r="614" spans="1:4" x14ac:dyDescent="0.25">
      <c r="A614" t="s">
        <v>800</v>
      </c>
      <c r="B614" t="s">
        <v>799</v>
      </c>
      <c r="C614" t="s">
        <v>2652</v>
      </c>
      <c r="D614">
        <v>31.55</v>
      </c>
    </row>
    <row r="615" spans="1:4" x14ac:dyDescent="0.25">
      <c r="A615" t="s">
        <v>1618</v>
      </c>
      <c r="B615" t="s">
        <v>1617</v>
      </c>
      <c r="C615" t="s">
        <v>2652</v>
      </c>
      <c r="D615">
        <v>31.55</v>
      </c>
    </row>
    <row r="616" spans="1:4" x14ac:dyDescent="0.25">
      <c r="A616" t="s">
        <v>1562</v>
      </c>
      <c r="B616" t="s">
        <v>2946</v>
      </c>
      <c r="C616" t="s">
        <v>2652</v>
      </c>
      <c r="D616">
        <v>31.55</v>
      </c>
    </row>
    <row r="617" spans="1:4" x14ac:dyDescent="0.25">
      <c r="A617" t="s">
        <v>351</v>
      </c>
      <c r="B617" t="s">
        <v>350</v>
      </c>
      <c r="C617" t="s">
        <v>2680</v>
      </c>
      <c r="D617">
        <v>6500</v>
      </c>
    </row>
    <row r="618" spans="1:4" x14ac:dyDescent="0.25">
      <c r="A618" t="s">
        <v>2435</v>
      </c>
      <c r="B618" t="s">
        <v>2434</v>
      </c>
      <c r="C618" t="s">
        <v>2652</v>
      </c>
      <c r="D618">
        <v>28.25</v>
      </c>
    </row>
    <row r="619" spans="1:4" x14ac:dyDescent="0.25">
      <c r="A619" t="s">
        <v>1406</v>
      </c>
      <c r="B619" t="s">
        <v>1405</v>
      </c>
      <c r="C619" t="s">
        <v>2663</v>
      </c>
      <c r="D619">
        <v>7500</v>
      </c>
    </row>
    <row r="620" spans="1:4" x14ac:dyDescent="0.25">
      <c r="A620" t="s">
        <v>2389</v>
      </c>
      <c r="B620" t="s">
        <v>2388</v>
      </c>
      <c r="C620" t="s">
        <v>2663</v>
      </c>
      <c r="D620">
        <v>7500</v>
      </c>
    </row>
    <row r="621" spans="1:4" x14ac:dyDescent="0.25">
      <c r="A621" t="s">
        <v>1272</v>
      </c>
      <c r="B621" t="s">
        <v>1271</v>
      </c>
      <c r="C621" t="s">
        <v>2654</v>
      </c>
      <c r="D621">
        <v>33.43</v>
      </c>
    </row>
    <row r="622" spans="1:4" x14ac:dyDescent="0.25">
      <c r="A622" t="s">
        <v>1135</v>
      </c>
      <c r="B622" t="s">
        <v>1134</v>
      </c>
      <c r="C622" t="s">
        <v>2654</v>
      </c>
      <c r="D622">
        <v>33.43</v>
      </c>
    </row>
    <row r="623" spans="1:4" x14ac:dyDescent="0.25">
      <c r="A623" t="s">
        <v>853</v>
      </c>
      <c r="B623" t="s">
        <v>852</v>
      </c>
      <c r="C623" t="s">
        <v>2654</v>
      </c>
      <c r="D623">
        <v>33.43</v>
      </c>
    </row>
    <row r="624" spans="1:4" x14ac:dyDescent="0.25">
      <c r="A624" t="s">
        <v>2103</v>
      </c>
      <c r="B624" t="s">
        <v>2102</v>
      </c>
      <c r="C624" t="s">
        <v>2652</v>
      </c>
      <c r="D624">
        <v>31.55</v>
      </c>
    </row>
    <row r="625" spans="1:4" x14ac:dyDescent="0.25">
      <c r="A625" t="s">
        <v>1540</v>
      </c>
      <c r="B625" t="s">
        <v>1539</v>
      </c>
      <c r="C625" t="s">
        <v>2652</v>
      </c>
      <c r="D625">
        <v>31.55</v>
      </c>
    </row>
    <row r="626" spans="1:4" x14ac:dyDescent="0.25">
      <c r="A626" t="s">
        <v>1900</v>
      </c>
      <c r="B626" t="s">
        <v>1899</v>
      </c>
      <c r="C626" t="s">
        <v>2652</v>
      </c>
      <c r="D626">
        <v>28.25</v>
      </c>
    </row>
    <row r="627" spans="1:4" x14ac:dyDescent="0.25">
      <c r="A627" t="s">
        <v>2947</v>
      </c>
      <c r="B627" t="s">
        <v>2948</v>
      </c>
      <c r="C627" t="s">
        <v>2654</v>
      </c>
      <c r="D627">
        <v>33.43</v>
      </c>
    </row>
    <row r="628" spans="1:4" x14ac:dyDescent="0.25">
      <c r="A628" t="s">
        <v>921</v>
      </c>
      <c r="B628" t="s">
        <v>920</v>
      </c>
      <c r="C628" t="s">
        <v>2654</v>
      </c>
      <c r="D628">
        <v>33.43</v>
      </c>
    </row>
    <row r="629" spans="1:4" x14ac:dyDescent="0.25">
      <c r="A629" t="s">
        <v>1645</v>
      </c>
      <c r="B629" t="s">
        <v>1644</v>
      </c>
      <c r="C629" t="s">
        <v>2652</v>
      </c>
      <c r="D629">
        <v>31.55</v>
      </c>
    </row>
    <row r="630" spans="1:4" x14ac:dyDescent="0.25">
      <c r="A630" t="s">
        <v>1107</v>
      </c>
      <c r="B630" t="s">
        <v>1106</v>
      </c>
      <c r="C630" t="s">
        <v>2654</v>
      </c>
      <c r="D630">
        <v>33.43</v>
      </c>
    </row>
    <row r="631" spans="1:4" x14ac:dyDescent="0.25">
      <c r="A631" t="s">
        <v>745</v>
      </c>
      <c r="B631" t="s">
        <v>744</v>
      </c>
      <c r="C631" t="s">
        <v>2654</v>
      </c>
      <c r="D631">
        <v>33.43</v>
      </c>
    </row>
    <row r="632" spans="1:4" x14ac:dyDescent="0.25">
      <c r="A632" t="s">
        <v>2202</v>
      </c>
      <c r="B632" t="s">
        <v>2201</v>
      </c>
      <c r="C632" t="s">
        <v>2652</v>
      </c>
      <c r="D632">
        <v>31.55</v>
      </c>
    </row>
    <row r="633" spans="1:4" x14ac:dyDescent="0.25">
      <c r="A633" t="s">
        <v>2267</v>
      </c>
      <c r="B633" t="s">
        <v>2266</v>
      </c>
      <c r="C633" t="s">
        <v>2652</v>
      </c>
      <c r="D633">
        <v>31.55</v>
      </c>
    </row>
    <row r="634" spans="1:4" x14ac:dyDescent="0.25">
      <c r="A634" t="s">
        <v>1302</v>
      </c>
      <c r="B634" t="s">
        <v>1301</v>
      </c>
      <c r="C634" t="s">
        <v>2652</v>
      </c>
      <c r="D634">
        <v>31.55</v>
      </c>
    </row>
    <row r="635" spans="1:4" x14ac:dyDescent="0.25">
      <c r="A635" t="s">
        <v>820</v>
      </c>
      <c r="B635" t="s">
        <v>819</v>
      </c>
      <c r="C635" t="s">
        <v>2654</v>
      </c>
      <c r="D635">
        <v>33.43</v>
      </c>
    </row>
    <row r="636" spans="1:4" x14ac:dyDescent="0.25">
      <c r="A636" t="s">
        <v>1312</v>
      </c>
      <c r="B636" t="s">
        <v>2949</v>
      </c>
      <c r="C636" t="s">
        <v>2654</v>
      </c>
      <c r="D636">
        <v>33.43</v>
      </c>
    </row>
    <row r="637" spans="1:4" x14ac:dyDescent="0.25">
      <c r="A637" t="s">
        <v>1417</v>
      </c>
      <c r="B637" t="s">
        <v>1416</v>
      </c>
      <c r="C637" t="s">
        <v>2652</v>
      </c>
      <c r="D637">
        <v>31.55</v>
      </c>
    </row>
    <row r="638" spans="1:4" x14ac:dyDescent="0.25">
      <c r="A638" t="s">
        <v>1230</v>
      </c>
      <c r="B638" t="s">
        <v>1229</v>
      </c>
      <c r="C638" t="s">
        <v>2652</v>
      </c>
      <c r="D638">
        <v>31.55</v>
      </c>
    </row>
    <row r="639" spans="1:4" x14ac:dyDescent="0.25">
      <c r="A639" t="s">
        <v>2950</v>
      </c>
      <c r="B639" t="s">
        <v>2951</v>
      </c>
      <c r="C639" t="s">
        <v>2654</v>
      </c>
      <c r="D639">
        <v>33.43</v>
      </c>
    </row>
    <row r="640" spans="1:4" x14ac:dyDescent="0.25">
      <c r="A640" t="s">
        <v>531</v>
      </c>
      <c r="B640" t="s">
        <v>2952</v>
      </c>
      <c r="C640" t="s">
        <v>2650</v>
      </c>
      <c r="D640">
        <v>4500</v>
      </c>
    </row>
    <row r="641" spans="1:4" x14ac:dyDescent="0.25">
      <c r="A641" t="s">
        <v>836</v>
      </c>
      <c r="B641" t="s">
        <v>835</v>
      </c>
      <c r="C641" t="s">
        <v>2654</v>
      </c>
      <c r="D641">
        <v>33.43</v>
      </c>
    </row>
    <row r="642" spans="1:4" x14ac:dyDescent="0.25">
      <c r="A642" t="s">
        <v>2953</v>
      </c>
      <c r="B642" t="s">
        <v>2954</v>
      </c>
      <c r="C642" t="s">
        <v>2652</v>
      </c>
      <c r="D642">
        <v>31.55</v>
      </c>
    </row>
    <row r="643" spans="1:4" x14ac:dyDescent="0.25">
      <c r="A643" t="s">
        <v>484</v>
      </c>
      <c r="B643" t="s">
        <v>483</v>
      </c>
      <c r="C643" t="s">
        <v>2698</v>
      </c>
      <c r="D643">
        <v>5500</v>
      </c>
    </row>
    <row r="644" spans="1:4" x14ac:dyDescent="0.25">
      <c r="A644" t="s">
        <v>565</v>
      </c>
      <c r="B644" t="s">
        <v>564</v>
      </c>
      <c r="C644" t="s">
        <v>2650</v>
      </c>
      <c r="D644">
        <v>4500</v>
      </c>
    </row>
    <row r="645" spans="1:4" x14ac:dyDescent="0.25">
      <c r="A645" t="s">
        <v>822</v>
      </c>
      <c r="B645" t="s">
        <v>821</v>
      </c>
      <c r="C645" t="s">
        <v>2654</v>
      </c>
      <c r="D645">
        <v>33.43</v>
      </c>
    </row>
    <row r="646" spans="1:4" x14ac:dyDescent="0.25">
      <c r="A646" t="s">
        <v>1176</v>
      </c>
      <c r="B646" t="s">
        <v>1175</v>
      </c>
      <c r="C646" t="s">
        <v>2652</v>
      </c>
      <c r="D646">
        <v>31.55</v>
      </c>
    </row>
    <row r="647" spans="1:4" x14ac:dyDescent="0.25">
      <c r="A647" t="s">
        <v>2955</v>
      </c>
      <c r="B647" t="s">
        <v>2956</v>
      </c>
      <c r="C647" t="s">
        <v>2652</v>
      </c>
      <c r="D647">
        <v>28.25</v>
      </c>
    </row>
    <row r="648" spans="1:4" x14ac:dyDescent="0.25">
      <c r="A648" t="s">
        <v>612</v>
      </c>
      <c r="B648" t="s">
        <v>611</v>
      </c>
      <c r="C648" t="s">
        <v>2733</v>
      </c>
      <c r="D648">
        <v>4200</v>
      </c>
    </row>
    <row r="649" spans="1:4" x14ac:dyDescent="0.25">
      <c r="A649" t="s">
        <v>421</v>
      </c>
      <c r="B649" t="s">
        <v>420</v>
      </c>
      <c r="C649" t="s">
        <v>2901</v>
      </c>
      <c r="D649">
        <v>4900</v>
      </c>
    </row>
    <row r="650" spans="1:4" x14ac:dyDescent="0.25">
      <c r="A650" t="s">
        <v>2957</v>
      </c>
      <c r="B650" t="s">
        <v>2958</v>
      </c>
      <c r="C650" t="s">
        <v>2652</v>
      </c>
      <c r="D650">
        <v>31.55</v>
      </c>
    </row>
    <row r="651" spans="1:4" x14ac:dyDescent="0.25">
      <c r="A651" t="s">
        <v>2959</v>
      </c>
      <c r="B651" t="s">
        <v>2960</v>
      </c>
      <c r="C651" t="s">
        <v>2652</v>
      </c>
      <c r="D651">
        <v>31.55</v>
      </c>
    </row>
    <row r="652" spans="1:4" x14ac:dyDescent="0.25">
      <c r="A652" t="s">
        <v>2089</v>
      </c>
      <c r="B652" t="s">
        <v>2088</v>
      </c>
      <c r="C652" t="s">
        <v>2652</v>
      </c>
      <c r="D652">
        <v>31.55</v>
      </c>
    </row>
    <row r="653" spans="1:4" x14ac:dyDescent="0.25">
      <c r="A653" t="s">
        <v>2297</v>
      </c>
      <c r="B653" t="s">
        <v>2296</v>
      </c>
      <c r="C653" t="s">
        <v>2652</v>
      </c>
      <c r="D653">
        <v>28.25</v>
      </c>
    </row>
    <row r="654" spans="1:4" x14ac:dyDescent="0.25">
      <c r="A654" t="s">
        <v>747</v>
      </c>
      <c r="B654" t="s">
        <v>746</v>
      </c>
      <c r="C654" t="s">
        <v>2652</v>
      </c>
      <c r="D654">
        <v>31.55</v>
      </c>
    </row>
    <row r="655" spans="1:4" x14ac:dyDescent="0.25">
      <c r="A655" t="s">
        <v>1789</v>
      </c>
      <c r="B655" t="s">
        <v>1788</v>
      </c>
      <c r="C655" t="s">
        <v>2652</v>
      </c>
      <c r="D655">
        <v>31.55</v>
      </c>
    </row>
    <row r="656" spans="1:4" x14ac:dyDescent="0.25">
      <c r="A656" t="s">
        <v>2113</v>
      </c>
      <c r="B656" t="s">
        <v>2112</v>
      </c>
      <c r="C656" t="s">
        <v>2652</v>
      </c>
      <c r="D656">
        <v>28.25</v>
      </c>
    </row>
    <row r="657" spans="1:4" x14ac:dyDescent="0.25">
      <c r="A657" t="s">
        <v>415</v>
      </c>
      <c r="B657" t="s">
        <v>414</v>
      </c>
      <c r="C657" t="s">
        <v>2680</v>
      </c>
      <c r="D657">
        <v>6500</v>
      </c>
    </row>
    <row r="658" spans="1:4" x14ac:dyDescent="0.25">
      <c r="A658" t="s">
        <v>717</v>
      </c>
      <c r="B658" t="s">
        <v>716</v>
      </c>
      <c r="C658" t="s">
        <v>2654</v>
      </c>
      <c r="D658">
        <v>33.43</v>
      </c>
    </row>
    <row r="659" spans="1:4" x14ac:dyDescent="0.25">
      <c r="A659" t="s">
        <v>655</v>
      </c>
      <c r="B659" t="s">
        <v>654</v>
      </c>
      <c r="C659" t="s">
        <v>2656</v>
      </c>
      <c r="D659">
        <v>4800</v>
      </c>
    </row>
    <row r="660" spans="1:4" x14ac:dyDescent="0.25">
      <c r="A660" t="s">
        <v>2046</v>
      </c>
      <c r="B660" t="s">
        <v>2045</v>
      </c>
      <c r="C660" t="s">
        <v>2652</v>
      </c>
      <c r="D660">
        <v>31.55</v>
      </c>
    </row>
    <row r="661" spans="1:4" x14ac:dyDescent="0.25">
      <c r="A661" t="s">
        <v>1184</v>
      </c>
      <c r="B661" t="s">
        <v>1183</v>
      </c>
      <c r="C661" t="s">
        <v>2652</v>
      </c>
      <c r="D661">
        <v>31.55</v>
      </c>
    </row>
    <row r="662" spans="1:4" x14ac:dyDescent="0.25">
      <c r="A662" t="s">
        <v>2132</v>
      </c>
      <c r="B662" t="s">
        <v>2131</v>
      </c>
      <c r="C662" t="s">
        <v>2652</v>
      </c>
      <c r="D662">
        <v>28.25</v>
      </c>
    </row>
    <row r="663" spans="1:4" x14ac:dyDescent="0.25">
      <c r="A663" t="s">
        <v>2105</v>
      </c>
      <c r="B663" t="s">
        <v>2104</v>
      </c>
      <c r="C663" t="s">
        <v>2654</v>
      </c>
      <c r="D663">
        <v>33.43</v>
      </c>
    </row>
    <row r="664" spans="1:4" x14ac:dyDescent="0.25">
      <c r="A664" t="s">
        <v>729</v>
      </c>
      <c r="B664" t="s">
        <v>728</v>
      </c>
      <c r="C664" t="s">
        <v>2652</v>
      </c>
      <c r="D664">
        <v>31.55</v>
      </c>
    </row>
    <row r="665" spans="1:4" x14ac:dyDescent="0.25">
      <c r="A665" t="s">
        <v>2961</v>
      </c>
      <c r="B665" t="s">
        <v>2962</v>
      </c>
      <c r="C665" t="s">
        <v>2652</v>
      </c>
      <c r="D665">
        <v>28.25</v>
      </c>
    </row>
    <row r="666" spans="1:4" x14ac:dyDescent="0.25">
      <c r="A666" t="s">
        <v>1288</v>
      </c>
      <c r="B666" t="s">
        <v>1287</v>
      </c>
      <c r="C666" t="s">
        <v>2652</v>
      </c>
      <c r="D666">
        <v>31.55</v>
      </c>
    </row>
    <row r="667" spans="1:4" x14ac:dyDescent="0.25">
      <c r="A667" t="s">
        <v>1695</v>
      </c>
      <c r="B667" t="s">
        <v>1694</v>
      </c>
      <c r="C667" t="s">
        <v>2654</v>
      </c>
      <c r="D667">
        <v>33.43</v>
      </c>
    </row>
    <row r="668" spans="1:4" x14ac:dyDescent="0.25">
      <c r="A668" t="s">
        <v>2111</v>
      </c>
      <c r="B668" t="s">
        <v>2110</v>
      </c>
      <c r="C668" t="s">
        <v>2652</v>
      </c>
      <c r="D668">
        <v>31.55</v>
      </c>
    </row>
    <row r="669" spans="1:4" x14ac:dyDescent="0.25">
      <c r="A669" t="s">
        <v>597</v>
      </c>
      <c r="B669" t="s">
        <v>2963</v>
      </c>
      <c r="C669" t="s">
        <v>2650</v>
      </c>
      <c r="D669">
        <v>4500</v>
      </c>
    </row>
    <row r="670" spans="1:4" x14ac:dyDescent="0.25">
      <c r="A670" t="s">
        <v>2243</v>
      </c>
      <c r="B670" t="s">
        <v>2242</v>
      </c>
      <c r="C670" t="s">
        <v>2652</v>
      </c>
      <c r="D670">
        <v>31.55</v>
      </c>
    </row>
    <row r="671" spans="1:4" x14ac:dyDescent="0.25">
      <c r="A671" t="s">
        <v>1848</v>
      </c>
      <c r="B671" t="s">
        <v>1847</v>
      </c>
      <c r="C671" t="s">
        <v>2652</v>
      </c>
      <c r="D671">
        <v>31.55</v>
      </c>
    </row>
    <row r="672" spans="1:4" x14ac:dyDescent="0.25">
      <c r="A672" t="s">
        <v>2964</v>
      </c>
      <c r="B672" t="s">
        <v>2965</v>
      </c>
      <c r="C672" t="s">
        <v>2652</v>
      </c>
      <c r="D672">
        <v>31.55</v>
      </c>
    </row>
    <row r="673" spans="1:4" x14ac:dyDescent="0.25">
      <c r="A673" t="s">
        <v>2966</v>
      </c>
      <c r="B673" t="s">
        <v>2967</v>
      </c>
      <c r="C673" t="s">
        <v>2652</v>
      </c>
      <c r="D673">
        <v>31.55</v>
      </c>
    </row>
    <row r="674" spans="1:4" x14ac:dyDescent="0.25">
      <c r="A674" t="s">
        <v>1097</v>
      </c>
      <c r="B674" t="s">
        <v>2968</v>
      </c>
      <c r="C674" t="s">
        <v>2663</v>
      </c>
      <c r="D674">
        <v>7500</v>
      </c>
    </row>
    <row r="675" spans="1:4" x14ac:dyDescent="0.25">
      <c r="A675" t="s">
        <v>1560</v>
      </c>
      <c r="B675" t="s">
        <v>1559</v>
      </c>
      <c r="C675" t="s">
        <v>2654</v>
      </c>
      <c r="D675">
        <v>33.43</v>
      </c>
    </row>
    <row r="676" spans="1:4" x14ac:dyDescent="0.25">
      <c r="A676" t="s">
        <v>1437</v>
      </c>
      <c r="B676" t="s">
        <v>1436</v>
      </c>
      <c r="C676" t="s">
        <v>2654</v>
      </c>
      <c r="D676">
        <v>33.43</v>
      </c>
    </row>
    <row r="677" spans="1:4" x14ac:dyDescent="0.25">
      <c r="A677" t="s">
        <v>543</v>
      </c>
      <c r="B677" t="s">
        <v>542</v>
      </c>
      <c r="C677" t="s">
        <v>2650</v>
      </c>
      <c r="D677">
        <v>4500</v>
      </c>
    </row>
    <row r="678" spans="1:4" x14ac:dyDescent="0.25">
      <c r="A678" t="s">
        <v>885</v>
      </c>
      <c r="B678" t="s">
        <v>884</v>
      </c>
      <c r="C678" t="s">
        <v>2654</v>
      </c>
      <c r="D678">
        <v>33.43</v>
      </c>
    </row>
    <row r="679" spans="1:4" x14ac:dyDescent="0.25">
      <c r="A679" t="s">
        <v>1099</v>
      </c>
      <c r="B679" t="s">
        <v>2969</v>
      </c>
      <c r="C679" t="s">
        <v>2654</v>
      </c>
      <c r="D679">
        <v>33.43</v>
      </c>
    </row>
    <row r="680" spans="1:4" x14ac:dyDescent="0.25">
      <c r="A680" t="s">
        <v>2970</v>
      </c>
      <c r="B680" t="s">
        <v>2971</v>
      </c>
      <c r="C680" t="s">
        <v>2652</v>
      </c>
      <c r="D680">
        <v>31.55</v>
      </c>
    </row>
    <row r="681" spans="1:4" x14ac:dyDescent="0.25">
      <c r="A681" t="s">
        <v>1343</v>
      </c>
      <c r="B681" t="s">
        <v>1342</v>
      </c>
      <c r="C681" t="s">
        <v>2652</v>
      </c>
      <c r="D681">
        <v>31.55</v>
      </c>
    </row>
    <row r="682" spans="1:4" x14ac:dyDescent="0.25">
      <c r="A682" t="s">
        <v>1862</v>
      </c>
      <c r="B682" t="s">
        <v>2972</v>
      </c>
      <c r="C682" t="s">
        <v>2652</v>
      </c>
      <c r="D682">
        <v>31.55</v>
      </c>
    </row>
    <row r="683" spans="1:4" x14ac:dyDescent="0.25">
      <c r="A683" t="s">
        <v>2439</v>
      </c>
      <c r="B683" t="s">
        <v>2438</v>
      </c>
      <c r="C683" t="s">
        <v>2652</v>
      </c>
      <c r="D683">
        <v>28.25</v>
      </c>
    </row>
    <row r="684" spans="1:4" x14ac:dyDescent="0.25">
      <c r="A684" t="s">
        <v>1254</v>
      </c>
      <c r="B684" t="s">
        <v>2973</v>
      </c>
      <c r="C684" t="s">
        <v>2652</v>
      </c>
      <c r="D684">
        <v>31.55</v>
      </c>
    </row>
    <row r="685" spans="1:4" x14ac:dyDescent="0.25">
      <c r="A685" t="s">
        <v>1349</v>
      </c>
      <c r="B685" t="s">
        <v>1348</v>
      </c>
      <c r="C685" t="s">
        <v>2652</v>
      </c>
      <c r="D685">
        <v>31.55</v>
      </c>
    </row>
    <row r="686" spans="1:4" x14ac:dyDescent="0.25">
      <c r="A686" t="s">
        <v>1538</v>
      </c>
      <c r="B686" t="s">
        <v>1537</v>
      </c>
      <c r="C686" t="s">
        <v>2652</v>
      </c>
      <c r="D686">
        <v>31.55</v>
      </c>
    </row>
    <row r="687" spans="1:4" x14ac:dyDescent="0.25">
      <c r="A687" t="s">
        <v>1478</v>
      </c>
      <c r="B687" t="s">
        <v>1477</v>
      </c>
      <c r="C687" t="s">
        <v>2652</v>
      </c>
      <c r="D687">
        <v>31.55</v>
      </c>
    </row>
    <row r="688" spans="1:4" x14ac:dyDescent="0.25">
      <c r="A688" t="s">
        <v>2144</v>
      </c>
      <c r="B688" t="s">
        <v>2143</v>
      </c>
      <c r="C688" t="s">
        <v>2654</v>
      </c>
      <c r="D688">
        <v>33.43</v>
      </c>
    </row>
    <row r="689" spans="1:4" x14ac:dyDescent="0.25">
      <c r="A689" t="s">
        <v>1728</v>
      </c>
      <c r="B689" t="s">
        <v>1727</v>
      </c>
      <c r="C689" t="s">
        <v>2652</v>
      </c>
      <c r="D689">
        <v>31.55</v>
      </c>
    </row>
    <row r="690" spans="1:4" x14ac:dyDescent="0.25">
      <c r="A690" t="s">
        <v>1683</v>
      </c>
      <c r="B690" t="s">
        <v>1682</v>
      </c>
      <c r="C690" t="s">
        <v>2652</v>
      </c>
      <c r="D690">
        <v>31.55</v>
      </c>
    </row>
    <row r="691" spans="1:4" x14ac:dyDescent="0.25">
      <c r="A691" t="s">
        <v>2974</v>
      </c>
      <c r="B691" t="s">
        <v>2975</v>
      </c>
      <c r="C691" t="s">
        <v>2652</v>
      </c>
      <c r="D691">
        <v>31.55</v>
      </c>
    </row>
    <row r="692" spans="1:4" x14ac:dyDescent="0.25">
      <c r="A692" t="s">
        <v>2028</v>
      </c>
      <c r="B692" t="s">
        <v>2027</v>
      </c>
      <c r="C692" t="s">
        <v>2652</v>
      </c>
      <c r="D692">
        <v>31.55</v>
      </c>
    </row>
    <row r="693" spans="1:4" x14ac:dyDescent="0.25">
      <c r="A693" t="s">
        <v>2976</v>
      </c>
      <c r="B693" t="s">
        <v>2977</v>
      </c>
      <c r="C693" t="s">
        <v>2654</v>
      </c>
      <c r="D693">
        <v>33.43</v>
      </c>
    </row>
    <row r="694" spans="1:4" x14ac:dyDescent="0.25">
      <c r="A694" t="s">
        <v>2978</v>
      </c>
      <c r="B694" t="s">
        <v>2979</v>
      </c>
      <c r="C694" t="s">
        <v>2652</v>
      </c>
      <c r="D694">
        <v>31.55</v>
      </c>
    </row>
    <row r="695" spans="1:4" x14ac:dyDescent="0.25">
      <c r="A695" t="s">
        <v>1117</v>
      </c>
      <c r="B695" t="s">
        <v>1116</v>
      </c>
      <c r="C695" t="s">
        <v>2652</v>
      </c>
      <c r="D695">
        <v>31.55</v>
      </c>
    </row>
    <row r="696" spans="1:4" x14ac:dyDescent="0.25">
      <c r="A696" t="s">
        <v>2451</v>
      </c>
      <c r="B696" t="s">
        <v>2980</v>
      </c>
      <c r="C696" t="s">
        <v>2652</v>
      </c>
      <c r="D696">
        <v>28.25</v>
      </c>
    </row>
    <row r="697" spans="1:4" x14ac:dyDescent="0.25">
      <c r="A697" t="s">
        <v>320</v>
      </c>
      <c r="B697" t="s">
        <v>2981</v>
      </c>
      <c r="C697" t="s">
        <v>2825</v>
      </c>
      <c r="D697">
        <v>10000</v>
      </c>
    </row>
    <row r="698" spans="1:4" x14ac:dyDescent="0.25">
      <c r="A698" t="s">
        <v>1384</v>
      </c>
      <c r="B698" t="s">
        <v>2982</v>
      </c>
      <c r="C698" t="s">
        <v>2652</v>
      </c>
      <c r="D698">
        <v>31.55</v>
      </c>
    </row>
    <row r="699" spans="1:4" x14ac:dyDescent="0.25">
      <c r="A699" t="s">
        <v>832</v>
      </c>
      <c r="B699" t="s">
        <v>831</v>
      </c>
      <c r="C699" t="s">
        <v>2654</v>
      </c>
      <c r="D699">
        <v>33.43</v>
      </c>
    </row>
    <row r="700" spans="1:4" x14ac:dyDescent="0.25">
      <c r="A700" t="s">
        <v>1914</v>
      </c>
      <c r="B700" t="s">
        <v>1913</v>
      </c>
      <c r="C700" t="s">
        <v>2652</v>
      </c>
      <c r="D700">
        <v>31.55</v>
      </c>
    </row>
    <row r="701" spans="1:4" x14ac:dyDescent="0.25">
      <c r="A701" t="s">
        <v>1292</v>
      </c>
      <c r="B701" t="s">
        <v>1291</v>
      </c>
      <c r="C701" t="s">
        <v>2652</v>
      </c>
      <c r="D701">
        <v>31.55</v>
      </c>
    </row>
    <row r="702" spans="1:4" x14ac:dyDescent="0.25">
      <c r="A702" t="s">
        <v>2983</v>
      </c>
      <c r="B702" t="s">
        <v>2984</v>
      </c>
      <c r="C702" t="s">
        <v>2652</v>
      </c>
      <c r="D702">
        <v>28.25</v>
      </c>
    </row>
    <row r="703" spans="1:4" x14ac:dyDescent="0.25">
      <c r="A703" t="s">
        <v>1622</v>
      </c>
      <c r="B703" t="s">
        <v>1621</v>
      </c>
      <c r="C703" t="s">
        <v>2652</v>
      </c>
      <c r="D703">
        <v>31.55</v>
      </c>
    </row>
    <row r="704" spans="1:4" x14ac:dyDescent="0.25">
      <c r="A704" t="s">
        <v>1014</v>
      </c>
      <c r="B704" t="s">
        <v>1013</v>
      </c>
      <c r="C704" t="s">
        <v>2654</v>
      </c>
      <c r="D704">
        <v>33.43</v>
      </c>
    </row>
    <row r="705" spans="1:4" x14ac:dyDescent="0.25">
      <c r="A705" t="s">
        <v>834</v>
      </c>
      <c r="B705" t="s">
        <v>833</v>
      </c>
      <c r="C705" t="s">
        <v>2654</v>
      </c>
      <c r="D705">
        <v>33.43</v>
      </c>
    </row>
    <row r="706" spans="1:4" x14ac:dyDescent="0.25">
      <c r="A706" t="s">
        <v>2985</v>
      </c>
      <c r="B706" t="s">
        <v>2986</v>
      </c>
      <c r="C706" t="s">
        <v>2654</v>
      </c>
      <c r="D706">
        <v>33.43</v>
      </c>
    </row>
    <row r="707" spans="1:4" x14ac:dyDescent="0.25">
      <c r="A707" t="s">
        <v>311</v>
      </c>
      <c r="B707" t="s">
        <v>310</v>
      </c>
      <c r="C707" t="s">
        <v>2987</v>
      </c>
      <c r="D707">
        <v>6500</v>
      </c>
    </row>
    <row r="708" spans="1:4" x14ac:dyDescent="0.25">
      <c r="A708" t="s">
        <v>808</v>
      </c>
      <c r="B708" t="s">
        <v>807</v>
      </c>
      <c r="C708" t="s">
        <v>2652</v>
      </c>
      <c r="D708">
        <v>31.55</v>
      </c>
    </row>
    <row r="709" spans="1:4" x14ac:dyDescent="0.25">
      <c r="A709" t="s">
        <v>1894</v>
      </c>
      <c r="B709" t="s">
        <v>1893</v>
      </c>
      <c r="C709" t="s">
        <v>2652</v>
      </c>
      <c r="D709">
        <v>31.55</v>
      </c>
    </row>
    <row r="710" spans="1:4" x14ac:dyDescent="0.25">
      <c r="A710" t="s">
        <v>1813</v>
      </c>
      <c r="B710" t="s">
        <v>1812</v>
      </c>
      <c r="C710" t="s">
        <v>2652</v>
      </c>
      <c r="D710">
        <v>31.55</v>
      </c>
    </row>
    <row r="711" spans="1:4" x14ac:dyDescent="0.25">
      <c r="A711" t="s">
        <v>2988</v>
      </c>
      <c r="B711" t="s">
        <v>2989</v>
      </c>
      <c r="C711" t="s">
        <v>2652</v>
      </c>
      <c r="D711">
        <v>31.55</v>
      </c>
    </row>
    <row r="712" spans="1:4" x14ac:dyDescent="0.25">
      <c r="A712" t="s">
        <v>2087</v>
      </c>
      <c r="B712" t="s">
        <v>2086</v>
      </c>
      <c r="C712" t="s">
        <v>2652</v>
      </c>
      <c r="D712">
        <v>31.55</v>
      </c>
    </row>
    <row r="713" spans="1:4" x14ac:dyDescent="0.25">
      <c r="A713" t="s">
        <v>313</v>
      </c>
      <c r="B713" t="s">
        <v>312</v>
      </c>
      <c r="C713" t="s">
        <v>2697</v>
      </c>
      <c r="D713">
        <v>6500</v>
      </c>
    </row>
    <row r="714" spans="1:4" x14ac:dyDescent="0.25">
      <c r="A714" t="s">
        <v>1612</v>
      </c>
      <c r="B714" t="s">
        <v>1611</v>
      </c>
      <c r="C714" t="s">
        <v>2652</v>
      </c>
      <c r="D714">
        <v>31.55</v>
      </c>
    </row>
    <row r="715" spans="1:4" x14ac:dyDescent="0.25">
      <c r="A715" t="s">
        <v>1971</v>
      </c>
      <c r="B715" t="s">
        <v>1970</v>
      </c>
      <c r="C715" t="s">
        <v>2652</v>
      </c>
      <c r="D715">
        <v>31.55</v>
      </c>
    </row>
    <row r="716" spans="1:4" x14ac:dyDescent="0.25">
      <c r="A716" t="s">
        <v>2429</v>
      </c>
      <c r="B716" t="s">
        <v>2428</v>
      </c>
      <c r="C716" t="s">
        <v>2652</v>
      </c>
      <c r="D716">
        <v>28.25</v>
      </c>
    </row>
    <row r="717" spans="1:4" x14ac:dyDescent="0.25">
      <c r="A717" t="s">
        <v>2990</v>
      </c>
      <c r="B717" t="s">
        <v>2991</v>
      </c>
      <c r="C717" t="s">
        <v>2652</v>
      </c>
      <c r="D717">
        <v>28.25</v>
      </c>
    </row>
    <row r="718" spans="1:4" x14ac:dyDescent="0.25">
      <c r="A718" t="s">
        <v>1265</v>
      </c>
      <c r="B718" t="s">
        <v>1264</v>
      </c>
      <c r="C718" t="s">
        <v>2652</v>
      </c>
      <c r="D718">
        <v>31.55</v>
      </c>
    </row>
    <row r="719" spans="1:4" x14ac:dyDescent="0.25">
      <c r="A719" t="s">
        <v>1742</v>
      </c>
      <c r="B719" t="s">
        <v>2992</v>
      </c>
      <c r="C719" t="s">
        <v>2663</v>
      </c>
      <c r="D719">
        <v>7500</v>
      </c>
    </row>
    <row r="720" spans="1:4" x14ac:dyDescent="0.25">
      <c r="A720" t="s">
        <v>381</v>
      </c>
      <c r="B720" t="s">
        <v>380</v>
      </c>
      <c r="C720" t="s">
        <v>2680</v>
      </c>
      <c r="D720">
        <v>6500</v>
      </c>
    </row>
    <row r="721" spans="1:4" x14ac:dyDescent="0.25">
      <c r="A721" t="s">
        <v>2404</v>
      </c>
      <c r="B721" t="s">
        <v>2403</v>
      </c>
      <c r="C721" t="s">
        <v>2652</v>
      </c>
      <c r="D721">
        <v>31.55</v>
      </c>
    </row>
    <row r="722" spans="1:4" x14ac:dyDescent="0.25">
      <c r="A722" t="s">
        <v>2993</v>
      </c>
      <c r="B722" t="s">
        <v>2994</v>
      </c>
      <c r="C722" t="s">
        <v>2654</v>
      </c>
      <c r="D722">
        <v>33.43</v>
      </c>
    </row>
    <row r="723" spans="1:4" x14ac:dyDescent="0.25">
      <c r="A723" t="s">
        <v>1732</v>
      </c>
      <c r="B723" t="s">
        <v>1731</v>
      </c>
      <c r="C723" t="s">
        <v>2652</v>
      </c>
      <c r="D723">
        <v>31.55</v>
      </c>
    </row>
    <row r="724" spans="1:4" x14ac:dyDescent="0.25">
      <c r="A724" t="s">
        <v>2030</v>
      </c>
      <c r="B724" t="s">
        <v>2029</v>
      </c>
      <c r="C724" t="s">
        <v>2652</v>
      </c>
      <c r="D724">
        <v>31.55</v>
      </c>
    </row>
    <row r="725" spans="1:4" x14ac:dyDescent="0.25">
      <c r="A725" t="s">
        <v>209</v>
      </c>
      <c r="B725" t="s">
        <v>2995</v>
      </c>
      <c r="C725" t="s">
        <v>2996</v>
      </c>
      <c r="D725">
        <v>7000</v>
      </c>
    </row>
    <row r="726" spans="1:4" x14ac:dyDescent="0.25">
      <c r="A726" t="s">
        <v>1530</v>
      </c>
      <c r="B726" t="s">
        <v>1529</v>
      </c>
      <c r="C726" t="s">
        <v>2663</v>
      </c>
      <c r="D726">
        <v>7500</v>
      </c>
    </row>
    <row r="727" spans="1:4" x14ac:dyDescent="0.25">
      <c r="A727" t="s">
        <v>1592</v>
      </c>
      <c r="B727" t="s">
        <v>1591</v>
      </c>
      <c r="C727" t="s">
        <v>2652</v>
      </c>
      <c r="D727">
        <v>31.55</v>
      </c>
    </row>
    <row r="728" spans="1:4" x14ac:dyDescent="0.25">
      <c r="A728" t="s">
        <v>2095</v>
      </c>
      <c r="B728" t="s">
        <v>2094</v>
      </c>
      <c r="C728" t="s">
        <v>2654</v>
      </c>
      <c r="D728">
        <v>33.43</v>
      </c>
    </row>
    <row r="729" spans="1:4" x14ac:dyDescent="0.25">
      <c r="A729" t="s">
        <v>269</v>
      </c>
      <c r="B729" t="s">
        <v>268</v>
      </c>
      <c r="C729" t="s">
        <v>2697</v>
      </c>
      <c r="D729">
        <v>6500</v>
      </c>
    </row>
    <row r="730" spans="1:4" x14ac:dyDescent="0.25">
      <c r="A730" t="s">
        <v>865</v>
      </c>
      <c r="B730" t="s">
        <v>864</v>
      </c>
      <c r="C730" t="s">
        <v>2654</v>
      </c>
      <c r="D730">
        <v>33.43</v>
      </c>
    </row>
    <row r="731" spans="1:4" x14ac:dyDescent="0.25">
      <c r="A731" t="s">
        <v>2307</v>
      </c>
      <c r="B731" t="s">
        <v>2306</v>
      </c>
      <c r="C731" t="s">
        <v>2652</v>
      </c>
      <c r="D731">
        <v>31.55</v>
      </c>
    </row>
    <row r="732" spans="1:4" x14ac:dyDescent="0.25">
      <c r="A732" t="s">
        <v>1726</v>
      </c>
      <c r="B732" t="s">
        <v>1725</v>
      </c>
      <c r="C732" t="s">
        <v>2654</v>
      </c>
      <c r="D732">
        <v>33.43</v>
      </c>
    </row>
    <row r="733" spans="1:4" x14ac:dyDescent="0.25">
      <c r="A733" t="s">
        <v>2010</v>
      </c>
      <c r="B733" t="s">
        <v>2009</v>
      </c>
      <c r="C733" t="s">
        <v>2652</v>
      </c>
      <c r="D733">
        <v>31.55</v>
      </c>
    </row>
    <row r="734" spans="1:4" x14ac:dyDescent="0.25">
      <c r="A734" t="s">
        <v>478</v>
      </c>
      <c r="B734" t="s">
        <v>2997</v>
      </c>
      <c r="C734" t="s">
        <v>2698</v>
      </c>
      <c r="D734">
        <v>5500</v>
      </c>
    </row>
    <row r="735" spans="1:4" x14ac:dyDescent="0.25">
      <c r="A735" t="s">
        <v>2344</v>
      </c>
      <c r="B735" t="s">
        <v>2343</v>
      </c>
      <c r="C735" t="s">
        <v>2652</v>
      </c>
      <c r="D735">
        <v>31.55</v>
      </c>
    </row>
    <row r="736" spans="1:4" x14ac:dyDescent="0.25">
      <c r="A736" t="s">
        <v>1576</v>
      </c>
      <c r="B736" t="s">
        <v>1575</v>
      </c>
      <c r="C736" t="s">
        <v>2652</v>
      </c>
      <c r="D736">
        <v>31.55</v>
      </c>
    </row>
    <row r="737" spans="1:4" x14ac:dyDescent="0.25">
      <c r="A737" t="s">
        <v>1274</v>
      </c>
      <c r="B737" t="s">
        <v>1273</v>
      </c>
      <c r="C737" t="s">
        <v>2654</v>
      </c>
      <c r="D737">
        <v>33.43</v>
      </c>
    </row>
    <row r="738" spans="1:4" x14ac:dyDescent="0.25">
      <c r="A738" t="s">
        <v>1775</v>
      </c>
      <c r="B738" t="s">
        <v>1774</v>
      </c>
      <c r="C738" t="s">
        <v>2652</v>
      </c>
      <c r="D738">
        <v>31.55</v>
      </c>
    </row>
    <row r="739" spans="1:4" x14ac:dyDescent="0.25">
      <c r="A739" t="s">
        <v>1834</v>
      </c>
      <c r="B739" t="s">
        <v>1833</v>
      </c>
      <c r="C739" t="s">
        <v>2652</v>
      </c>
      <c r="D739">
        <v>31.55</v>
      </c>
    </row>
    <row r="740" spans="1:4" x14ac:dyDescent="0.25">
      <c r="A740" t="s">
        <v>2998</v>
      </c>
      <c r="B740" t="s">
        <v>2999</v>
      </c>
      <c r="C740" t="s">
        <v>2652</v>
      </c>
      <c r="D740">
        <v>31.55</v>
      </c>
    </row>
    <row r="741" spans="1:4" x14ac:dyDescent="0.25">
      <c r="A741" t="s">
        <v>2109</v>
      </c>
      <c r="B741" t="s">
        <v>2108</v>
      </c>
      <c r="C741" t="s">
        <v>2652</v>
      </c>
      <c r="D741">
        <v>31.55</v>
      </c>
    </row>
    <row r="742" spans="1:4" x14ac:dyDescent="0.25">
      <c r="A742" t="s">
        <v>682</v>
      </c>
      <c r="B742" t="s">
        <v>681</v>
      </c>
      <c r="C742" t="s">
        <v>2656</v>
      </c>
      <c r="D742">
        <v>4800</v>
      </c>
    </row>
    <row r="743" spans="1:4" x14ac:dyDescent="0.25">
      <c r="A743" t="s">
        <v>1514</v>
      </c>
      <c r="B743" t="s">
        <v>1513</v>
      </c>
      <c r="C743" t="s">
        <v>2652</v>
      </c>
      <c r="D743">
        <v>31.55</v>
      </c>
    </row>
    <row r="744" spans="1:4" x14ac:dyDescent="0.25">
      <c r="A744" t="s">
        <v>1476</v>
      </c>
      <c r="B744" t="s">
        <v>3000</v>
      </c>
      <c r="C744" t="s">
        <v>2652</v>
      </c>
      <c r="D744">
        <v>31.55</v>
      </c>
    </row>
    <row r="745" spans="1:4" x14ac:dyDescent="0.25">
      <c r="A745" t="s">
        <v>205</v>
      </c>
      <c r="B745" t="s">
        <v>204</v>
      </c>
      <c r="C745" t="s">
        <v>2900</v>
      </c>
      <c r="D745">
        <v>9000</v>
      </c>
    </row>
    <row r="746" spans="1:4" x14ac:dyDescent="0.25">
      <c r="A746" t="s">
        <v>855</v>
      </c>
      <c r="B746" t="s">
        <v>854</v>
      </c>
      <c r="C746" t="s">
        <v>2652</v>
      </c>
      <c r="D746">
        <v>28.25</v>
      </c>
    </row>
    <row r="747" spans="1:4" x14ac:dyDescent="0.25">
      <c r="A747" t="s">
        <v>775</v>
      </c>
      <c r="B747" t="s">
        <v>774</v>
      </c>
      <c r="C747" t="s">
        <v>2652</v>
      </c>
      <c r="D747">
        <v>31.55</v>
      </c>
    </row>
    <row r="748" spans="1:4" x14ac:dyDescent="0.25">
      <c r="A748" t="s">
        <v>1975</v>
      </c>
      <c r="B748" t="s">
        <v>1974</v>
      </c>
      <c r="C748" t="s">
        <v>2652</v>
      </c>
      <c r="D748">
        <v>31.55</v>
      </c>
    </row>
    <row r="749" spans="1:4" x14ac:dyDescent="0.25">
      <c r="A749" t="s">
        <v>553</v>
      </c>
      <c r="B749" t="s">
        <v>552</v>
      </c>
      <c r="C749" t="s">
        <v>2650</v>
      </c>
      <c r="D749">
        <v>4500</v>
      </c>
    </row>
    <row r="750" spans="1:4" x14ac:dyDescent="0.25">
      <c r="A750" t="s">
        <v>1413</v>
      </c>
      <c r="B750" t="s">
        <v>1412</v>
      </c>
      <c r="C750" t="s">
        <v>2652</v>
      </c>
      <c r="D750">
        <v>31.55</v>
      </c>
    </row>
    <row r="751" spans="1:4" x14ac:dyDescent="0.25">
      <c r="A751" t="s">
        <v>428</v>
      </c>
      <c r="B751" t="s">
        <v>3001</v>
      </c>
      <c r="C751" t="s">
        <v>3002</v>
      </c>
      <c r="D751">
        <v>14000</v>
      </c>
    </row>
    <row r="752" spans="1:4" x14ac:dyDescent="0.25">
      <c r="A752" t="s">
        <v>2479</v>
      </c>
      <c r="B752" t="s">
        <v>3003</v>
      </c>
      <c r="C752" t="s">
        <v>2652</v>
      </c>
      <c r="D752">
        <v>28.25</v>
      </c>
    </row>
    <row r="753" spans="1:4" x14ac:dyDescent="0.25">
      <c r="A753" t="s">
        <v>871</v>
      </c>
      <c r="B753" t="s">
        <v>870</v>
      </c>
      <c r="C753" t="s">
        <v>2652</v>
      </c>
      <c r="D753">
        <v>28.25</v>
      </c>
    </row>
    <row r="754" spans="1:4" x14ac:dyDescent="0.25">
      <c r="A754" t="s">
        <v>1685</v>
      </c>
      <c r="B754" t="s">
        <v>1684</v>
      </c>
      <c r="C754" t="s">
        <v>2652</v>
      </c>
      <c r="D754">
        <v>31.55</v>
      </c>
    </row>
    <row r="755" spans="1:4" x14ac:dyDescent="0.25">
      <c r="A755" t="s">
        <v>1998</v>
      </c>
      <c r="B755" t="s">
        <v>1997</v>
      </c>
      <c r="C755" t="s">
        <v>2654</v>
      </c>
      <c r="D755">
        <v>33.43</v>
      </c>
    </row>
    <row r="756" spans="1:4" x14ac:dyDescent="0.25">
      <c r="A756" t="s">
        <v>376</v>
      </c>
      <c r="B756" t="s">
        <v>3004</v>
      </c>
      <c r="C756" t="s">
        <v>2680</v>
      </c>
      <c r="D756">
        <v>6500</v>
      </c>
    </row>
    <row r="757" spans="1:4" x14ac:dyDescent="0.25">
      <c r="A757" t="s">
        <v>3005</v>
      </c>
      <c r="B757" t="s">
        <v>3006</v>
      </c>
      <c r="C757" t="s">
        <v>2652</v>
      </c>
      <c r="D757">
        <v>31.55</v>
      </c>
    </row>
    <row r="758" spans="1:4" x14ac:dyDescent="0.25">
      <c r="A758" t="s">
        <v>3007</v>
      </c>
      <c r="B758" t="s">
        <v>3008</v>
      </c>
      <c r="C758" t="s">
        <v>2654</v>
      </c>
      <c r="D758">
        <v>33.43</v>
      </c>
    </row>
    <row r="759" spans="1:4" x14ac:dyDescent="0.25">
      <c r="A759" t="s">
        <v>1807</v>
      </c>
      <c r="B759" t="s">
        <v>1806</v>
      </c>
      <c r="C759" t="s">
        <v>2652</v>
      </c>
      <c r="D759">
        <v>31.55</v>
      </c>
    </row>
    <row r="760" spans="1:4" x14ac:dyDescent="0.25">
      <c r="A760" t="s">
        <v>1195</v>
      </c>
      <c r="B760" t="s">
        <v>1194</v>
      </c>
      <c r="C760" t="s">
        <v>2652</v>
      </c>
      <c r="D760">
        <v>31.55</v>
      </c>
    </row>
    <row r="761" spans="1:4" x14ac:dyDescent="0.25">
      <c r="A761" t="s">
        <v>3009</v>
      </c>
      <c r="B761" t="s">
        <v>3010</v>
      </c>
      <c r="C761" t="s">
        <v>3011</v>
      </c>
      <c r="D761">
        <v>6000</v>
      </c>
    </row>
    <row r="762" spans="1:4" x14ac:dyDescent="0.25">
      <c r="A762" t="s">
        <v>891</v>
      </c>
      <c r="B762" t="s">
        <v>890</v>
      </c>
      <c r="C762" t="s">
        <v>2663</v>
      </c>
      <c r="D762">
        <v>7500</v>
      </c>
    </row>
    <row r="763" spans="1:4" x14ac:dyDescent="0.25">
      <c r="A763" t="s">
        <v>1441</v>
      </c>
      <c r="B763" t="s">
        <v>1440</v>
      </c>
      <c r="C763" t="s">
        <v>2652</v>
      </c>
      <c r="D763">
        <v>31.55</v>
      </c>
    </row>
    <row r="764" spans="1:4" x14ac:dyDescent="0.25">
      <c r="A764" t="s">
        <v>1791</v>
      </c>
      <c r="B764" t="s">
        <v>1790</v>
      </c>
      <c r="C764" t="s">
        <v>2652</v>
      </c>
      <c r="D764">
        <v>31.55</v>
      </c>
    </row>
    <row r="765" spans="1:4" x14ac:dyDescent="0.25">
      <c r="A765" t="s">
        <v>3012</v>
      </c>
      <c r="B765" t="s">
        <v>3013</v>
      </c>
      <c r="C765" t="s">
        <v>2652</v>
      </c>
      <c r="D765">
        <v>28.25</v>
      </c>
    </row>
    <row r="766" spans="1:4" x14ac:dyDescent="0.25">
      <c r="A766" t="s">
        <v>3014</v>
      </c>
      <c r="B766" t="s">
        <v>3015</v>
      </c>
      <c r="C766" t="s">
        <v>2680</v>
      </c>
      <c r="D766">
        <v>6500</v>
      </c>
    </row>
    <row r="767" spans="1:4" x14ac:dyDescent="0.25">
      <c r="A767" t="s">
        <v>1896</v>
      </c>
      <c r="B767" t="s">
        <v>1895</v>
      </c>
      <c r="C767" t="s">
        <v>2652</v>
      </c>
      <c r="D767">
        <v>31.55</v>
      </c>
    </row>
    <row r="768" spans="1:4" x14ac:dyDescent="0.25">
      <c r="A768" t="s">
        <v>372</v>
      </c>
      <c r="B768" t="s">
        <v>371</v>
      </c>
      <c r="C768" t="s">
        <v>2702</v>
      </c>
      <c r="D768">
        <v>8000</v>
      </c>
    </row>
    <row r="769" spans="1:4" x14ac:dyDescent="0.25">
      <c r="A769" t="s">
        <v>2071</v>
      </c>
      <c r="B769" t="s">
        <v>2070</v>
      </c>
      <c r="C769" t="s">
        <v>2654</v>
      </c>
      <c r="D769">
        <v>33.43</v>
      </c>
    </row>
    <row r="770" spans="1:4" x14ac:dyDescent="0.25">
      <c r="A770" t="s">
        <v>251</v>
      </c>
      <c r="B770" t="s">
        <v>250</v>
      </c>
      <c r="C770" t="s">
        <v>2987</v>
      </c>
      <c r="D770">
        <v>6500</v>
      </c>
    </row>
    <row r="771" spans="1:4" x14ac:dyDescent="0.25">
      <c r="A771" t="s">
        <v>1331</v>
      </c>
      <c r="B771" t="s">
        <v>1330</v>
      </c>
      <c r="C771" t="s">
        <v>2652</v>
      </c>
      <c r="D771">
        <v>31.55</v>
      </c>
    </row>
    <row r="772" spans="1:4" x14ac:dyDescent="0.25">
      <c r="A772" t="s">
        <v>907</v>
      </c>
      <c r="B772" t="s">
        <v>906</v>
      </c>
      <c r="C772" t="s">
        <v>2654</v>
      </c>
      <c r="D772">
        <v>30.13</v>
      </c>
    </row>
    <row r="773" spans="1:4" x14ac:dyDescent="0.25">
      <c r="A773" t="s">
        <v>1066</v>
      </c>
      <c r="B773" t="s">
        <v>1065</v>
      </c>
      <c r="C773" t="s">
        <v>2654</v>
      </c>
      <c r="D773">
        <v>33.43</v>
      </c>
    </row>
    <row r="774" spans="1:4" x14ac:dyDescent="0.25">
      <c r="A774" t="s">
        <v>3016</v>
      </c>
      <c r="B774" t="s">
        <v>3017</v>
      </c>
      <c r="C774" t="s">
        <v>2654</v>
      </c>
      <c r="D774">
        <v>33.43</v>
      </c>
    </row>
    <row r="775" spans="1:4" x14ac:dyDescent="0.25">
      <c r="A775" t="s">
        <v>2299</v>
      </c>
      <c r="B775" t="s">
        <v>2298</v>
      </c>
      <c r="C775" t="s">
        <v>2652</v>
      </c>
      <c r="D775">
        <v>28.25</v>
      </c>
    </row>
    <row r="776" spans="1:4" x14ac:dyDescent="0.25">
      <c r="A776" t="s">
        <v>1761</v>
      </c>
      <c r="B776" t="s">
        <v>1760</v>
      </c>
      <c r="C776" t="s">
        <v>2654</v>
      </c>
      <c r="D776">
        <v>33.43</v>
      </c>
    </row>
    <row r="777" spans="1:4" x14ac:dyDescent="0.25">
      <c r="A777" t="s">
        <v>2453</v>
      </c>
      <c r="B777" t="s">
        <v>3018</v>
      </c>
      <c r="C777" t="s">
        <v>2652</v>
      </c>
      <c r="D777">
        <v>28.25</v>
      </c>
    </row>
    <row r="778" spans="1:4" x14ac:dyDescent="0.25">
      <c r="A778" t="s">
        <v>2138</v>
      </c>
      <c r="B778" t="s">
        <v>2137</v>
      </c>
      <c r="C778" t="s">
        <v>2652</v>
      </c>
      <c r="D778">
        <v>31.55</v>
      </c>
    </row>
    <row r="779" spans="1:4" x14ac:dyDescent="0.25">
      <c r="A779" t="s">
        <v>1815</v>
      </c>
      <c r="B779" t="s">
        <v>1814</v>
      </c>
      <c r="C779" t="s">
        <v>2652</v>
      </c>
      <c r="D779">
        <v>31.55</v>
      </c>
    </row>
    <row r="780" spans="1:4" x14ac:dyDescent="0.25">
      <c r="A780" t="s">
        <v>763</v>
      </c>
      <c r="B780" t="s">
        <v>762</v>
      </c>
      <c r="C780" t="s">
        <v>2652</v>
      </c>
      <c r="D780">
        <v>31.55</v>
      </c>
    </row>
    <row r="781" spans="1:4" x14ac:dyDescent="0.25">
      <c r="A781" t="s">
        <v>2020</v>
      </c>
      <c r="B781" t="s">
        <v>2019</v>
      </c>
      <c r="C781" t="s">
        <v>2652</v>
      </c>
      <c r="D781">
        <v>28.25</v>
      </c>
    </row>
    <row r="782" spans="1:4" x14ac:dyDescent="0.25">
      <c r="A782" t="s">
        <v>1858</v>
      </c>
      <c r="B782" t="s">
        <v>1857</v>
      </c>
      <c r="C782" t="s">
        <v>2652</v>
      </c>
      <c r="D782">
        <v>31.55</v>
      </c>
    </row>
    <row r="783" spans="1:4" x14ac:dyDescent="0.25">
      <c r="A783" t="s">
        <v>519</v>
      </c>
      <c r="B783" t="s">
        <v>3019</v>
      </c>
      <c r="C783" t="s">
        <v>2650</v>
      </c>
      <c r="D783">
        <v>4500</v>
      </c>
    </row>
    <row r="784" spans="1:4" x14ac:dyDescent="0.25">
      <c r="A784" t="s">
        <v>1030</v>
      </c>
      <c r="B784" t="s">
        <v>1029</v>
      </c>
      <c r="C784" t="s">
        <v>2654</v>
      </c>
      <c r="D784">
        <v>33.43</v>
      </c>
    </row>
    <row r="785" spans="1:4" x14ac:dyDescent="0.25">
      <c r="A785" t="s">
        <v>3020</v>
      </c>
      <c r="B785" t="s">
        <v>3021</v>
      </c>
      <c r="C785" t="s">
        <v>2654</v>
      </c>
      <c r="D785">
        <v>33.43</v>
      </c>
    </row>
    <row r="786" spans="1:4" x14ac:dyDescent="0.25">
      <c r="A786" t="s">
        <v>274</v>
      </c>
      <c r="B786" t="s">
        <v>273</v>
      </c>
      <c r="C786" t="s">
        <v>2987</v>
      </c>
      <c r="D786">
        <v>6500</v>
      </c>
    </row>
    <row r="787" spans="1:4" x14ac:dyDescent="0.25">
      <c r="A787" t="s">
        <v>3022</v>
      </c>
      <c r="B787" t="s">
        <v>3023</v>
      </c>
      <c r="C787" t="s">
        <v>2652</v>
      </c>
      <c r="D787">
        <v>31.55</v>
      </c>
    </row>
    <row r="788" spans="1:4" x14ac:dyDescent="0.25">
      <c r="A788" t="s">
        <v>1431</v>
      </c>
      <c r="B788" t="s">
        <v>1430</v>
      </c>
      <c r="C788" t="s">
        <v>2652</v>
      </c>
      <c r="D788">
        <v>31.55</v>
      </c>
    </row>
    <row r="789" spans="1:4" x14ac:dyDescent="0.25">
      <c r="A789" t="s">
        <v>2158</v>
      </c>
      <c r="B789" t="s">
        <v>2157</v>
      </c>
      <c r="C789" t="s">
        <v>2652</v>
      </c>
      <c r="D789">
        <v>31.55</v>
      </c>
    </row>
    <row r="790" spans="1:4" x14ac:dyDescent="0.25">
      <c r="A790" t="s">
        <v>1010</v>
      </c>
      <c r="B790" t="s">
        <v>3024</v>
      </c>
      <c r="C790" t="s">
        <v>2654</v>
      </c>
      <c r="D790">
        <v>33.43</v>
      </c>
    </row>
    <row r="791" spans="1:4" x14ac:dyDescent="0.25">
      <c r="A791" t="s">
        <v>2358</v>
      </c>
      <c r="B791" t="s">
        <v>2357</v>
      </c>
      <c r="C791" t="s">
        <v>2652</v>
      </c>
      <c r="D791">
        <v>28.25</v>
      </c>
    </row>
    <row r="792" spans="1:4" x14ac:dyDescent="0.25">
      <c r="A792" t="s">
        <v>2117</v>
      </c>
      <c r="B792" t="s">
        <v>2116</v>
      </c>
      <c r="C792" t="s">
        <v>2652</v>
      </c>
      <c r="D792">
        <v>31.55</v>
      </c>
    </row>
    <row r="793" spans="1:4" x14ac:dyDescent="0.25">
      <c r="A793" t="s">
        <v>2352</v>
      </c>
      <c r="B793" t="s">
        <v>2351</v>
      </c>
      <c r="C793" t="s">
        <v>2652</v>
      </c>
      <c r="D793">
        <v>31.55</v>
      </c>
    </row>
    <row r="794" spans="1:4" x14ac:dyDescent="0.25">
      <c r="A794" t="s">
        <v>1259</v>
      </c>
      <c r="B794" t="s">
        <v>1258</v>
      </c>
      <c r="C794" t="s">
        <v>2652</v>
      </c>
      <c r="D794">
        <v>31.55</v>
      </c>
    </row>
    <row r="795" spans="1:4" x14ac:dyDescent="0.25">
      <c r="A795" t="s">
        <v>939</v>
      </c>
      <c r="B795" t="s">
        <v>938</v>
      </c>
      <c r="C795" t="s">
        <v>2654</v>
      </c>
      <c r="D795">
        <v>33.43</v>
      </c>
    </row>
    <row r="796" spans="1:4" x14ac:dyDescent="0.25">
      <c r="A796" t="s">
        <v>1111</v>
      </c>
      <c r="B796" t="s">
        <v>1110</v>
      </c>
      <c r="C796" t="s">
        <v>2652</v>
      </c>
      <c r="D796">
        <v>31.55</v>
      </c>
    </row>
    <row r="797" spans="1:4" x14ac:dyDescent="0.25">
      <c r="A797" t="s">
        <v>3025</v>
      </c>
      <c r="B797" t="s">
        <v>3026</v>
      </c>
      <c r="C797" t="s">
        <v>2652</v>
      </c>
      <c r="D797">
        <v>31.55</v>
      </c>
    </row>
    <row r="798" spans="1:4" x14ac:dyDescent="0.25">
      <c r="A798" t="s">
        <v>505</v>
      </c>
      <c r="B798" t="s">
        <v>3027</v>
      </c>
      <c r="C798" t="s">
        <v>2698</v>
      </c>
      <c r="D798">
        <v>5500</v>
      </c>
    </row>
    <row r="799" spans="1:4" x14ac:dyDescent="0.25">
      <c r="A799" t="s">
        <v>975</v>
      </c>
      <c r="B799" t="s">
        <v>974</v>
      </c>
      <c r="C799" t="s">
        <v>2654</v>
      </c>
      <c r="D799">
        <v>33.43</v>
      </c>
    </row>
    <row r="800" spans="1:4" x14ac:dyDescent="0.25">
      <c r="A800" t="s">
        <v>723</v>
      </c>
      <c r="B800" t="s">
        <v>722</v>
      </c>
      <c r="C800" t="s">
        <v>2654</v>
      </c>
      <c r="D800">
        <v>33.43</v>
      </c>
    </row>
    <row r="801" spans="1:4" x14ac:dyDescent="0.25">
      <c r="A801" t="s">
        <v>3028</v>
      </c>
      <c r="B801" t="s">
        <v>3029</v>
      </c>
      <c r="C801" t="s">
        <v>2652</v>
      </c>
      <c r="D801">
        <v>31.55</v>
      </c>
    </row>
    <row r="802" spans="1:4" x14ac:dyDescent="0.25">
      <c r="A802" t="s">
        <v>161</v>
      </c>
      <c r="B802" t="s">
        <v>160</v>
      </c>
      <c r="C802" t="s">
        <v>2731</v>
      </c>
      <c r="D802">
        <v>7100</v>
      </c>
    </row>
    <row r="803" spans="1:4" x14ac:dyDescent="0.25">
      <c r="A803" t="s">
        <v>1886</v>
      </c>
      <c r="B803" t="s">
        <v>1885</v>
      </c>
      <c r="C803" t="s">
        <v>2652</v>
      </c>
      <c r="D803">
        <v>28.25</v>
      </c>
    </row>
    <row r="804" spans="1:4" x14ac:dyDescent="0.25">
      <c r="A804" t="s">
        <v>1758</v>
      </c>
      <c r="B804" t="s">
        <v>1757</v>
      </c>
      <c r="C804" t="s">
        <v>2663</v>
      </c>
      <c r="D804">
        <v>7500</v>
      </c>
    </row>
    <row r="805" spans="1:4" x14ac:dyDescent="0.25">
      <c r="A805" t="s">
        <v>1497</v>
      </c>
      <c r="B805" t="s">
        <v>1496</v>
      </c>
      <c r="C805" t="s">
        <v>2652</v>
      </c>
      <c r="D805">
        <v>31.55</v>
      </c>
    </row>
    <row r="806" spans="1:4" x14ac:dyDescent="0.25">
      <c r="A806" t="s">
        <v>847</v>
      </c>
      <c r="B806" t="s">
        <v>846</v>
      </c>
      <c r="C806" t="s">
        <v>2654</v>
      </c>
      <c r="D806">
        <v>33.43</v>
      </c>
    </row>
    <row r="807" spans="1:4" x14ac:dyDescent="0.25">
      <c r="A807" t="s">
        <v>2150</v>
      </c>
      <c r="B807" t="s">
        <v>2149</v>
      </c>
      <c r="C807" t="s">
        <v>2652</v>
      </c>
      <c r="D807">
        <v>31.55</v>
      </c>
    </row>
    <row r="808" spans="1:4" x14ac:dyDescent="0.25">
      <c r="A808" t="s">
        <v>2004</v>
      </c>
      <c r="B808" t="s">
        <v>2003</v>
      </c>
      <c r="C808" t="s">
        <v>2652</v>
      </c>
      <c r="D808">
        <v>31.55</v>
      </c>
    </row>
    <row r="809" spans="1:4" x14ac:dyDescent="0.25">
      <c r="A809" t="s">
        <v>3030</v>
      </c>
      <c r="B809" t="s">
        <v>3031</v>
      </c>
      <c r="C809" t="s">
        <v>2652</v>
      </c>
      <c r="D809">
        <v>28.25</v>
      </c>
    </row>
    <row r="810" spans="1:4" x14ac:dyDescent="0.25">
      <c r="A810" t="s">
        <v>1002</v>
      </c>
      <c r="B810" t="s">
        <v>1001</v>
      </c>
      <c r="C810" t="s">
        <v>2654</v>
      </c>
      <c r="D810">
        <v>33.43</v>
      </c>
    </row>
    <row r="811" spans="1:4" x14ac:dyDescent="0.25">
      <c r="A811" t="s">
        <v>1745</v>
      </c>
      <c r="B811" t="s">
        <v>1744</v>
      </c>
      <c r="C811" t="s">
        <v>2652</v>
      </c>
      <c r="D811">
        <v>31.55</v>
      </c>
    </row>
    <row r="812" spans="1:4" x14ac:dyDescent="0.25">
      <c r="A812" t="s">
        <v>1602</v>
      </c>
      <c r="B812" t="s">
        <v>3032</v>
      </c>
      <c r="C812" t="s">
        <v>2652</v>
      </c>
      <c r="D812">
        <v>31.55</v>
      </c>
    </row>
    <row r="813" spans="1:4" x14ac:dyDescent="0.25">
      <c r="A813" t="s">
        <v>1832</v>
      </c>
      <c r="B813" t="s">
        <v>1831</v>
      </c>
      <c r="C813" t="s">
        <v>2652</v>
      </c>
      <c r="D813">
        <v>31.55</v>
      </c>
    </row>
    <row r="814" spans="1:4" x14ac:dyDescent="0.25">
      <c r="A814" t="s">
        <v>3033</v>
      </c>
      <c r="B814" t="s">
        <v>3034</v>
      </c>
      <c r="C814" t="s">
        <v>2652</v>
      </c>
      <c r="D814">
        <v>31.55</v>
      </c>
    </row>
    <row r="815" spans="1:4" x14ac:dyDescent="0.25">
      <c r="A815" t="s">
        <v>292</v>
      </c>
      <c r="B815" t="s">
        <v>3035</v>
      </c>
      <c r="C815" t="s">
        <v>2720</v>
      </c>
      <c r="D815">
        <v>9000</v>
      </c>
    </row>
    <row r="816" spans="1:4" x14ac:dyDescent="0.25">
      <c r="A816" t="s">
        <v>1433</v>
      </c>
      <c r="B816" t="s">
        <v>1432</v>
      </c>
      <c r="C816" t="s">
        <v>2652</v>
      </c>
      <c r="D816">
        <v>28.25</v>
      </c>
    </row>
    <row r="817" spans="1:4" x14ac:dyDescent="0.25">
      <c r="A817" t="s">
        <v>3036</v>
      </c>
      <c r="B817" t="s">
        <v>3037</v>
      </c>
      <c r="C817" t="s">
        <v>2652</v>
      </c>
      <c r="D817">
        <v>31.55</v>
      </c>
    </row>
    <row r="818" spans="1:4" x14ac:dyDescent="0.25">
      <c r="A818" t="s">
        <v>3038</v>
      </c>
      <c r="B818" t="s">
        <v>3039</v>
      </c>
      <c r="C818" t="s">
        <v>2652</v>
      </c>
      <c r="D818">
        <v>31.55</v>
      </c>
    </row>
    <row r="819" spans="1:4" x14ac:dyDescent="0.25">
      <c r="A819" t="s">
        <v>816</v>
      </c>
      <c r="B819" t="s">
        <v>815</v>
      </c>
      <c r="C819" t="s">
        <v>2652</v>
      </c>
      <c r="D819">
        <v>31.55</v>
      </c>
    </row>
    <row r="820" spans="1:4" x14ac:dyDescent="0.25">
      <c r="A820" t="s">
        <v>469</v>
      </c>
      <c r="B820" t="s">
        <v>468</v>
      </c>
      <c r="C820" t="s">
        <v>2698</v>
      </c>
      <c r="D820">
        <v>5500</v>
      </c>
    </row>
    <row r="821" spans="1:4" x14ac:dyDescent="0.25">
      <c r="A821" t="s">
        <v>1252</v>
      </c>
      <c r="B821" t="s">
        <v>1251</v>
      </c>
      <c r="C821" t="s">
        <v>2652</v>
      </c>
      <c r="D821">
        <v>31.55</v>
      </c>
    </row>
    <row r="822" spans="1:4" x14ac:dyDescent="0.25">
      <c r="A822" t="s">
        <v>2269</v>
      </c>
      <c r="B822" t="s">
        <v>2268</v>
      </c>
      <c r="C822" t="s">
        <v>2652</v>
      </c>
      <c r="D822">
        <v>31.55</v>
      </c>
    </row>
    <row r="823" spans="1:4" x14ac:dyDescent="0.25">
      <c r="A823" t="s">
        <v>233</v>
      </c>
      <c r="B823" t="s">
        <v>3040</v>
      </c>
      <c r="C823" t="s">
        <v>2671</v>
      </c>
      <c r="D823">
        <v>7500</v>
      </c>
    </row>
    <row r="824" spans="1:4" x14ac:dyDescent="0.25">
      <c r="A824" t="s">
        <v>240</v>
      </c>
      <c r="B824" t="s">
        <v>3041</v>
      </c>
      <c r="C824" t="s">
        <v>2900</v>
      </c>
      <c r="D824">
        <v>9000</v>
      </c>
    </row>
    <row r="825" spans="1:4" x14ac:dyDescent="0.25">
      <c r="A825" t="s">
        <v>879</v>
      </c>
      <c r="B825" t="s">
        <v>878</v>
      </c>
      <c r="C825" t="s">
        <v>2654</v>
      </c>
      <c r="D825">
        <v>33.43</v>
      </c>
    </row>
    <row r="826" spans="1:4" x14ac:dyDescent="0.25">
      <c r="A826" t="s">
        <v>2091</v>
      </c>
      <c r="B826" t="s">
        <v>2090</v>
      </c>
      <c r="C826" t="s">
        <v>2652</v>
      </c>
      <c r="D826">
        <v>31.55</v>
      </c>
    </row>
    <row r="827" spans="1:4" x14ac:dyDescent="0.25">
      <c r="A827" t="s">
        <v>2146</v>
      </c>
      <c r="B827" t="s">
        <v>2145</v>
      </c>
      <c r="C827" t="s">
        <v>2652</v>
      </c>
      <c r="D827">
        <v>31.55</v>
      </c>
    </row>
    <row r="828" spans="1:4" x14ac:dyDescent="0.25">
      <c r="A828" t="s">
        <v>1705</v>
      </c>
      <c r="B828" t="s">
        <v>1704</v>
      </c>
      <c r="C828" t="s">
        <v>2652</v>
      </c>
      <c r="D828">
        <v>31.55</v>
      </c>
    </row>
    <row r="829" spans="1:4" x14ac:dyDescent="0.25">
      <c r="A829" t="s">
        <v>2044</v>
      </c>
      <c r="B829" t="s">
        <v>3042</v>
      </c>
      <c r="C829" t="s">
        <v>2652</v>
      </c>
      <c r="D829">
        <v>31.55</v>
      </c>
    </row>
    <row r="830" spans="1:4" x14ac:dyDescent="0.25">
      <c r="A830" t="s">
        <v>1787</v>
      </c>
      <c r="B830" t="s">
        <v>3043</v>
      </c>
      <c r="C830" t="s">
        <v>2652</v>
      </c>
      <c r="D830">
        <v>31.55</v>
      </c>
    </row>
    <row r="831" spans="1:4" x14ac:dyDescent="0.25">
      <c r="A831" t="s">
        <v>2283</v>
      </c>
      <c r="B831" t="s">
        <v>2282</v>
      </c>
      <c r="C831" t="s">
        <v>2652</v>
      </c>
      <c r="D831">
        <v>31.55</v>
      </c>
    </row>
    <row r="832" spans="1:4" x14ac:dyDescent="0.25">
      <c r="A832" t="s">
        <v>1337</v>
      </c>
      <c r="B832" t="s">
        <v>1336</v>
      </c>
      <c r="C832" t="s">
        <v>2652</v>
      </c>
      <c r="D832">
        <v>31.55</v>
      </c>
    </row>
    <row r="833" spans="1:4" x14ac:dyDescent="0.25">
      <c r="A833" t="s">
        <v>257</v>
      </c>
      <c r="B833" t="s">
        <v>256</v>
      </c>
      <c r="C833" t="s">
        <v>3044</v>
      </c>
      <c r="D833">
        <v>15000</v>
      </c>
    </row>
    <row r="834" spans="1:4" x14ac:dyDescent="0.25">
      <c r="A834" t="s">
        <v>3045</v>
      </c>
      <c r="B834" t="s">
        <v>3046</v>
      </c>
      <c r="C834" t="s">
        <v>2654</v>
      </c>
      <c r="D834">
        <v>33.43</v>
      </c>
    </row>
    <row r="835" spans="1:4" x14ac:dyDescent="0.25">
      <c r="A835" t="s">
        <v>3047</v>
      </c>
      <c r="B835" t="s">
        <v>3048</v>
      </c>
      <c r="C835" t="s">
        <v>2652</v>
      </c>
      <c r="D835">
        <v>28.25</v>
      </c>
    </row>
    <row r="836" spans="1:4" x14ac:dyDescent="0.25">
      <c r="A836" t="s">
        <v>725</v>
      </c>
      <c r="B836" t="s">
        <v>724</v>
      </c>
      <c r="C836" t="s">
        <v>2652</v>
      </c>
      <c r="D836">
        <v>31.55</v>
      </c>
    </row>
    <row r="837" spans="1:4" x14ac:dyDescent="0.25">
      <c r="A837" t="s">
        <v>1716</v>
      </c>
      <c r="B837" t="s">
        <v>1715</v>
      </c>
      <c r="C837" t="s">
        <v>2652</v>
      </c>
      <c r="D837">
        <v>31.55</v>
      </c>
    </row>
    <row r="838" spans="1:4" x14ac:dyDescent="0.25">
      <c r="A838" t="s">
        <v>3049</v>
      </c>
      <c r="B838" t="s">
        <v>3050</v>
      </c>
      <c r="C838" t="s">
        <v>2652</v>
      </c>
      <c r="D838">
        <v>28.25</v>
      </c>
    </row>
    <row r="839" spans="1:4" x14ac:dyDescent="0.25">
      <c r="A839" t="s">
        <v>378</v>
      </c>
      <c r="B839" t="s">
        <v>377</v>
      </c>
      <c r="C839" t="s">
        <v>2680</v>
      </c>
      <c r="D839">
        <v>6500</v>
      </c>
    </row>
    <row r="840" spans="1:4" x14ac:dyDescent="0.25">
      <c r="A840" t="s">
        <v>1411</v>
      </c>
      <c r="B840" t="s">
        <v>1410</v>
      </c>
      <c r="C840" t="s">
        <v>2652</v>
      </c>
      <c r="D840">
        <v>31.55</v>
      </c>
    </row>
    <row r="841" spans="1:4" x14ac:dyDescent="0.25">
      <c r="A841" t="s">
        <v>2257</v>
      </c>
      <c r="B841" t="s">
        <v>2256</v>
      </c>
      <c r="C841" t="s">
        <v>2652</v>
      </c>
      <c r="D841">
        <v>31.55</v>
      </c>
    </row>
    <row r="842" spans="1:4" x14ac:dyDescent="0.25">
      <c r="A842" t="s">
        <v>3051</v>
      </c>
      <c r="B842" t="s">
        <v>3052</v>
      </c>
      <c r="C842" t="s">
        <v>2656</v>
      </c>
      <c r="D842">
        <v>4800</v>
      </c>
    </row>
    <row r="843" spans="1:4" x14ac:dyDescent="0.25">
      <c r="A843" t="s">
        <v>2154</v>
      </c>
      <c r="B843" t="s">
        <v>2153</v>
      </c>
      <c r="C843" t="s">
        <v>2652</v>
      </c>
      <c r="D843">
        <v>31.55</v>
      </c>
    </row>
    <row r="844" spans="1:4" x14ac:dyDescent="0.25">
      <c r="A844" t="s">
        <v>117</v>
      </c>
      <c r="B844" t="s">
        <v>116</v>
      </c>
      <c r="C844" t="s">
        <v>2650</v>
      </c>
      <c r="D844">
        <v>4500</v>
      </c>
    </row>
    <row r="845" spans="1:4" x14ac:dyDescent="0.25">
      <c r="A845" t="s">
        <v>2162</v>
      </c>
      <c r="B845" t="s">
        <v>2161</v>
      </c>
      <c r="C845" t="s">
        <v>2652</v>
      </c>
      <c r="D845">
        <v>31.55</v>
      </c>
    </row>
    <row r="846" spans="1:4" x14ac:dyDescent="0.25">
      <c r="A846" t="s">
        <v>927</v>
      </c>
      <c r="B846" t="s">
        <v>926</v>
      </c>
      <c r="C846" t="s">
        <v>2654</v>
      </c>
      <c r="D846">
        <v>33.43</v>
      </c>
    </row>
    <row r="847" spans="1:4" x14ac:dyDescent="0.25">
      <c r="A847" t="s">
        <v>1890</v>
      </c>
      <c r="B847" t="s">
        <v>1889</v>
      </c>
      <c r="C847" t="s">
        <v>2652</v>
      </c>
      <c r="D847">
        <v>31.55</v>
      </c>
    </row>
    <row r="848" spans="1:4" x14ac:dyDescent="0.25">
      <c r="A848" t="s">
        <v>3053</v>
      </c>
      <c r="B848" t="s">
        <v>3054</v>
      </c>
      <c r="C848" t="s">
        <v>3055</v>
      </c>
      <c r="D848">
        <v>4800</v>
      </c>
    </row>
    <row r="849" spans="1:4" x14ac:dyDescent="0.25">
      <c r="A849" t="s">
        <v>1598</v>
      </c>
      <c r="B849" t="s">
        <v>3056</v>
      </c>
      <c r="C849" t="s">
        <v>2652</v>
      </c>
      <c r="D849">
        <v>31.55</v>
      </c>
    </row>
    <row r="850" spans="1:4" x14ac:dyDescent="0.25">
      <c r="A850" t="s">
        <v>3057</v>
      </c>
      <c r="B850" t="s">
        <v>3058</v>
      </c>
      <c r="C850" t="s">
        <v>2652</v>
      </c>
      <c r="D850">
        <v>31.55</v>
      </c>
    </row>
    <row r="851" spans="1:4" x14ac:dyDescent="0.25">
      <c r="A851" t="s">
        <v>1443</v>
      </c>
      <c r="B851" t="s">
        <v>1442</v>
      </c>
      <c r="C851" t="s">
        <v>2652</v>
      </c>
      <c r="D851">
        <v>31.55</v>
      </c>
    </row>
    <row r="852" spans="1:4" x14ac:dyDescent="0.25">
      <c r="A852" t="s">
        <v>1884</v>
      </c>
      <c r="B852" t="s">
        <v>1883</v>
      </c>
      <c r="C852" t="s">
        <v>2654</v>
      </c>
      <c r="D852">
        <v>33.43</v>
      </c>
    </row>
    <row r="853" spans="1:4" x14ac:dyDescent="0.25">
      <c r="A853" t="s">
        <v>1000</v>
      </c>
      <c r="B853" t="s">
        <v>999</v>
      </c>
      <c r="C853" t="s">
        <v>2654</v>
      </c>
      <c r="D853">
        <v>33.43</v>
      </c>
    </row>
    <row r="854" spans="1:4" x14ac:dyDescent="0.25">
      <c r="A854" t="s">
        <v>996</v>
      </c>
      <c r="B854" t="s">
        <v>995</v>
      </c>
      <c r="C854" t="s">
        <v>2654</v>
      </c>
      <c r="D854">
        <v>33.43</v>
      </c>
    </row>
    <row r="855" spans="1:4" x14ac:dyDescent="0.25">
      <c r="A855" t="s">
        <v>1722</v>
      </c>
      <c r="B855" t="s">
        <v>1721</v>
      </c>
      <c r="C855" t="s">
        <v>2652</v>
      </c>
      <c r="D855">
        <v>31.55</v>
      </c>
    </row>
    <row r="856" spans="1:4" x14ac:dyDescent="0.25">
      <c r="A856" t="s">
        <v>2317</v>
      </c>
      <c r="B856" t="s">
        <v>2316</v>
      </c>
      <c r="C856" t="s">
        <v>2652</v>
      </c>
      <c r="D856">
        <v>28.25</v>
      </c>
    </row>
    <row r="857" spans="1:4" x14ac:dyDescent="0.25">
      <c r="A857" t="s">
        <v>146</v>
      </c>
      <c r="B857" t="s">
        <v>145</v>
      </c>
      <c r="C857" t="s">
        <v>2652</v>
      </c>
      <c r="D857">
        <v>28.25</v>
      </c>
    </row>
    <row r="858" spans="1:4" x14ac:dyDescent="0.25">
      <c r="A858" t="s">
        <v>541</v>
      </c>
      <c r="B858" t="s">
        <v>540</v>
      </c>
      <c r="C858" t="s">
        <v>2650</v>
      </c>
      <c r="D858">
        <v>4500</v>
      </c>
    </row>
    <row r="859" spans="1:4" x14ac:dyDescent="0.25">
      <c r="A859" t="s">
        <v>1488</v>
      </c>
      <c r="B859" t="s">
        <v>1487</v>
      </c>
      <c r="C859" t="s">
        <v>2654</v>
      </c>
      <c r="D859">
        <v>33.43</v>
      </c>
    </row>
    <row r="860" spans="1:4" x14ac:dyDescent="0.25">
      <c r="A860" t="s">
        <v>2233</v>
      </c>
      <c r="B860" t="s">
        <v>2232</v>
      </c>
      <c r="C860" t="s">
        <v>2663</v>
      </c>
      <c r="D860">
        <v>7500</v>
      </c>
    </row>
    <row r="861" spans="1:4" x14ac:dyDescent="0.25">
      <c r="A861" t="s">
        <v>969</v>
      </c>
      <c r="B861" t="s">
        <v>968</v>
      </c>
      <c r="C861" t="s">
        <v>2652</v>
      </c>
      <c r="D861">
        <v>28.25</v>
      </c>
    </row>
    <row r="862" spans="1:4" x14ac:dyDescent="0.25">
      <c r="A862" t="s">
        <v>985</v>
      </c>
      <c r="B862" t="s">
        <v>984</v>
      </c>
      <c r="C862" t="s">
        <v>2654</v>
      </c>
      <c r="D862">
        <v>33.43</v>
      </c>
    </row>
    <row r="863" spans="1:4" x14ac:dyDescent="0.25">
      <c r="A863" t="s">
        <v>3059</v>
      </c>
      <c r="B863" t="s">
        <v>3060</v>
      </c>
      <c r="C863" t="s">
        <v>2650</v>
      </c>
      <c r="D863">
        <v>4500</v>
      </c>
    </row>
    <row r="864" spans="1:4" x14ac:dyDescent="0.25">
      <c r="A864" t="s">
        <v>1296</v>
      </c>
      <c r="B864" t="s">
        <v>3061</v>
      </c>
      <c r="C864" t="s">
        <v>2652</v>
      </c>
      <c r="D864">
        <v>31.55</v>
      </c>
    </row>
    <row r="865" spans="1:4" x14ac:dyDescent="0.25">
      <c r="A865" t="s">
        <v>1793</v>
      </c>
      <c r="B865" t="s">
        <v>1792</v>
      </c>
      <c r="C865" t="s">
        <v>2652</v>
      </c>
      <c r="D865">
        <v>28.25</v>
      </c>
    </row>
    <row r="866" spans="1:4" x14ac:dyDescent="0.25">
      <c r="A866" t="s">
        <v>3062</v>
      </c>
      <c r="B866" t="s">
        <v>3063</v>
      </c>
      <c r="C866" t="s">
        <v>2652</v>
      </c>
      <c r="D866">
        <v>28.25</v>
      </c>
    </row>
    <row r="867" spans="1:4" x14ac:dyDescent="0.25">
      <c r="A867" t="s">
        <v>1050</v>
      </c>
      <c r="B867" t="s">
        <v>1049</v>
      </c>
      <c r="C867" t="s">
        <v>2654</v>
      </c>
      <c r="D867">
        <v>33.43</v>
      </c>
    </row>
    <row r="868" spans="1:4" x14ac:dyDescent="0.25">
      <c r="A868" t="s">
        <v>3064</v>
      </c>
      <c r="B868" t="s">
        <v>3065</v>
      </c>
      <c r="C868" t="s">
        <v>2654</v>
      </c>
      <c r="D868">
        <v>33.43</v>
      </c>
    </row>
    <row r="869" spans="1:4" x14ac:dyDescent="0.25">
      <c r="A869" t="s">
        <v>187</v>
      </c>
      <c r="B869" t="s">
        <v>186</v>
      </c>
      <c r="C869" t="s">
        <v>2823</v>
      </c>
      <c r="D869">
        <v>6500</v>
      </c>
    </row>
    <row r="870" spans="1:4" x14ac:dyDescent="0.25">
      <c r="A870" t="s">
        <v>1734</v>
      </c>
      <c r="B870" t="s">
        <v>1733</v>
      </c>
      <c r="C870" t="s">
        <v>2652</v>
      </c>
      <c r="D870">
        <v>31.55</v>
      </c>
    </row>
    <row r="871" spans="1:4" x14ac:dyDescent="0.25">
      <c r="A871" t="s">
        <v>2362</v>
      </c>
      <c r="B871" t="s">
        <v>2361</v>
      </c>
      <c r="C871" t="s">
        <v>2652</v>
      </c>
      <c r="D871">
        <v>31.55</v>
      </c>
    </row>
    <row r="872" spans="1:4" x14ac:dyDescent="0.25">
      <c r="A872" t="s">
        <v>507</v>
      </c>
      <c r="B872" t="s">
        <v>506</v>
      </c>
      <c r="C872" t="s">
        <v>2650</v>
      </c>
      <c r="D872">
        <v>4500</v>
      </c>
    </row>
    <row r="873" spans="1:4" x14ac:dyDescent="0.25">
      <c r="A873" t="s">
        <v>1206</v>
      </c>
      <c r="B873" t="s">
        <v>1205</v>
      </c>
      <c r="C873" t="s">
        <v>2652</v>
      </c>
      <c r="D873">
        <v>31.55</v>
      </c>
    </row>
    <row r="874" spans="1:4" x14ac:dyDescent="0.25">
      <c r="A874" t="s">
        <v>3066</v>
      </c>
      <c r="B874" t="s">
        <v>3067</v>
      </c>
      <c r="C874" t="s">
        <v>2654</v>
      </c>
      <c r="D874">
        <v>33.43</v>
      </c>
    </row>
    <row r="875" spans="1:4" x14ac:dyDescent="0.25">
      <c r="A875" t="s">
        <v>585</v>
      </c>
      <c r="B875" t="s">
        <v>3068</v>
      </c>
      <c r="C875" t="s">
        <v>2650</v>
      </c>
      <c r="D875">
        <v>4500</v>
      </c>
    </row>
    <row r="876" spans="1:4" x14ac:dyDescent="0.25">
      <c r="A876" t="s">
        <v>719</v>
      </c>
      <c r="B876" t="s">
        <v>718</v>
      </c>
      <c r="C876" t="s">
        <v>2654</v>
      </c>
      <c r="D876">
        <v>33.43</v>
      </c>
    </row>
    <row r="877" spans="1:4" x14ac:dyDescent="0.25">
      <c r="A877" t="s">
        <v>761</v>
      </c>
      <c r="B877" t="s">
        <v>760</v>
      </c>
      <c r="C877" t="s">
        <v>2663</v>
      </c>
      <c r="D877">
        <v>7500</v>
      </c>
    </row>
    <row r="878" spans="1:4" x14ac:dyDescent="0.25">
      <c r="A878" t="s">
        <v>1408</v>
      </c>
      <c r="B878" t="s">
        <v>1407</v>
      </c>
      <c r="C878" t="s">
        <v>2652</v>
      </c>
      <c r="D878">
        <v>28.25</v>
      </c>
    </row>
    <row r="879" spans="1:4" x14ac:dyDescent="0.25">
      <c r="A879" t="s">
        <v>587</v>
      </c>
      <c r="B879" t="s">
        <v>586</v>
      </c>
      <c r="C879" t="s">
        <v>2650</v>
      </c>
      <c r="D879">
        <v>4500</v>
      </c>
    </row>
    <row r="880" spans="1:4" x14ac:dyDescent="0.25">
      <c r="A880" t="s">
        <v>851</v>
      </c>
      <c r="B880" t="s">
        <v>850</v>
      </c>
      <c r="C880" t="s">
        <v>2654</v>
      </c>
      <c r="D880">
        <v>33.43</v>
      </c>
    </row>
    <row r="881" spans="1:4" x14ac:dyDescent="0.25">
      <c r="A881" t="s">
        <v>149</v>
      </c>
      <c r="B881" t="s">
        <v>148</v>
      </c>
      <c r="C881" t="s">
        <v>2652</v>
      </c>
      <c r="D881">
        <v>28.25</v>
      </c>
    </row>
    <row r="882" spans="1:4" x14ac:dyDescent="0.25">
      <c r="A882" t="s">
        <v>395</v>
      </c>
      <c r="B882" t="s">
        <v>3069</v>
      </c>
      <c r="C882" t="s">
        <v>2680</v>
      </c>
      <c r="D882">
        <v>5300</v>
      </c>
    </row>
    <row r="883" spans="1:4" x14ac:dyDescent="0.25">
      <c r="A883" t="s">
        <v>2342</v>
      </c>
      <c r="B883" t="s">
        <v>2341</v>
      </c>
      <c r="C883" t="s">
        <v>2652</v>
      </c>
      <c r="D883">
        <v>31.55</v>
      </c>
    </row>
    <row r="884" spans="1:4" x14ac:dyDescent="0.25">
      <c r="A884" t="s">
        <v>2136</v>
      </c>
      <c r="B884" t="s">
        <v>2135</v>
      </c>
      <c r="C884" t="s">
        <v>2652</v>
      </c>
      <c r="D884">
        <v>31.55</v>
      </c>
    </row>
    <row r="885" spans="1:4" x14ac:dyDescent="0.25">
      <c r="A885" t="s">
        <v>559</v>
      </c>
      <c r="B885" t="s">
        <v>558</v>
      </c>
      <c r="C885" t="s">
        <v>2650</v>
      </c>
      <c r="D885">
        <v>4500</v>
      </c>
    </row>
    <row r="886" spans="1:4" x14ac:dyDescent="0.25">
      <c r="A886" t="s">
        <v>697</v>
      </c>
      <c r="B886" t="s">
        <v>696</v>
      </c>
      <c r="C886" t="s">
        <v>2652</v>
      </c>
      <c r="D886">
        <v>31.55</v>
      </c>
    </row>
    <row r="887" spans="1:4" x14ac:dyDescent="0.25">
      <c r="A887" t="s">
        <v>2064</v>
      </c>
      <c r="B887" t="s">
        <v>3070</v>
      </c>
      <c r="C887" t="s">
        <v>2652</v>
      </c>
      <c r="D887">
        <v>31.55</v>
      </c>
    </row>
    <row r="888" spans="1:4" x14ac:dyDescent="0.25">
      <c r="A888" t="s">
        <v>434</v>
      </c>
      <c r="B888" t="s">
        <v>3071</v>
      </c>
      <c r="C888" t="s">
        <v>2698</v>
      </c>
      <c r="D888">
        <v>5500</v>
      </c>
    </row>
    <row r="889" spans="1:4" x14ac:dyDescent="0.25">
      <c r="A889" t="s">
        <v>705</v>
      </c>
      <c r="B889" t="s">
        <v>3072</v>
      </c>
      <c r="C889" t="s">
        <v>2654</v>
      </c>
      <c r="D889">
        <v>33.43</v>
      </c>
    </row>
    <row r="890" spans="1:4" x14ac:dyDescent="0.25">
      <c r="A890" t="s">
        <v>482</v>
      </c>
      <c r="B890" t="s">
        <v>481</v>
      </c>
      <c r="C890" t="s">
        <v>2698</v>
      </c>
      <c r="D890">
        <v>5500</v>
      </c>
    </row>
    <row r="891" spans="1:4" x14ac:dyDescent="0.25">
      <c r="A891" t="s">
        <v>2271</v>
      </c>
      <c r="B891" t="s">
        <v>2270</v>
      </c>
      <c r="C891" t="s">
        <v>2652</v>
      </c>
      <c r="D891">
        <v>31.55</v>
      </c>
    </row>
    <row r="892" spans="1:4" x14ac:dyDescent="0.25">
      <c r="A892" t="s">
        <v>579</v>
      </c>
      <c r="B892" t="s">
        <v>578</v>
      </c>
      <c r="C892" t="s">
        <v>2650</v>
      </c>
      <c r="D892">
        <v>4500</v>
      </c>
    </row>
    <row r="893" spans="1:4" x14ac:dyDescent="0.25">
      <c r="A893" t="s">
        <v>1773</v>
      </c>
      <c r="B893" t="s">
        <v>1772</v>
      </c>
      <c r="C893" t="s">
        <v>2652</v>
      </c>
      <c r="D893">
        <v>31.55</v>
      </c>
    </row>
    <row r="894" spans="1:4" x14ac:dyDescent="0.25">
      <c r="A894" t="s">
        <v>189</v>
      </c>
      <c r="B894" t="s">
        <v>188</v>
      </c>
      <c r="C894" t="s">
        <v>3073</v>
      </c>
      <c r="D894">
        <v>25000</v>
      </c>
    </row>
    <row r="895" spans="1:4" x14ac:dyDescent="0.25">
      <c r="A895" t="s">
        <v>1445</v>
      </c>
      <c r="B895" t="s">
        <v>1444</v>
      </c>
      <c r="C895" t="s">
        <v>2652</v>
      </c>
      <c r="D895">
        <v>31.55</v>
      </c>
    </row>
    <row r="896" spans="1:4" x14ac:dyDescent="0.25">
      <c r="A896" t="s">
        <v>1594</v>
      </c>
      <c r="B896" t="s">
        <v>1593</v>
      </c>
      <c r="C896" t="s">
        <v>2654</v>
      </c>
      <c r="D896">
        <v>33.43</v>
      </c>
    </row>
    <row r="897" spans="1:4" x14ac:dyDescent="0.25">
      <c r="A897" t="s">
        <v>3074</v>
      </c>
      <c r="B897" t="s">
        <v>3075</v>
      </c>
      <c r="C897" t="s">
        <v>2652</v>
      </c>
      <c r="D897">
        <v>31.55</v>
      </c>
    </row>
    <row r="898" spans="1:4" x14ac:dyDescent="0.25">
      <c r="A898" t="s">
        <v>1738</v>
      </c>
      <c r="B898" t="s">
        <v>1737</v>
      </c>
      <c r="C898" t="s">
        <v>2652</v>
      </c>
      <c r="D898">
        <v>31.55</v>
      </c>
    </row>
    <row r="899" spans="1:4" x14ac:dyDescent="0.25">
      <c r="A899" t="s">
        <v>3076</v>
      </c>
      <c r="B899" t="s">
        <v>3077</v>
      </c>
      <c r="C899" t="s">
        <v>2654</v>
      </c>
      <c r="D899">
        <v>33.43</v>
      </c>
    </row>
    <row r="900" spans="1:4" x14ac:dyDescent="0.25">
      <c r="A900" t="s">
        <v>1556</v>
      </c>
      <c r="B900" t="s">
        <v>1555</v>
      </c>
      <c r="C900" t="s">
        <v>2652</v>
      </c>
      <c r="D900">
        <v>31.55</v>
      </c>
    </row>
    <row r="901" spans="1:4" x14ac:dyDescent="0.25">
      <c r="A901" t="s">
        <v>278</v>
      </c>
      <c r="B901" t="s">
        <v>3078</v>
      </c>
      <c r="C901" t="s">
        <v>2680</v>
      </c>
      <c r="D901">
        <v>6500</v>
      </c>
    </row>
    <row r="902" spans="1:4" x14ac:dyDescent="0.25">
      <c r="A902" t="s">
        <v>668</v>
      </c>
      <c r="B902" t="s">
        <v>3079</v>
      </c>
      <c r="C902" t="s">
        <v>2656</v>
      </c>
      <c r="D902">
        <v>4800</v>
      </c>
    </row>
    <row r="903" spans="1:4" x14ac:dyDescent="0.25">
      <c r="A903" t="s">
        <v>2293</v>
      </c>
      <c r="B903" t="s">
        <v>2292</v>
      </c>
      <c r="C903" t="s">
        <v>2663</v>
      </c>
      <c r="D903">
        <v>7500</v>
      </c>
    </row>
    <row r="904" spans="1:4" x14ac:dyDescent="0.25">
      <c r="A904" t="s">
        <v>1492</v>
      </c>
      <c r="B904" t="s">
        <v>1491</v>
      </c>
      <c r="C904" t="s">
        <v>2652</v>
      </c>
      <c r="D904">
        <v>31.55</v>
      </c>
    </row>
    <row r="905" spans="1:4" x14ac:dyDescent="0.25">
      <c r="A905" t="s">
        <v>1973</v>
      </c>
      <c r="B905" t="s">
        <v>1972</v>
      </c>
      <c r="C905" t="s">
        <v>2652</v>
      </c>
      <c r="D905">
        <v>31.55</v>
      </c>
    </row>
    <row r="906" spans="1:4" x14ac:dyDescent="0.25">
      <c r="A906" t="s">
        <v>3080</v>
      </c>
      <c r="B906" t="s">
        <v>3081</v>
      </c>
      <c r="C906" t="s">
        <v>2652</v>
      </c>
      <c r="D906">
        <v>31.55</v>
      </c>
    </row>
    <row r="907" spans="1:4" x14ac:dyDescent="0.25">
      <c r="A907" t="s">
        <v>1965</v>
      </c>
      <c r="B907" t="s">
        <v>1964</v>
      </c>
      <c r="C907" t="s">
        <v>2652</v>
      </c>
      <c r="D907">
        <v>31.55</v>
      </c>
    </row>
    <row r="908" spans="1:4" x14ac:dyDescent="0.25">
      <c r="A908" t="s">
        <v>2210</v>
      </c>
      <c r="B908" t="s">
        <v>2209</v>
      </c>
      <c r="C908" t="s">
        <v>2652</v>
      </c>
      <c r="D908">
        <v>31.55</v>
      </c>
    </row>
    <row r="909" spans="1:4" x14ac:dyDescent="0.25">
      <c r="A909" t="s">
        <v>3082</v>
      </c>
      <c r="B909" t="s">
        <v>3083</v>
      </c>
      <c r="C909" t="s">
        <v>2652</v>
      </c>
      <c r="D909">
        <v>28.25</v>
      </c>
    </row>
    <row r="910" spans="1:4" x14ac:dyDescent="0.25">
      <c r="A910" t="s">
        <v>1267</v>
      </c>
      <c r="B910" t="s">
        <v>1266</v>
      </c>
      <c r="C910" t="s">
        <v>2652</v>
      </c>
      <c r="D910">
        <v>31.55</v>
      </c>
    </row>
    <row r="911" spans="1:4" x14ac:dyDescent="0.25">
      <c r="A911" t="s">
        <v>3084</v>
      </c>
      <c r="B911" t="s">
        <v>3085</v>
      </c>
      <c r="C911" t="s">
        <v>2652</v>
      </c>
      <c r="D911">
        <v>31.55</v>
      </c>
    </row>
    <row r="912" spans="1:4" x14ac:dyDescent="0.25">
      <c r="A912" t="s">
        <v>1304</v>
      </c>
      <c r="B912" t="s">
        <v>3086</v>
      </c>
      <c r="C912" t="s">
        <v>2652</v>
      </c>
      <c r="D912">
        <v>31.55</v>
      </c>
    </row>
    <row r="913" spans="1:4" x14ac:dyDescent="0.25">
      <c r="A913" t="s">
        <v>1257</v>
      </c>
      <c r="B913" t="s">
        <v>1256</v>
      </c>
      <c r="C913" t="s">
        <v>2663</v>
      </c>
      <c r="D913">
        <v>7500</v>
      </c>
    </row>
    <row r="914" spans="1:4" x14ac:dyDescent="0.25">
      <c r="A914" t="s">
        <v>757</v>
      </c>
      <c r="B914" t="s">
        <v>756</v>
      </c>
      <c r="C914" t="s">
        <v>2652</v>
      </c>
      <c r="D914">
        <v>28.25</v>
      </c>
    </row>
    <row r="915" spans="1:4" x14ac:dyDescent="0.25">
      <c r="A915" t="s">
        <v>2062</v>
      </c>
      <c r="B915" t="s">
        <v>2061</v>
      </c>
      <c r="C915" t="s">
        <v>2652</v>
      </c>
      <c r="D915">
        <v>31.55</v>
      </c>
    </row>
    <row r="916" spans="1:4" x14ac:dyDescent="0.25">
      <c r="A916" t="s">
        <v>3087</v>
      </c>
      <c r="B916" t="s">
        <v>3088</v>
      </c>
      <c r="C916" t="s">
        <v>2656</v>
      </c>
      <c r="D916">
        <v>4800</v>
      </c>
    </row>
    <row r="917" spans="1:4" x14ac:dyDescent="0.25">
      <c r="A917" t="s">
        <v>2251</v>
      </c>
      <c r="B917" t="s">
        <v>2250</v>
      </c>
      <c r="C917" t="s">
        <v>2652</v>
      </c>
      <c r="D917">
        <v>31.55</v>
      </c>
    </row>
    <row r="918" spans="1:4" x14ac:dyDescent="0.25">
      <c r="A918" t="s">
        <v>3089</v>
      </c>
      <c r="B918" t="s">
        <v>3090</v>
      </c>
      <c r="C918" t="s">
        <v>2652</v>
      </c>
      <c r="D918">
        <v>28.25</v>
      </c>
    </row>
    <row r="919" spans="1:4" x14ac:dyDescent="0.25">
      <c r="A919" t="s">
        <v>971</v>
      </c>
      <c r="B919" t="s">
        <v>3091</v>
      </c>
      <c r="C919" t="s">
        <v>2654</v>
      </c>
      <c r="D919">
        <v>33.43</v>
      </c>
    </row>
    <row r="920" spans="1:4" x14ac:dyDescent="0.25">
      <c r="A920" t="s">
        <v>497</v>
      </c>
      <c r="B920" t="s">
        <v>496</v>
      </c>
      <c r="C920" t="s">
        <v>2698</v>
      </c>
      <c r="D920">
        <v>5500</v>
      </c>
    </row>
    <row r="921" spans="1:4" x14ac:dyDescent="0.25">
      <c r="A921" t="s">
        <v>1070</v>
      </c>
      <c r="B921" t="s">
        <v>1069</v>
      </c>
      <c r="C921" t="s">
        <v>2654</v>
      </c>
      <c r="D921">
        <v>33.43</v>
      </c>
    </row>
    <row r="922" spans="1:4" x14ac:dyDescent="0.25">
      <c r="A922" t="s">
        <v>2289</v>
      </c>
      <c r="B922" t="s">
        <v>2288</v>
      </c>
      <c r="C922" t="s">
        <v>2652</v>
      </c>
      <c r="D922">
        <v>28.25</v>
      </c>
    </row>
    <row r="923" spans="1:4" x14ac:dyDescent="0.25">
      <c r="A923" t="s">
        <v>2261</v>
      </c>
      <c r="B923" t="s">
        <v>2260</v>
      </c>
      <c r="C923" t="s">
        <v>2652</v>
      </c>
      <c r="D923">
        <v>31.55</v>
      </c>
    </row>
    <row r="924" spans="1:4" x14ac:dyDescent="0.25">
      <c r="A924" t="s">
        <v>1512</v>
      </c>
      <c r="B924" t="s">
        <v>1511</v>
      </c>
      <c r="C924" t="s">
        <v>2652</v>
      </c>
      <c r="D924">
        <v>28.25</v>
      </c>
    </row>
    <row r="925" spans="1:4" x14ac:dyDescent="0.25">
      <c r="A925" t="s">
        <v>1955</v>
      </c>
      <c r="B925" t="s">
        <v>1954</v>
      </c>
      <c r="C925" t="s">
        <v>2652</v>
      </c>
      <c r="D925">
        <v>31.55</v>
      </c>
    </row>
    <row r="926" spans="1:4" x14ac:dyDescent="0.25">
      <c r="A926" t="s">
        <v>1624</v>
      </c>
      <c r="B926" t="s">
        <v>1623</v>
      </c>
      <c r="C926" t="s">
        <v>2652</v>
      </c>
      <c r="D926">
        <v>28.25</v>
      </c>
    </row>
    <row r="927" spans="1:4" x14ac:dyDescent="0.25">
      <c r="A927" t="s">
        <v>1064</v>
      </c>
      <c r="B927" t="s">
        <v>1063</v>
      </c>
      <c r="C927" t="s">
        <v>2654</v>
      </c>
      <c r="D927">
        <v>33.43</v>
      </c>
    </row>
    <row r="928" spans="1:4" x14ac:dyDescent="0.25">
      <c r="A928" t="s">
        <v>664</v>
      </c>
      <c r="B928" t="s">
        <v>663</v>
      </c>
      <c r="C928" t="s">
        <v>2656</v>
      </c>
      <c r="D928">
        <v>4800</v>
      </c>
    </row>
    <row r="929" spans="1:4" x14ac:dyDescent="0.25">
      <c r="A929" t="s">
        <v>1534</v>
      </c>
      <c r="B929" t="s">
        <v>1533</v>
      </c>
      <c r="C929" t="s">
        <v>2652</v>
      </c>
      <c r="D929">
        <v>31.55</v>
      </c>
    </row>
    <row r="930" spans="1:4" x14ac:dyDescent="0.25">
      <c r="A930" t="s">
        <v>2447</v>
      </c>
      <c r="B930" t="s">
        <v>2446</v>
      </c>
      <c r="C930" t="s">
        <v>2663</v>
      </c>
      <c r="D930">
        <v>7500</v>
      </c>
    </row>
    <row r="931" spans="1:4" x14ac:dyDescent="0.25">
      <c r="A931" t="s">
        <v>1310</v>
      </c>
      <c r="B931" t="s">
        <v>1309</v>
      </c>
      <c r="C931" t="s">
        <v>2652</v>
      </c>
      <c r="D931">
        <v>31.55</v>
      </c>
    </row>
    <row r="932" spans="1:4" x14ac:dyDescent="0.25">
      <c r="A932" t="s">
        <v>1202</v>
      </c>
      <c r="B932" t="s">
        <v>1201</v>
      </c>
      <c r="C932" t="s">
        <v>2652</v>
      </c>
      <c r="D932">
        <v>31.55</v>
      </c>
    </row>
    <row r="933" spans="1:4" x14ac:dyDescent="0.25">
      <c r="A933" t="s">
        <v>3092</v>
      </c>
      <c r="B933" t="s">
        <v>3093</v>
      </c>
      <c r="C933" t="s">
        <v>2652</v>
      </c>
      <c r="D933">
        <v>31.55</v>
      </c>
    </row>
    <row r="934" spans="1:4" x14ac:dyDescent="0.25">
      <c r="A934" t="s">
        <v>2387</v>
      </c>
      <c r="B934" t="s">
        <v>3094</v>
      </c>
      <c r="C934" t="s">
        <v>2652</v>
      </c>
      <c r="D934">
        <v>31.55</v>
      </c>
    </row>
    <row r="935" spans="1:4" x14ac:dyDescent="0.25">
      <c r="A935" t="s">
        <v>3095</v>
      </c>
      <c r="B935" t="s">
        <v>3096</v>
      </c>
      <c r="C935" t="s">
        <v>2652</v>
      </c>
      <c r="D935">
        <v>28.25</v>
      </c>
    </row>
    <row r="936" spans="1:4" x14ac:dyDescent="0.25">
      <c r="A936" t="s">
        <v>1817</v>
      </c>
      <c r="B936" t="s">
        <v>1816</v>
      </c>
      <c r="C936" t="s">
        <v>2652</v>
      </c>
      <c r="D936">
        <v>31.55</v>
      </c>
    </row>
    <row r="937" spans="1:4" x14ac:dyDescent="0.25">
      <c r="A937" t="s">
        <v>2408</v>
      </c>
      <c r="B937" t="s">
        <v>2407</v>
      </c>
      <c r="C937" t="s">
        <v>2652</v>
      </c>
      <c r="D937">
        <v>31.55</v>
      </c>
    </row>
    <row r="938" spans="1:4" x14ac:dyDescent="0.25">
      <c r="A938" t="s">
        <v>501</v>
      </c>
      <c r="B938" t="s">
        <v>500</v>
      </c>
      <c r="C938" t="s">
        <v>2698</v>
      </c>
      <c r="D938">
        <v>5500</v>
      </c>
    </row>
    <row r="939" spans="1:4" x14ac:dyDescent="0.25">
      <c r="A939" t="s">
        <v>2168</v>
      </c>
      <c r="B939" t="s">
        <v>2167</v>
      </c>
      <c r="C939" t="s">
        <v>2654</v>
      </c>
      <c r="D939">
        <v>30.13</v>
      </c>
    </row>
    <row r="940" spans="1:4" x14ac:dyDescent="0.25">
      <c r="A940" t="s">
        <v>842</v>
      </c>
      <c r="B940" t="s">
        <v>841</v>
      </c>
      <c r="C940" t="s">
        <v>2663</v>
      </c>
      <c r="D940">
        <v>7500</v>
      </c>
    </row>
    <row r="941" spans="1:4" x14ac:dyDescent="0.25">
      <c r="A941" t="s">
        <v>338</v>
      </c>
      <c r="B941" t="s">
        <v>337</v>
      </c>
      <c r="C941" t="s">
        <v>2825</v>
      </c>
      <c r="D941">
        <v>7500</v>
      </c>
    </row>
    <row r="942" spans="1:4" x14ac:dyDescent="0.25">
      <c r="A942" t="s">
        <v>3097</v>
      </c>
      <c r="B942" t="s">
        <v>3098</v>
      </c>
      <c r="C942" t="s">
        <v>2652</v>
      </c>
      <c r="D942">
        <v>28.25</v>
      </c>
    </row>
    <row r="943" spans="1:4" x14ac:dyDescent="0.25">
      <c r="A943" t="s">
        <v>1906</v>
      </c>
      <c r="B943" t="s">
        <v>1905</v>
      </c>
      <c r="C943" t="s">
        <v>2652</v>
      </c>
      <c r="D943">
        <v>31.55</v>
      </c>
    </row>
    <row r="944" spans="1:4" x14ac:dyDescent="0.25">
      <c r="A944" t="s">
        <v>1317</v>
      </c>
      <c r="B944" t="s">
        <v>1316</v>
      </c>
      <c r="C944" t="s">
        <v>2652</v>
      </c>
      <c r="D944">
        <v>28.25</v>
      </c>
    </row>
    <row r="945" spans="1:4" x14ac:dyDescent="0.25">
      <c r="A945" t="s">
        <v>798</v>
      </c>
      <c r="B945" t="s">
        <v>797</v>
      </c>
      <c r="C945" t="s">
        <v>2654</v>
      </c>
      <c r="D945">
        <v>33.43</v>
      </c>
    </row>
    <row r="946" spans="1:4" x14ac:dyDescent="0.25">
      <c r="A946" t="s">
        <v>2394</v>
      </c>
      <c r="B946" t="s">
        <v>2393</v>
      </c>
      <c r="C946" t="s">
        <v>2654</v>
      </c>
      <c r="D946">
        <v>33.43</v>
      </c>
    </row>
    <row r="947" spans="1:4" x14ac:dyDescent="0.25">
      <c r="A947" t="s">
        <v>3099</v>
      </c>
      <c r="B947" t="s">
        <v>3100</v>
      </c>
      <c r="C947" t="s">
        <v>2652</v>
      </c>
      <c r="D947">
        <v>31.55</v>
      </c>
    </row>
    <row r="948" spans="1:4" x14ac:dyDescent="0.25">
      <c r="A948" t="s">
        <v>1461</v>
      </c>
      <c r="B948" t="s">
        <v>1460</v>
      </c>
      <c r="C948" t="s">
        <v>2652</v>
      </c>
      <c r="D948">
        <v>31.55</v>
      </c>
    </row>
    <row r="949" spans="1:4" x14ac:dyDescent="0.25">
      <c r="A949" t="s">
        <v>1922</v>
      </c>
      <c r="B949" t="s">
        <v>1921</v>
      </c>
      <c r="C949" t="s">
        <v>2652</v>
      </c>
      <c r="D949">
        <v>31.55</v>
      </c>
    </row>
    <row r="950" spans="1:4" x14ac:dyDescent="0.25">
      <c r="A950" t="s">
        <v>2183</v>
      </c>
      <c r="B950" t="s">
        <v>2182</v>
      </c>
      <c r="C950" t="s">
        <v>2652</v>
      </c>
      <c r="D950">
        <v>28.25</v>
      </c>
    </row>
    <row r="951" spans="1:4" x14ac:dyDescent="0.25">
      <c r="A951" t="s">
        <v>3101</v>
      </c>
      <c r="B951" t="s">
        <v>3102</v>
      </c>
      <c r="C951" t="s">
        <v>2656</v>
      </c>
    </row>
    <row r="952" spans="1:4" x14ac:dyDescent="0.25">
      <c r="A952" t="s">
        <v>1631</v>
      </c>
      <c r="B952" t="s">
        <v>1630</v>
      </c>
      <c r="C952" t="s">
        <v>2652</v>
      </c>
      <c r="D952">
        <v>31.55</v>
      </c>
    </row>
    <row r="953" spans="1:4" x14ac:dyDescent="0.25">
      <c r="A953" t="s">
        <v>1730</v>
      </c>
      <c r="B953" t="s">
        <v>1729</v>
      </c>
      <c r="C953" t="s">
        <v>2652</v>
      </c>
      <c r="D953">
        <v>31.55</v>
      </c>
    </row>
    <row r="954" spans="1:4" x14ac:dyDescent="0.25">
      <c r="A954" t="s">
        <v>1881</v>
      </c>
      <c r="B954" t="s">
        <v>1880</v>
      </c>
      <c r="C954" t="s">
        <v>2652</v>
      </c>
      <c r="D954">
        <v>31.55</v>
      </c>
    </row>
    <row r="955" spans="1:4" x14ac:dyDescent="0.25">
      <c r="A955" t="s">
        <v>1635</v>
      </c>
      <c r="B955" t="s">
        <v>1634</v>
      </c>
      <c r="C955" t="s">
        <v>2652</v>
      </c>
      <c r="D955">
        <v>31.55</v>
      </c>
    </row>
    <row r="956" spans="1:4" x14ac:dyDescent="0.25">
      <c r="A956" t="s">
        <v>753</v>
      </c>
      <c r="B956" t="s">
        <v>752</v>
      </c>
      <c r="C956" t="s">
        <v>2654</v>
      </c>
      <c r="D956">
        <v>33.43</v>
      </c>
    </row>
    <row r="957" spans="1:4" x14ac:dyDescent="0.25">
      <c r="A957" t="s">
        <v>1370</v>
      </c>
      <c r="B957" t="s">
        <v>1369</v>
      </c>
      <c r="C957" t="s">
        <v>2652</v>
      </c>
      <c r="D957">
        <v>31.55</v>
      </c>
    </row>
    <row r="958" spans="1:4" x14ac:dyDescent="0.25">
      <c r="A958" t="s">
        <v>1315</v>
      </c>
      <c r="B958" t="s">
        <v>1314</v>
      </c>
      <c r="C958" t="s">
        <v>2652</v>
      </c>
      <c r="D958">
        <v>31.55</v>
      </c>
    </row>
    <row r="959" spans="1:4" x14ac:dyDescent="0.25">
      <c r="A959" t="s">
        <v>881</v>
      </c>
      <c r="B959" t="s">
        <v>880</v>
      </c>
      <c r="C959" t="s">
        <v>2654</v>
      </c>
      <c r="D959">
        <v>33.43</v>
      </c>
    </row>
    <row r="960" spans="1:4" x14ac:dyDescent="0.25">
      <c r="A960" t="s">
        <v>317</v>
      </c>
      <c r="B960" t="s">
        <v>316</v>
      </c>
      <c r="C960" t="s">
        <v>2825</v>
      </c>
      <c r="D960">
        <v>10000</v>
      </c>
    </row>
    <row r="961" spans="1:4" x14ac:dyDescent="0.25">
      <c r="A961" t="s">
        <v>2368</v>
      </c>
      <c r="B961" t="s">
        <v>2367</v>
      </c>
      <c r="C961" t="s">
        <v>2652</v>
      </c>
      <c r="D961">
        <v>31.55</v>
      </c>
    </row>
    <row r="962" spans="1:4" x14ac:dyDescent="0.25">
      <c r="A962" t="s">
        <v>2056</v>
      </c>
      <c r="B962" t="s">
        <v>2055</v>
      </c>
      <c r="C962" t="s">
        <v>2654</v>
      </c>
      <c r="D962">
        <v>33.43</v>
      </c>
    </row>
    <row r="963" spans="1:4" x14ac:dyDescent="0.25">
      <c r="A963" t="s">
        <v>3103</v>
      </c>
      <c r="B963" t="s">
        <v>3104</v>
      </c>
      <c r="C963" t="s">
        <v>2654</v>
      </c>
      <c r="D963">
        <v>33.43</v>
      </c>
    </row>
    <row r="964" spans="1:4" x14ac:dyDescent="0.25">
      <c r="A964" t="s">
        <v>343</v>
      </c>
      <c r="B964" t="s">
        <v>342</v>
      </c>
      <c r="C964" t="s">
        <v>2825</v>
      </c>
      <c r="D964">
        <v>10000</v>
      </c>
    </row>
    <row r="965" spans="1:4" x14ac:dyDescent="0.25">
      <c r="A965" t="s">
        <v>3105</v>
      </c>
      <c r="B965" t="s">
        <v>3106</v>
      </c>
      <c r="C965" t="s">
        <v>3107</v>
      </c>
      <c r="D965">
        <v>4000</v>
      </c>
    </row>
    <row r="966" spans="1:4" x14ac:dyDescent="0.25">
      <c r="A966" t="s">
        <v>1457</v>
      </c>
      <c r="B966" t="s">
        <v>1456</v>
      </c>
      <c r="C966" t="s">
        <v>2654</v>
      </c>
      <c r="D966">
        <v>33.43</v>
      </c>
    </row>
    <row r="967" spans="1:4" x14ac:dyDescent="0.25">
      <c r="A967" t="s">
        <v>1822</v>
      </c>
      <c r="B967" t="s">
        <v>1821</v>
      </c>
      <c r="C967" t="s">
        <v>2652</v>
      </c>
      <c r="D967">
        <v>31.55</v>
      </c>
    </row>
    <row r="968" spans="1:4" x14ac:dyDescent="0.25">
      <c r="A968" t="s">
        <v>1662</v>
      </c>
      <c r="B968" t="s">
        <v>1661</v>
      </c>
      <c r="C968" t="s">
        <v>2652</v>
      </c>
      <c r="D968">
        <v>28.25</v>
      </c>
    </row>
    <row r="969" spans="1:4" x14ac:dyDescent="0.25">
      <c r="A969" t="s">
        <v>739</v>
      </c>
      <c r="B969" t="s">
        <v>3108</v>
      </c>
      <c r="C969" t="s">
        <v>2654</v>
      </c>
      <c r="D969">
        <v>33.43</v>
      </c>
    </row>
    <row r="970" spans="1:4" x14ac:dyDescent="0.25">
      <c r="A970" t="s">
        <v>1554</v>
      </c>
      <c r="B970" t="s">
        <v>1553</v>
      </c>
      <c r="C970" t="s">
        <v>2652</v>
      </c>
      <c r="D970">
        <v>31.55</v>
      </c>
    </row>
    <row r="971" spans="1:4" x14ac:dyDescent="0.25">
      <c r="A971" t="s">
        <v>3109</v>
      </c>
      <c r="B971" t="s">
        <v>3110</v>
      </c>
      <c r="C971" t="s">
        <v>2652</v>
      </c>
      <c r="D971">
        <v>28.25</v>
      </c>
    </row>
    <row r="972" spans="1:4" x14ac:dyDescent="0.25">
      <c r="A972" t="s">
        <v>737</v>
      </c>
      <c r="B972" t="s">
        <v>736</v>
      </c>
      <c r="C972" t="s">
        <v>2654</v>
      </c>
      <c r="D972">
        <v>33.43</v>
      </c>
    </row>
    <row r="973" spans="1:4" x14ac:dyDescent="0.25">
      <c r="A973" t="s">
        <v>644</v>
      </c>
      <c r="B973" t="s">
        <v>3111</v>
      </c>
      <c r="C973" t="s">
        <v>2656</v>
      </c>
      <c r="D973">
        <v>4800</v>
      </c>
    </row>
    <row r="974" spans="1:4" x14ac:dyDescent="0.25">
      <c r="A974" t="s">
        <v>3112</v>
      </c>
      <c r="B974" t="s">
        <v>3113</v>
      </c>
      <c r="C974" t="s">
        <v>2652</v>
      </c>
      <c r="D974">
        <v>31.55</v>
      </c>
    </row>
    <row r="975" spans="1:4" x14ac:dyDescent="0.25">
      <c r="A975" t="s">
        <v>1470</v>
      </c>
      <c r="B975" t="s">
        <v>1469</v>
      </c>
      <c r="C975" t="s">
        <v>2652</v>
      </c>
      <c r="D975">
        <v>31.55</v>
      </c>
    </row>
    <row r="976" spans="1:4" x14ac:dyDescent="0.25">
      <c r="A976" t="s">
        <v>2449</v>
      </c>
      <c r="B976" t="s">
        <v>2448</v>
      </c>
      <c r="C976" t="s">
        <v>2652</v>
      </c>
      <c r="D976">
        <v>28.25</v>
      </c>
    </row>
    <row r="977" spans="1:4" x14ac:dyDescent="0.25">
      <c r="A977" t="s">
        <v>3114</v>
      </c>
      <c r="B977" t="s">
        <v>3115</v>
      </c>
      <c r="C977" t="s">
        <v>2652</v>
      </c>
      <c r="D977">
        <v>28.25</v>
      </c>
    </row>
    <row r="978" spans="1:4" x14ac:dyDescent="0.25">
      <c r="A978" t="s">
        <v>1400</v>
      </c>
      <c r="B978" t="s">
        <v>1399</v>
      </c>
      <c r="C978" t="s">
        <v>2654</v>
      </c>
      <c r="D978">
        <v>33.43</v>
      </c>
    </row>
    <row r="979" spans="1:4" x14ac:dyDescent="0.25">
      <c r="A979" t="s">
        <v>3116</v>
      </c>
      <c r="B979" t="s">
        <v>3117</v>
      </c>
      <c r="C979" t="s">
        <v>2652</v>
      </c>
      <c r="D979">
        <v>28.25</v>
      </c>
    </row>
    <row r="980" spans="1:4" x14ac:dyDescent="0.25">
      <c r="A980" t="s">
        <v>2048</v>
      </c>
      <c r="B980" t="s">
        <v>2047</v>
      </c>
      <c r="C980" t="s">
        <v>2652</v>
      </c>
      <c r="D980">
        <v>31.55</v>
      </c>
    </row>
    <row r="981" spans="1:4" x14ac:dyDescent="0.25">
      <c r="A981" t="s">
        <v>2042</v>
      </c>
      <c r="B981" t="s">
        <v>2041</v>
      </c>
      <c r="C981" t="s">
        <v>2652</v>
      </c>
      <c r="D981">
        <v>31.55</v>
      </c>
    </row>
    <row r="982" spans="1:4" x14ac:dyDescent="0.25">
      <c r="A982" t="s">
        <v>1767</v>
      </c>
      <c r="B982" t="s">
        <v>1766</v>
      </c>
      <c r="C982" t="s">
        <v>2652</v>
      </c>
      <c r="D982">
        <v>31.55</v>
      </c>
    </row>
    <row r="983" spans="1:4" x14ac:dyDescent="0.25">
      <c r="A983" t="s">
        <v>1079</v>
      </c>
      <c r="B983" t="s">
        <v>3118</v>
      </c>
      <c r="C983" t="s">
        <v>2654</v>
      </c>
      <c r="D983">
        <v>33.43</v>
      </c>
    </row>
    <row r="984" spans="1:4" x14ac:dyDescent="0.25">
      <c r="A984" t="s">
        <v>591</v>
      </c>
      <c r="B984" t="s">
        <v>3119</v>
      </c>
      <c r="C984" t="s">
        <v>2650</v>
      </c>
      <c r="D984">
        <v>4500</v>
      </c>
    </row>
    <row r="985" spans="1:4" x14ac:dyDescent="0.25">
      <c r="A985" t="s">
        <v>1180</v>
      </c>
      <c r="B985" t="s">
        <v>1179</v>
      </c>
      <c r="C985" t="s">
        <v>2652</v>
      </c>
      <c r="D985">
        <v>31.55</v>
      </c>
    </row>
    <row r="986" spans="1:4" x14ac:dyDescent="0.25">
      <c r="A986" t="s">
        <v>1197</v>
      </c>
      <c r="B986" t="s">
        <v>1196</v>
      </c>
      <c r="C986" t="s">
        <v>2652</v>
      </c>
      <c r="D986">
        <v>31.55</v>
      </c>
    </row>
    <row r="987" spans="1:4" x14ac:dyDescent="0.25">
      <c r="A987" t="s">
        <v>830</v>
      </c>
      <c r="B987" t="s">
        <v>829</v>
      </c>
      <c r="C987" t="s">
        <v>2654</v>
      </c>
      <c r="D987">
        <v>33.43</v>
      </c>
    </row>
    <row r="988" spans="1:4" x14ac:dyDescent="0.25">
      <c r="A988" t="s">
        <v>361</v>
      </c>
      <c r="B988" t="s">
        <v>360</v>
      </c>
      <c r="C988" t="s">
        <v>2680</v>
      </c>
      <c r="D988">
        <v>6500</v>
      </c>
    </row>
    <row r="989" spans="1:4" x14ac:dyDescent="0.25">
      <c r="A989" t="s">
        <v>163</v>
      </c>
      <c r="B989" t="s">
        <v>162</v>
      </c>
      <c r="C989" t="s">
        <v>2735</v>
      </c>
      <c r="D989">
        <v>7500</v>
      </c>
    </row>
    <row r="990" spans="1:4" x14ac:dyDescent="0.25">
      <c r="A990" t="s">
        <v>923</v>
      </c>
      <c r="B990" t="s">
        <v>3120</v>
      </c>
      <c r="C990" t="s">
        <v>2652</v>
      </c>
      <c r="D990">
        <v>31.55</v>
      </c>
    </row>
    <row r="991" spans="1:4" x14ac:dyDescent="0.25">
      <c r="A991" t="s">
        <v>1358</v>
      </c>
      <c r="B991" t="s">
        <v>1357</v>
      </c>
      <c r="C991" t="s">
        <v>2652</v>
      </c>
      <c r="D991">
        <v>31.55</v>
      </c>
    </row>
    <row r="992" spans="1:4" x14ac:dyDescent="0.25">
      <c r="A992" t="s">
        <v>1155</v>
      </c>
      <c r="B992" t="s">
        <v>1154</v>
      </c>
      <c r="C992" t="s">
        <v>2654</v>
      </c>
      <c r="D992">
        <v>33.43</v>
      </c>
    </row>
    <row r="993" spans="1:4" x14ac:dyDescent="0.25">
      <c r="A993" t="s">
        <v>1182</v>
      </c>
      <c r="B993" t="s">
        <v>1181</v>
      </c>
      <c r="C993" t="s">
        <v>2652</v>
      </c>
      <c r="D993">
        <v>31.55</v>
      </c>
    </row>
    <row r="994" spans="1:4" x14ac:dyDescent="0.25">
      <c r="A994" t="s">
        <v>636</v>
      </c>
      <c r="B994" t="s">
        <v>3121</v>
      </c>
      <c r="C994" t="s">
        <v>2733</v>
      </c>
      <c r="D994">
        <v>4200</v>
      </c>
    </row>
    <row r="995" spans="1:4" x14ac:dyDescent="0.25">
      <c r="A995" t="s">
        <v>2303</v>
      </c>
      <c r="B995" t="s">
        <v>2302</v>
      </c>
      <c r="C995" t="s">
        <v>2652</v>
      </c>
      <c r="D995">
        <v>31.55</v>
      </c>
    </row>
    <row r="996" spans="1:4" x14ac:dyDescent="0.25">
      <c r="A996" t="s">
        <v>1840</v>
      </c>
      <c r="B996" t="s">
        <v>1839</v>
      </c>
      <c r="C996" t="s">
        <v>2652</v>
      </c>
      <c r="D996">
        <v>31.55</v>
      </c>
    </row>
    <row r="997" spans="1:4" x14ac:dyDescent="0.25">
      <c r="A997" t="s">
        <v>3122</v>
      </c>
      <c r="B997" t="s">
        <v>3123</v>
      </c>
      <c r="C997" t="s">
        <v>2652</v>
      </c>
      <c r="D997">
        <v>31.55</v>
      </c>
    </row>
    <row r="998" spans="1:4" x14ac:dyDescent="0.25">
      <c r="A998" t="s">
        <v>1898</v>
      </c>
      <c r="B998" t="s">
        <v>1897</v>
      </c>
      <c r="C998" t="s">
        <v>2652</v>
      </c>
      <c r="D998">
        <v>31.55</v>
      </c>
    </row>
    <row r="999" spans="1:4" x14ac:dyDescent="0.25">
      <c r="A999" t="s">
        <v>1163</v>
      </c>
      <c r="B999" t="s">
        <v>1162</v>
      </c>
      <c r="C999" t="s">
        <v>2652</v>
      </c>
      <c r="D999">
        <v>31.55</v>
      </c>
    </row>
    <row r="1000" spans="1:4" x14ac:dyDescent="0.25">
      <c r="A1000" t="s">
        <v>812</v>
      </c>
      <c r="B1000" t="s">
        <v>811</v>
      </c>
      <c r="C1000" t="s">
        <v>2654</v>
      </c>
      <c r="D1000">
        <v>33.43</v>
      </c>
    </row>
    <row r="1001" spans="1:4" x14ac:dyDescent="0.25">
      <c r="A1001" t="s">
        <v>1860</v>
      </c>
      <c r="B1001" t="s">
        <v>1859</v>
      </c>
      <c r="C1001" t="s">
        <v>2654</v>
      </c>
      <c r="D1001">
        <v>33.43</v>
      </c>
    </row>
    <row r="1002" spans="1:4" x14ac:dyDescent="0.25">
      <c r="A1002" t="s">
        <v>3124</v>
      </c>
      <c r="B1002" t="s">
        <v>3125</v>
      </c>
      <c r="C1002" t="s">
        <v>2652</v>
      </c>
      <c r="D1002">
        <v>28.25</v>
      </c>
    </row>
    <row r="1003" spans="1:4" x14ac:dyDescent="0.25">
      <c r="A1003" t="s">
        <v>649</v>
      </c>
      <c r="B1003" t="s">
        <v>648</v>
      </c>
      <c r="C1003" t="s">
        <v>2656</v>
      </c>
      <c r="D1003">
        <v>4800</v>
      </c>
    </row>
    <row r="1004" spans="1:4" x14ac:dyDescent="0.25">
      <c r="A1004" t="s">
        <v>3126</v>
      </c>
      <c r="B1004" t="s">
        <v>3127</v>
      </c>
      <c r="C1004" t="s">
        <v>2656</v>
      </c>
      <c r="D1004">
        <v>4800</v>
      </c>
    </row>
    <row r="1005" spans="1:4" x14ac:dyDescent="0.25">
      <c r="A1005" t="s">
        <v>3128</v>
      </c>
      <c r="B1005" t="s">
        <v>3129</v>
      </c>
      <c r="C1005" t="s">
        <v>2652</v>
      </c>
      <c r="D1005">
        <v>28.25</v>
      </c>
    </row>
    <row r="1006" spans="1:4" x14ac:dyDescent="0.25">
      <c r="A1006" t="s">
        <v>367</v>
      </c>
      <c r="B1006" t="s">
        <v>366</v>
      </c>
      <c r="C1006" t="s">
        <v>2702</v>
      </c>
      <c r="D1006">
        <v>8000</v>
      </c>
    </row>
    <row r="1007" spans="1:4" x14ac:dyDescent="0.25">
      <c r="A1007" t="s">
        <v>1244</v>
      </c>
      <c r="B1007" t="s">
        <v>3130</v>
      </c>
      <c r="C1007" t="s">
        <v>2652</v>
      </c>
      <c r="D1007">
        <v>31.55</v>
      </c>
    </row>
    <row r="1008" spans="1:4" x14ac:dyDescent="0.25">
      <c r="A1008" t="s">
        <v>1756</v>
      </c>
      <c r="B1008" t="s">
        <v>1755</v>
      </c>
      <c r="C1008" t="s">
        <v>2652</v>
      </c>
      <c r="D1008">
        <v>31.55</v>
      </c>
    </row>
    <row r="1009" spans="1:4" x14ac:dyDescent="0.25">
      <c r="A1009" t="s">
        <v>2016</v>
      </c>
      <c r="B1009" t="s">
        <v>2015</v>
      </c>
      <c r="C1009" t="s">
        <v>2652</v>
      </c>
      <c r="D1009">
        <v>31.55</v>
      </c>
    </row>
    <row r="1010" spans="1:4" x14ac:dyDescent="0.25">
      <c r="A1010" t="s">
        <v>2026</v>
      </c>
      <c r="B1010" t="s">
        <v>2025</v>
      </c>
      <c r="C1010" t="s">
        <v>2652</v>
      </c>
      <c r="D1010">
        <v>28.25</v>
      </c>
    </row>
    <row r="1011" spans="1:4" x14ac:dyDescent="0.25">
      <c r="A1011" t="s">
        <v>2277</v>
      </c>
      <c r="B1011" t="s">
        <v>2276</v>
      </c>
      <c r="C1011" t="s">
        <v>2652</v>
      </c>
      <c r="D1011">
        <v>31.55</v>
      </c>
    </row>
    <row r="1012" spans="1:4" x14ac:dyDescent="0.25">
      <c r="A1012" t="s">
        <v>3131</v>
      </c>
      <c r="B1012" t="s">
        <v>3132</v>
      </c>
      <c r="C1012" t="s">
        <v>2654</v>
      </c>
      <c r="D1012">
        <v>30.13</v>
      </c>
    </row>
    <row r="1013" spans="1:4" x14ac:dyDescent="0.25">
      <c r="A1013" t="s">
        <v>2412</v>
      </c>
      <c r="B1013" t="s">
        <v>2411</v>
      </c>
      <c r="C1013" t="s">
        <v>2652</v>
      </c>
      <c r="D1013">
        <v>31.55</v>
      </c>
    </row>
    <row r="1014" spans="1:4" x14ac:dyDescent="0.25">
      <c r="A1014" t="s">
        <v>3133</v>
      </c>
      <c r="B1014" t="s">
        <v>3134</v>
      </c>
      <c r="C1014" t="s">
        <v>2654</v>
      </c>
      <c r="D1014">
        <v>30.13</v>
      </c>
    </row>
    <row r="1015" spans="1:4" x14ac:dyDescent="0.25">
      <c r="A1015" t="s">
        <v>616</v>
      </c>
      <c r="B1015" t="s">
        <v>615</v>
      </c>
      <c r="C1015" t="s">
        <v>2733</v>
      </c>
      <c r="D1015">
        <v>4200</v>
      </c>
    </row>
    <row r="1016" spans="1:4" x14ac:dyDescent="0.25">
      <c r="A1016" t="s">
        <v>3135</v>
      </c>
      <c r="B1016" t="s">
        <v>3136</v>
      </c>
      <c r="C1016" t="s">
        <v>2652</v>
      </c>
      <c r="D1016">
        <v>31.55</v>
      </c>
    </row>
    <row r="1017" spans="1:4" x14ac:dyDescent="0.25">
      <c r="A1017" t="s">
        <v>2279</v>
      </c>
      <c r="B1017" t="s">
        <v>2278</v>
      </c>
      <c r="C1017" t="s">
        <v>2652</v>
      </c>
      <c r="D1017">
        <v>31.55</v>
      </c>
    </row>
    <row r="1018" spans="1:4" x14ac:dyDescent="0.25">
      <c r="A1018" t="s">
        <v>260</v>
      </c>
      <c r="B1018" t="s">
        <v>3137</v>
      </c>
      <c r="C1018" t="s">
        <v>2720</v>
      </c>
      <c r="D1018">
        <v>9000</v>
      </c>
    </row>
    <row r="1019" spans="1:4" x14ac:dyDescent="0.25">
      <c r="A1019" t="s">
        <v>1518</v>
      </c>
      <c r="B1019" t="s">
        <v>1517</v>
      </c>
      <c r="C1019" t="s">
        <v>2652</v>
      </c>
      <c r="D1019">
        <v>31.55</v>
      </c>
    </row>
    <row r="1020" spans="1:4" x14ac:dyDescent="0.25">
      <c r="A1020" t="s">
        <v>1959</v>
      </c>
      <c r="B1020" t="s">
        <v>1958</v>
      </c>
      <c r="C1020" t="s">
        <v>2652</v>
      </c>
      <c r="D1020">
        <v>31.55</v>
      </c>
    </row>
    <row r="1021" spans="1:4" x14ac:dyDescent="0.25">
      <c r="A1021" t="s">
        <v>1240</v>
      </c>
      <c r="B1021" t="s">
        <v>1239</v>
      </c>
      <c r="C1021" t="s">
        <v>2652</v>
      </c>
      <c r="D1021">
        <v>31.55</v>
      </c>
    </row>
    <row r="1022" spans="1:4" x14ac:dyDescent="0.25">
      <c r="A1022" t="s">
        <v>397</v>
      </c>
      <c r="B1022" t="s">
        <v>396</v>
      </c>
      <c r="C1022" t="s">
        <v>2680</v>
      </c>
      <c r="D1022">
        <v>6500</v>
      </c>
    </row>
    <row r="1023" spans="1:4" x14ac:dyDescent="0.25">
      <c r="A1023" t="s">
        <v>931</v>
      </c>
      <c r="B1023" t="s">
        <v>930</v>
      </c>
      <c r="C1023" t="s">
        <v>2654</v>
      </c>
      <c r="D1023">
        <v>33.43</v>
      </c>
    </row>
    <row r="1024" spans="1:4" x14ac:dyDescent="0.25">
      <c r="A1024" t="s">
        <v>3138</v>
      </c>
      <c r="B1024" t="s">
        <v>3139</v>
      </c>
      <c r="C1024" t="s">
        <v>2654</v>
      </c>
      <c r="D1024">
        <v>33.43</v>
      </c>
    </row>
    <row r="1025" spans="1:4" x14ac:dyDescent="0.25">
      <c r="A1025" t="s">
        <v>2066</v>
      </c>
      <c r="B1025" t="s">
        <v>2065</v>
      </c>
      <c r="C1025" t="s">
        <v>2652</v>
      </c>
      <c r="D1025">
        <v>31.55</v>
      </c>
    </row>
    <row r="1026" spans="1:4" x14ac:dyDescent="0.25">
      <c r="A1026" t="s">
        <v>207</v>
      </c>
      <c r="B1026" t="s">
        <v>206</v>
      </c>
      <c r="C1026" t="s">
        <v>2823</v>
      </c>
      <c r="D1026">
        <v>6500</v>
      </c>
    </row>
    <row r="1027" spans="1:4" x14ac:dyDescent="0.25">
      <c r="A1027" t="s">
        <v>129</v>
      </c>
      <c r="B1027" t="s">
        <v>3140</v>
      </c>
      <c r="C1027" t="s">
        <v>2825</v>
      </c>
      <c r="D1027">
        <v>10000</v>
      </c>
    </row>
    <row r="1028" spans="1:4" x14ac:dyDescent="0.25">
      <c r="A1028" t="s">
        <v>2348</v>
      </c>
      <c r="B1028" t="s">
        <v>3141</v>
      </c>
      <c r="C1028" t="s">
        <v>2652</v>
      </c>
      <c r="D1028">
        <v>28.25</v>
      </c>
    </row>
    <row r="1029" spans="1:4" x14ac:dyDescent="0.25">
      <c r="A1029" t="s">
        <v>306</v>
      </c>
      <c r="B1029" t="s">
        <v>3142</v>
      </c>
      <c r="C1029" t="s">
        <v>2680</v>
      </c>
      <c r="D1029">
        <v>6500</v>
      </c>
    </row>
    <row r="1030" spans="1:4" x14ac:dyDescent="0.25">
      <c r="A1030" t="s">
        <v>1754</v>
      </c>
      <c r="B1030" t="s">
        <v>1753</v>
      </c>
      <c r="C1030" t="s">
        <v>2652</v>
      </c>
      <c r="D1030">
        <v>31.55</v>
      </c>
    </row>
    <row r="1031" spans="1:4" x14ac:dyDescent="0.25">
      <c r="A1031" t="s">
        <v>1453</v>
      </c>
      <c r="B1031" t="s">
        <v>1452</v>
      </c>
      <c r="C1031" t="s">
        <v>2652</v>
      </c>
      <c r="D1031">
        <v>28.25</v>
      </c>
    </row>
    <row r="1032" spans="1:4" x14ac:dyDescent="0.25">
      <c r="A1032" t="s">
        <v>1501</v>
      </c>
      <c r="B1032" t="s">
        <v>1500</v>
      </c>
      <c r="C1032" t="s">
        <v>2652</v>
      </c>
      <c r="D1032">
        <v>31.55</v>
      </c>
    </row>
    <row r="1033" spans="1:4" x14ac:dyDescent="0.25">
      <c r="A1033" t="s">
        <v>2073</v>
      </c>
      <c r="B1033" t="s">
        <v>2072</v>
      </c>
      <c r="C1033" t="s">
        <v>2652</v>
      </c>
      <c r="D1033">
        <v>28.25</v>
      </c>
    </row>
    <row r="1034" spans="1:4" x14ac:dyDescent="0.25">
      <c r="A1034" t="s">
        <v>1580</v>
      </c>
      <c r="B1034" t="s">
        <v>1579</v>
      </c>
      <c r="C1034" t="s">
        <v>2652</v>
      </c>
      <c r="D1034">
        <v>31.55</v>
      </c>
    </row>
    <row r="1035" spans="1:4" x14ac:dyDescent="0.25">
      <c r="A1035" t="s">
        <v>2239</v>
      </c>
      <c r="B1035" t="s">
        <v>2238</v>
      </c>
      <c r="C1035" t="s">
        <v>2652</v>
      </c>
      <c r="D1035">
        <v>31.55</v>
      </c>
    </row>
    <row r="1036" spans="1:4" x14ac:dyDescent="0.25">
      <c r="A1036" t="s">
        <v>1795</v>
      </c>
      <c r="B1036" t="s">
        <v>1794</v>
      </c>
      <c r="C1036" t="s">
        <v>2652</v>
      </c>
      <c r="D1036">
        <v>31.55</v>
      </c>
    </row>
    <row r="1037" spans="1:4" x14ac:dyDescent="0.25">
      <c r="A1037" t="s">
        <v>1109</v>
      </c>
      <c r="B1037" t="s">
        <v>1108</v>
      </c>
      <c r="C1037" t="s">
        <v>2654</v>
      </c>
      <c r="D1037">
        <v>33.43</v>
      </c>
    </row>
    <row r="1038" spans="1:4" x14ac:dyDescent="0.25">
      <c r="A1038" t="s">
        <v>575</v>
      </c>
      <c r="B1038" t="s">
        <v>574</v>
      </c>
      <c r="C1038" t="s">
        <v>2650</v>
      </c>
      <c r="D1038">
        <v>4500</v>
      </c>
    </row>
    <row r="1039" spans="1:4" x14ac:dyDescent="0.25">
      <c r="A1039" t="s">
        <v>3143</v>
      </c>
      <c r="B1039" t="s">
        <v>3144</v>
      </c>
      <c r="C1039" t="s">
        <v>2652</v>
      </c>
      <c r="D1039">
        <v>31.55</v>
      </c>
    </row>
    <row r="1040" spans="1:4" x14ac:dyDescent="0.25">
      <c r="A1040" t="s">
        <v>1542</v>
      </c>
      <c r="B1040" t="s">
        <v>1541</v>
      </c>
      <c r="C1040" t="s">
        <v>2652</v>
      </c>
      <c r="D1040">
        <v>31.55</v>
      </c>
    </row>
    <row r="1041" spans="1:4" x14ac:dyDescent="0.25">
      <c r="A1041" t="s">
        <v>785</v>
      </c>
      <c r="B1041" t="s">
        <v>784</v>
      </c>
      <c r="C1041" t="s">
        <v>2652</v>
      </c>
      <c r="D1041">
        <v>31.55</v>
      </c>
    </row>
    <row r="1042" spans="1:4" x14ac:dyDescent="0.25">
      <c r="A1042" t="s">
        <v>1486</v>
      </c>
      <c r="B1042" t="s">
        <v>1485</v>
      </c>
      <c r="C1042" t="s">
        <v>2652</v>
      </c>
      <c r="D1042">
        <v>31.55</v>
      </c>
    </row>
    <row r="1043" spans="1:4" x14ac:dyDescent="0.25">
      <c r="A1043" t="s">
        <v>1123</v>
      </c>
      <c r="B1043" t="s">
        <v>1122</v>
      </c>
      <c r="C1043" t="s">
        <v>2654</v>
      </c>
      <c r="D1043">
        <v>33.43</v>
      </c>
    </row>
    <row r="1044" spans="1:4" x14ac:dyDescent="0.25">
      <c r="A1044" t="s">
        <v>2334</v>
      </c>
      <c r="B1044" t="s">
        <v>2333</v>
      </c>
      <c r="C1044" t="s">
        <v>2652</v>
      </c>
      <c r="D1044">
        <v>31.55</v>
      </c>
    </row>
    <row r="1045" spans="1:4" x14ac:dyDescent="0.25">
      <c r="A1045" t="s">
        <v>779</v>
      </c>
      <c r="B1045" t="s">
        <v>778</v>
      </c>
      <c r="C1045" t="s">
        <v>2654</v>
      </c>
      <c r="D1045">
        <v>33.43</v>
      </c>
    </row>
    <row r="1046" spans="1:4" x14ac:dyDescent="0.25">
      <c r="A1046" t="s">
        <v>3145</v>
      </c>
      <c r="B1046" t="s">
        <v>3146</v>
      </c>
      <c r="C1046" t="s">
        <v>2654</v>
      </c>
      <c r="D1046">
        <v>33.43</v>
      </c>
    </row>
    <row r="1047" spans="1:4" x14ac:dyDescent="0.25">
      <c r="A1047" t="s">
        <v>1927</v>
      </c>
      <c r="B1047" t="s">
        <v>1926</v>
      </c>
      <c r="C1047" t="s">
        <v>2652</v>
      </c>
      <c r="D1047">
        <v>31.55</v>
      </c>
    </row>
    <row r="1048" spans="1:4" x14ac:dyDescent="0.25">
      <c r="A1048" t="s">
        <v>1282</v>
      </c>
      <c r="B1048" t="s">
        <v>1281</v>
      </c>
      <c r="C1048" t="s">
        <v>2652</v>
      </c>
      <c r="D1048">
        <v>31.55</v>
      </c>
    </row>
    <row r="1049" spans="1:4" x14ac:dyDescent="0.25">
      <c r="A1049" t="s">
        <v>2328</v>
      </c>
      <c r="B1049" t="s">
        <v>3147</v>
      </c>
      <c r="C1049" t="s">
        <v>2652</v>
      </c>
      <c r="D1049">
        <v>31.55</v>
      </c>
    </row>
    <row r="1050" spans="1:4" x14ac:dyDescent="0.25">
      <c r="A1050" t="s">
        <v>393</v>
      </c>
      <c r="B1050" t="s">
        <v>392</v>
      </c>
      <c r="C1050" t="s">
        <v>2680</v>
      </c>
      <c r="D1050">
        <v>6500</v>
      </c>
    </row>
    <row r="1051" spans="1:4" x14ac:dyDescent="0.25">
      <c r="A1051" t="s">
        <v>1380</v>
      </c>
      <c r="B1051" t="s">
        <v>3148</v>
      </c>
      <c r="C1051" t="s">
        <v>2652</v>
      </c>
      <c r="D1051">
        <v>31.55</v>
      </c>
    </row>
    <row r="1052" spans="1:4" x14ac:dyDescent="0.25">
      <c r="A1052" t="s">
        <v>1026</v>
      </c>
      <c r="B1052" t="s">
        <v>1025</v>
      </c>
      <c r="C1052" t="s">
        <v>2654</v>
      </c>
      <c r="D1052">
        <v>33.43</v>
      </c>
    </row>
    <row r="1053" spans="1:4" x14ac:dyDescent="0.25">
      <c r="A1053" t="s">
        <v>1210</v>
      </c>
      <c r="B1053" t="s">
        <v>1209</v>
      </c>
      <c r="C1053" t="s">
        <v>2652</v>
      </c>
      <c r="D1053">
        <v>31.55</v>
      </c>
    </row>
    <row r="1054" spans="1:4" x14ac:dyDescent="0.25">
      <c r="A1054" t="s">
        <v>787</v>
      </c>
      <c r="B1054" t="s">
        <v>786</v>
      </c>
      <c r="C1054" t="s">
        <v>2654</v>
      </c>
      <c r="D1054">
        <v>33.43</v>
      </c>
    </row>
    <row r="1055" spans="1:4" x14ac:dyDescent="0.25">
      <c r="A1055" t="s">
        <v>3149</v>
      </c>
      <c r="B1055" t="s">
        <v>3150</v>
      </c>
      <c r="C1055" t="s">
        <v>2652</v>
      </c>
      <c r="D1055">
        <v>31.55</v>
      </c>
    </row>
    <row r="1056" spans="1:4" x14ac:dyDescent="0.25">
      <c r="A1056" t="s">
        <v>1874</v>
      </c>
      <c r="B1056" t="s">
        <v>1873</v>
      </c>
      <c r="C1056" t="s">
        <v>2652</v>
      </c>
      <c r="D1056">
        <v>31.55</v>
      </c>
    </row>
    <row r="1057" spans="1:4" x14ac:dyDescent="0.25">
      <c r="A1057" t="s">
        <v>624</v>
      </c>
      <c r="B1057" t="s">
        <v>3151</v>
      </c>
      <c r="C1057" t="s">
        <v>2733</v>
      </c>
      <c r="D1057">
        <v>4200</v>
      </c>
    </row>
    <row r="1058" spans="1:4" x14ac:dyDescent="0.25">
      <c r="A1058" t="s">
        <v>1699</v>
      </c>
      <c r="B1058" t="s">
        <v>1698</v>
      </c>
      <c r="C1058" t="s">
        <v>2654</v>
      </c>
      <c r="D1058">
        <v>33.43</v>
      </c>
    </row>
    <row r="1059" spans="1:4" x14ac:dyDescent="0.25">
      <c r="A1059" t="s">
        <v>989</v>
      </c>
      <c r="B1059" t="s">
        <v>988</v>
      </c>
      <c r="C1059" t="s">
        <v>2654</v>
      </c>
      <c r="D1059">
        <v>33.43</v>
      </c>
    </row>
    <row r="1060" spans="1:4" x14ac:dyDescent="0.25">
      <c r="A1060" t="s">
        <v>2301</v>
      </c>
      <c r="B1060" t="s">
        <v>3152</v>
      </c>
      <c r="C1060" t="s">
        <v>2654</v>
      </c>
      <c r="D1060">
        <v>33.43</v>
      </c>
    </row>
    <row r="1061" spans="1:4" x14ac:dyDescent="0.25">
      <c r="A1061" t="s">
        <v>1931</v>
      </c>
      <c r="B1061" t="s">
        <v>1930</v>
      </c>
      <c r="C1061" t="s">
        <v>2652</v>
      </c>
      <c r="D1061">
        <v>31.55</v>
      </c>
    </row>
    <row r="1062" spans="1:4" x14ac:dyDescent="0.25">
      <c r="A1062" t="s">
        <v>2124</v>
      </c>
      <c r="B1062" t="s">
        <v>3153</v>
      </c>
      <c r="C1062" t="s">
        <v>2652</v>
      </c>
      <c r="D1062">
        <v>28.25</v>
      </c>
    </row>
    <row r="1063" spans="1:4" x14ac:dyDescent="0.25">
      <c r="A1063" t="s">
        <v>1785</v>
      </c>
      <c r="B1063" t="s">
        <v>1784</v>
      </c>
      <c r="C1063" t="s">
        <v>2652</v>
      </c>
      <c r="D1063">
        <v>31.55</v>
      </c>
    </row>
    <row r="1064" spans="1:4" x14ac:dyDescent="0.25">
      <c r="A1064" t="s">
        <v>1996</v>
      </c>
      <c r="B1064" t="s">
        <v>1995</v>
      </c>
      <c r="C1064" t="s">
        <v>2652</v>
      </c>
      <c r="D1064">
        <v>28.25</v>
      </c>
    </row>
    <row r="1065" spans="1:4" x14ac:dyDescent="0.25">
      <c r="A1065" t="s">
        <v>1072</v>
      </c>
      <c r="B1065" t="s">
        <v>1071</v>
      </c>
      <c r="C1065" t="s">
        <v>2652</v>
      </c>
      <c r="D1065">
        <v>31.55</v>
      </c>
    </row>
    <row r="1066" spans="1:4" x14ac:dyDescent="0.25">
      <c r="A1066" t="s">
        <v>1263</v>
      </c>
      <c r="B1066" t="s">
        <v>3154</v>
      </c>
      <c r="C1066" t="s">
        <v>2652</v>
      </c>
      <c r="D1066">
        <v>31.55</v>
      </c>
    </row>
    <row r="1067" spans="1:4" x14ac:dyDescent="0.25">
      <c r="A1067" t="s">
        <v>2385</v>
      </c>
      <c r="B1067" t="s">
        <v>2384</v>
      </c>
      <c r="C1067" t="s">
        <v>2654</v>
      </c>
      <c r="D1067">
        <v>33.43</v>
      </c>
    </row>
    <row r="1068" spans="1:4" x14ac:dyDescent="0.25">
      <c r="A1068" t="s">
        <v>2050</v>
      </c>
      <c r="B1068" t="s">
        <v>2049</v>
      </c>
      <c r="C1068" t="s">
        <v>2652</v>
      </c>
      <c r="D1068">
        <v>31.55</v>
      </c>
    </row>
    <row r="1069" spans="1:4" x14ac:dyDescent="0.25">
      <c r="A1069" t="s">
        <v>2235</v>
      </c>
      <c r="B1069" t="s">
        <v>3155</v>
      </c>
      <c r="C1069" t="s">
        <v>2652</v>
      </c>
      <c r="D1069">
        <v>31.55</v>
      </c>
    </row>
    <row r="1070" spans="1:4" x14ac:dyDescent="0.25">
      <c r="A1070" t="s">
        <v>1058</v>
      </c>
      <c r="B1070" t="s">
        <v>1057</v>
      </c>
      <c r="C1070" t="s">
        <v>2654</v>
      </c>
      <c r="D1070">
        <v>33.43</v>
      </c>
    </row>
    <row r="1071" spans="1:4" x14ac:dyDescent="0.25">
      <c r="A1071" t="s">
        <v>1042</v>
      </c>
      <c r="B1071" t="s">
        <v>1041</v>
      </c>
      <c r="C1071" t="s">
        <v>2654</v>
      </c>
      <c r="D1071">
        <v>33.43</v>
      </c>
    </row>
    <row r="1072" spans="1:4" x14ac:dyDescent="0.25">
      <c r="A1072" t="s">
        <v>349</v>
      </c>
      <c r="B1072" t="s">
        <v>348</v>
      </c>
      <c r="C1072" t="s">
        <v>2680</v>
      </c>
      <c r="D1072">
        <v>6500</v>
      </c>
    </row>
    <row r="1073" spans="1:4" x14ac:dyDescent="0.25">
      <c r="A1073" t="s">
        <v>1805</v>
      </c>
      <c r="B1073" t="s">
        <v>3156</v>
      </c>
      <c r="C1073" t="s">
        <v>2652</v>
      </c>
      <c r="D1073">
        <v>31.55</v>
      </c>
    </row>
    <row r="1074" spans="1:4" x14ac:dyDescent="0.25">
      <c r="A1074" t="s">
        <v>2036</v>
      </c>
      <c r="B1074" t="s">
        <v>2035</v>
      </c>
      <c r="C1074" t="s">
        <v>2652</v>
      </c>
      <c r="D1074">
        <v>31.55</v>
      </c>
    </row>
    <row r="1075" spans="1:4" x14ac:dyDescent="0.25">
      <c r="A1075" t="s">
        <v>1546</v>
      </c>
      <c r="B1075" t="s">
        <v>1545</v>
      </c>
      <c r="C1075" t="s">
        <v>2652</v>
      </c>
      <c r="D1075">
        <v>31.55</v>
      </c>
    </row>
    <row r="1076" spans="1:4" x14ac:dyDescent="0.25">
      <c r="A1076" t="s">
        <v>1220</v>
      </c>
      <c r="B1076" t="s">
        <v>1219</v>
      </c>
      <c r="C1076" t="s">
        <v>2652</v>
      </c>
      <c r="D1076">
        <v>31.55</v>
      </c>
    </row>
    <row r="1077" spans="1:4" x14ac:dyDescent="0.25">
      <c r="A1077" t="s">
        <v>1480</v>
      </c>
      <c r="B1077" t="s">
        <v>1479</v>
      </c>
      <c r="C1077" t="s">
        <v>2652</v>
      </c>
      <c r="D1077">
        <v>31.55</v>
      </c>
    </row>
    <row r="1078" spans="1:4" x14ac:dyDescent="0.25">
      <c r="A1078" t="s">
        <v>577</v>
      </c>
      <c r="B1078" t="s">
        <v>576</v>
      </c>
      <c r="C1078" t="s">
        <v>2650</v>
      </c>
      <c r="D1078">
        <v>4500</v>
      </c>
    </row>
    <row r="1079" spans="1:4" x14ac:dyDescent="0.25">
      <c r="A1079" t="s">
        <v>2381</v>
      </c>
      <c r="B1079" t="s">
        <v>2380</v>
      </c>
      <c r="C1079" t="s">
        <v>2652</v>
      </c>
      <c r="D1079">
        <v>31.55</v>
      </c>
    </row>
    <row r="1080" spans="1:4" x14ac:dyDescent="0.25">
      <c r="A1080" t="s">
        <v>1507</v>
      </c>
      <c r="B1080" t="s">
        <v>1506</v>
      </c>
      <c r="C1080" t="s">
        <v>2652</v>
      </c>
      <c r="D1080">
        <v>31.55</v>
      </c>
    </row>
    <row r="1081" spans="1:4" x14ac:dyDescent="0.25">
      <c r="A1081" t="s">
        <v>3157</v>
      </c>
      <c r="B1081" t="s">
        <v>3158</v>
      </c>
      <c r="C1081" t="s">
        <v>2652</v>
      </c>
      <c r="D1081">
        <v>31.55</v>
      </c>
    </row>
    <row r="1082" spans="1:4" x14ac:dyDescent="0.25">
      <c r="A1082" t="s">
        <v>3159</v>
      </c>
      <c r="B1082" t="s">
        <v>3160</v>
      </c>
      <c r="C1082" t="s">
        <v>2652</v>
      </c>
      <c r="D1082">
        <v>31.55</v>
      </c>
    </row>
    <row r="1083" spans="1:4" x14ac:dyDescent="0.25">
      <c r="A1083" t="s">
        <v>3161</v>
      </c>
      <c r="B1083" t="s">
        <v>3162</v>
      </c>
      <c r="C1083" t="s">
        <v>2736</v>
      </c>
      <c r="D1083">
        <v>5100</v>
      </c>
    </row>
    <row r="1084" spans="1:4" x14ac:dyDescent="0.25">
      <c r="A1084" t="s">
        <v>1673</v>
      </c>
      <c r="B1084" t="s">
        <v>1672</v>
      </c>
      <c r="C1084" t="s">
        <v>2652</v>
      </c>
      <c r="D1084">
        <v>31.55</v>
      </c>
    </row>
    <row r="1085" spans="1:4" x14ac:dyDescent="0.25">
      <c r="A1085" t="s">
        <v>1404</v>
      </c>
      <c r="B1085" t="s">
        <v>1403</v>
      </c>
      <c r="C1085" t="s">
        <v>2652</v>
      </c>
      <c r="D1085">
        <v>31.55</v>
      </c>
    </row>
    <row r="1086" spans="1:4" x14ac:dyDescent="0.25">
      <c r="A1086" t="s">
        <v>2475</v>
      </c>
      <c r="B1086" t="s">
        <v>2474</v>
      </c>
      <c r="C1086" t="s">
        <v>2654</v>
      </c>
      <c r="D1086">
        <v>30.13</v>
      </c>
    </row>
    <row r="1087" spans="1:4" x14ac:dyDescent="0.25">
      <c r="A1087" t="s">
        <v>3163</v>
      </c>
      <c r="B1087" t="s">
        <v>3164</v>
      </c>
      <c r="C1087" t="s">
        <v>2680</v>
      </c>
      <c r="D1087">
        <v>6500</v>
      </c>
    </row>
    <row r="1088" spans="1:4" x14ac:dyDescent="0.25">
      <c r="A1088" t="s">
        <v>172</v>
      </c>
      <c r="B1088" t="s">
        <v>171</v>
      </c>
      <c r="C1088" t="s">
        <v>2671</v>
      </c>
      <c r="D1088">
        <v>7500</v>
      </c>
    </row>
    <row r="1089" spans="1:4" x14ac:dyDescent="0.25">
      <c r="A1089" t="s">
        <v>1994</v>
      </c>
      <c r="B1089" t="s">
        <v>1993</v>
      </c>
      <c r="C1089" t="s">
        <v>2652</v>
      </c>
      <c r="D1089">
        <v>31.55</v>
      </c>
    </row>
    <row r="1090" spans="1:4" x14ac:dyDescent="0.25">
      <c r="A1090" t="s">
        <v>3165</v>
      </c>
      <c r="B1090" t="s">
        <v>3166</v>
      </c>
      <c r="C1090" t="s">
        <v>2652</v>
      </c>
      <c r="D1090">
        <v>31.55</v>
      </c>
    </row>
    <row r="1091" spans="1:4" x14ac:dyDescent="0.25">
      <c r="A1091" t="s">
        <v>2356</v>
      </c>
      <c r="B1091" t="s">
        <v>2355</v>
      </c>
      <c r="C1091" t="s">
        <v>2652</v>
      </c>
      <c r="D1091">
        <v>31.55</v>
      </c>
    </row>
    <row r="1092" spans="1:4" x14ac:dyDescent="0.25">
      <c r="A1092" t="s">
        <v>1937</v>
      </c>
      <c r="B1092" t="s">
        <v>1936</v>
      </c>
      <c r="C1092" t="s">
        <v>2652</v>
      </c>
      <c r="D1092">
        <v>31.55</v>
      </c>
    </row>
    <row r="1093" spans="1:4" x14ac:dyDescent="0.25">
      <c r="A1093" t="s">
        <v>2323</v>
      </c>
      <c r="B1093" t="s">
        <v>2322</v>
      </c>
      <c r="C1093" t="s">
        <v>2652</v>
      </c>
      <c r="D1093">
        <v>31.55</v>
      </c>
    </row>
    <row r="1094" spans="1:4" x14ac:dyDescent="0.25">
      <c r="A1094" t="s">
        <v>1924</v>
      </c>
      <c r="B1094" t="s">
        <v>1923</v>
      </c>
      <c r="C1094" t="s">
        <v>2652</v>
      </c>
      <c r="D1094">
        <v>28.25</v>
      </c>
    </row>
    <row r="1095" spans="1:4" x14ac:dyDescent="0.25">
      <c r="A1095" t="s">
        <v>998</v>
      </c>
      <c r="B1095" t="s">
        <v>997</v>
      </c>
      <c r="C1095" t="s">
        <v>2654</v>
      </c>
      <c r="D1095">
        <v>33.43</v>
      </c>
    </row>
    <row r="1096" spans="1:4" x14ac:dyDescent="0.25">
      <c r="A1096" t="s">
        <v>1945</v>
      </c>
      <c r="B1096" t="s">
        <v>1944</v>
      </c>
      <c r="C1096" t="s">
        <v>2652</v>
      </c>
      <c r="D1096">
        <v>31.55</v>
      </c>
    </row>
    <row r="1097" spans="1:4" x14ac:dyDescent="0.25">
      <c r="A1097" t="s">
        <v>925</v>
      </c>
      <c r="B1097" t="s">
        <v>924</v>
      </c>
      <c r="C1097" t="s">
        <v>2654</v>
      </c>
      <c r="D1097">
        <v>33.43</v>
      </c>
    </row>
    <row r="1098" spans="1:4" x14ac:dyDescent="0.25">
      <c r="A1098" t="s">
        <v>2469</v>
      </c>
      <c r="B1098" t="s">
        <v>2468</v>
      </c>
      <c r="C1098" t="s">
        <v>2652</v>
      </c>
      <c r="D1098">
        <v>28.25</v>
      </c>
    </row>
    <row r="1099" spans="1:4" x14ac:dyDescent="0.25">
      <c r="A1099" t="s">
        <v>1516</v>
      </c>
      <c r="B1099" t="s">
        <v>1515</v>
      </c>
      <c r="C1099" t="s">
        <v>2652</v>
      </c>
      <c r="D1099">
        <v>31.55</v>
      </c>
    </row>
    <row r="1100" spans="1:4" x14ac:dyDescent="0.25">
      <c r="A1100" t="s">
        <v>2083</v>
      </c>
      <c r="B1100" t="s">
        <v>2082</v>
      </c>
      <c r="C1100" t="s">
        <v>2663</v>
      </c>
      <c r="D1100">
        <v>7500</v>
      </c>
    </row>
    <row r="1101" spans="1:4" x14ac:dyDescent="0.25">
      <c r="A1101" t="s">
        <v>3167</v>
      </c>
      <c r="B1101" t="s">
        <v>3168</v>
      </c>
      <c r="C1101" t="s">
        <v>2652</v>
      </c>
      <c r="D1101">
        <v>31.55</v>
      </c>
    </row>
    <row r="1102" spans="1:4" x14ac:dyDescent="0.25">
      <c r="A1102" t="s">
        <v>220</v>
      </c>
      <c r="B1102" t="s">
        <v>3169</v>
      </c>
      <c r="C1102" t="s">
        <v>3170</v>
      </c>
      <c r="D1102">
        <v>32000</v>
      </c>
    </row>
    <row r="1103" spans="1:4" x14ac:dyDescent="0.25">
      <c r="A1103" t="s">
        <v>707</v>
      </c>
      <c r="B1103" t="s">
        <v>3171</v>
      </c>
      <c r="C1103" t="s">
        <v>2663</v>
      </c>
      <c r="D1103">
        <v>7500</v>
      </c>
    </row>
    <row r="1104" spans="1:4" x14ac:dyDescent="0.25">
      <c r="A1104" t="s">
        <v>417</v>
      </c>
      <c r="B1104" t="s">
        <v>416</v>
      </c>
      <c r="C1104" t="s">
        <v>2669</v>
      </c>
      <c r="D1104">
        <v>6500</v>
      </c>
    </row>
    <row r="1105" spans="1:4" x14ac:dyDescent="0.25">
      <c r="A1105" t="s">
        <v>1188</v>
      </c>
      <c r="B1105" t="s">
        <v>1187</v>
      </c>
      <c r="C1105" t="s">
        <v>2654</v>
      </c>
      <c r="D1105">
        <v>33.43</v>
      </c>
    </row>
    <row r="1106" spans="1:4" x14ac:dyDescent="0.25">
      <c r="A1106" t="s">
        <v>2400</v>
      </c>
      <c r="B1106" t="s">
        <v>2399</v>
      </c>
      <c r="C1106" t="s">
        <v>2652</v>
      </c>
      <c r="D1106">
        <v>31.55</v>
      </c>
    </row>
    <row r="1107" spans="1:4" x14ac:dyDescent="0.25">
      <c r="A1107" t="s">
        <v>743</v>
      </c>
      <c r="B1107" t="s">
        <v>742</v>
      </c>
      <c r="C1107" t="s">
        <v>2654</v>
      </c>
      <c r="D1107">
        <v>33.43</v>
      </c>
    </row>
    <row r="1108" spans="1:4" x14ac:dyDescent="0.25">
      <c r="A1108" t="s">
        <v>933</v>
      </c>
      <c r="B1108" t="s">
        <v>932</v>
      </c>
      <c r="C1108" t="s">
        <v>2652</v>
      </c>
      <c r="D1108">
        <v>31.55</v>
      </c>
    </row>
    <row r="1109" spans="1:4" x14ac:dyDescent="0.25">
      <c r="A1109" t="s">
        <v>1608</v>
      </c>
      <c r="B1109" t="s">
        <v>1607</v>
      </c>
      <c r="C1109" t="s">
        <v>2652</v>
      </c>
      <c r="D1109">
        <v>31.55</v>
      </c>
    </row>
    <row r="1110" spans="1:4" x14ac:dyDescent="0.25">
      <c r="A1110" t="s">
        <v>877</v>
      </c>
      <c r="B1110" t="s">
        <v>876</v>
      </c>
      <c r="C1110" t="s">
        <v>2654</v>
      </c>
      <c r="D1110">
        <v>33.43</v>
      </c>
    </row>
    <row r="1111" spans="1:4" x14ac:dyDescent="0.25">
      <c r="A1111" t="s">
        <v>2255</v>
      </c>
      <c r="B1111" t="s">
        <v>2254</v>
      </c>
      <c r="C1111" t="s">
        <v>2652</v>
      </c>
      <c r="D1111">
        <v>31.55</v>
      </c>
    </row>
    <row r="1112" spans="1:4" x14ac:dyDescent="0.25">
      <c r="A1112" t="s">
        <v>227</v>
      </c>
      <c r="B1112" t="s">
        <v>226</v>
      </c>
      <c r="C1112" t="s">
        <v>2823</v>
      </c>
      <c r="D1112">
        <v>6500</v>
      </c>
    </row>
    <row r="1113" spans="1:4" x14ac:dyDescent="0.25">
      <c r="A1113" t="s">
        <v>2119</v>
      </c>
      <c r="B1113" t="s">
        <v>2118</v>
      </c>
      <c r="C1113" t="s">
        <v>2652</v>
      </c>
      <c r="D1113">
        <v>28.25</v>
      </c>
    </row>
    <row r="1114" spans="1:4" x14ac:dyDescent="0.25">
      <c r="A1114" t="s">
        <v>824</v>
      </c>
      <c r="B1114" t="s">
        <v>823</v>
      </c>
      <c r="C1114" t="s">
        <v>2654</v>
      </c>
      <c r="D1114">
        <v>33.43</v>
      </c>
    </row>
    <row r="1115" spans="1:4" x14ac:dyDescent="0.25">
      <c r="A1115" t="s">
        <v>1200</v>
      </c>
      <c r="B1115" t="s">
        <v>1199</v>
      </c>
      <c r="C1115" t="s">
        <v>2652</v>
      </c>
      <c r="D1115">
        <v>31.55</v>
      </c>
    </row>
    <row r="1116" spans="1:4" x14ac:dyDescent="0.25">
      <c r="A1116" t="s">
        <v>143</v>
      </c>
      <c r="B1116" t="s">
        <v>142</v>
      </c>
      <c r="C1116" t="s">
        <v>2663</v>
      </c>
      <c r="D1116">
        <v>7500</v>
      </c>
    </row>
    <row r="1117" spans="1:4" x14ac:dyDescent="0.25">
      <c r="A1117" t="s">
        <v>1963</v>
      </c>
      <c r="B1117" t="s">
        <v>1962</v>
      </c>
      <c r="C1117" t="s">
        <v>2652</v>
      </c>
      <c r="D1117">
        <v>31.55</v>
      </c>
    </row>
    <row r="1118" spans="1:4" x14ac:dyDescent="0.25">
      <c r="A1118" t="s">
        <v>2198</v>
      </c>
      <c r="B1118" t="s">
        <v>3172</v>
      </c>
      <c r="C1118" t="s">
        <v>2652</v>
      </c>
      <c r="D1118">
        <v>31.55</v>
      </c>
    </row>
    <row r="1119" spans="1:4" x14ac:dyDescent="0.25">
      <c r="A1119" t="s">
        <v>1004</v>
      </c>
      <c r="B1119" t="s">
        <v>1003</v>
      </c>
      <c r="C1119" t="s">
        <v>2654</v>
      </c>
      <c r="D1119">
        <v>33.43</v>
      </c>
    </row>
    <row r="1120" spans="1:4" x14ac:dyDescent="0.25">
      <c r="A1120" t="s">
        <v>3173</v>
      </c>
      <c r="B1120" t="s">
        <v>3174</v>
      </c>
      <c r="C1120" t="s">
        <v>2652</v>
      </c>
      <c r="D1120">
        <v>31.55</v>
      </c>
    </row>
    <row r="1121" spans="1:4" x14ac:dyDescent="0.25">
      <c r="A1121" t="s">
        <v>1390</v>
      </c>
      <c r="B1121" t="s">
        <v>1389</v>
      </c>
      <c r="C1121" t="s">
        <v>2652</v>
      </c>
      <c r="D1121">
        <v>31.55</v>
      </c>
    </row>
    <row r="1122" spans="1:4" x14ac:dyDescent="0.25">
      <c r="A1122" t="s">
        <v>2148</v>
      </c>
      <c r="B1122" t="s">
        <v>2147</v>
      </c>
      <c r="C1122" t="s">
        <v>2652</v>
      </c>
      <c r="D1122">
        <v>28.25</v>
      </c>
    </row>
    <row r="1123" spans="1:4" x14ac:dyDescent="0.25">
      <c r="A1123" t="s">
        <v>456</v>
      </c>
      <c r="B1123" t="s">
        <v>3175</v>
      </c>
      <c r="C1123" t="s">
        <v>2698</v>
      </c>
      <c r="D1123">
        <v>5500</v>
      </c>
    </row>
    <row r="1124" spans="1:4" x14ac:dyDescent="0.25">
      <c r="A1124" t="s">
        <v>346</v>
      </c>
      <c r="B1124" t="s">
        <v>345</v>
      </c>
      <c r="C1124" t="s">
        <v>2680</v>
      </c>
      <c r="D1124">
        <v>6500</v>
      </c>
    </row>
    <row r="1125" spans="1:4" x14ac:dyDescent="0.25">
      <c r="A1125" t="s">
        <v>491</v>
      </c>
      <c r="B1125" t="s">
        <v>490</v>
      </c>
      <c r="C1125" t="s">
        <v>2698</v>
      </c>
      <c r="D1125">
        <v>5500</v>
      </c>
    </row>
    <row r="1126" spans="1:4" x14ac:dyDescent="0.25">
      <c r="A1126" t="s">
        <v>1953</v>
      </c>
      <c r="B1126" t="s">
        <v>3176</v>
      </c>
      <c r="C1126" t="s">
        <v>2652</v>
      </c>
      <c r="D1126">
        <v>31.55</v>
      </c>
    </row>
    <row r="1127" spans="1:4" x14ac:dyDescent="0.25">
      <c r="A1127" t="s">
        <v>1081</v>
      </c>
      <c r="B1127" t="s">
        <v>1080</v>
      </c>
      <c r="C1127" t="s">
        <v>2654</v>
      </c>
      <c r="D1127">
        <v>33.43</v>
      </c>
    </row>
    <row r="1128" spans="1:4" x14ac:dyDescent="0.25">
      <c r="A1128" t="s">
        <v>2164</v>
      </c>
      <c r="B1128" t="s">
        <v>2163</v>
      </c>
      <c r="C1128" t="s">
        <v>2652</v>
      </c>
      <c r="D1128">
        <v>28.25</v>
      </c>
    </row>
    <row r="1129" spans="1:4" x14ac:dyDescent="0.25">
      <c r="A1129" t="s">
        <v>2032</v>
      </c>
      <c r="B1129" t="s">
        <v>2031</v>
      </c>
      <c r="C1129" t="s">
        <v>2652</v>
      </c>
      <c r="D1129">
        <v>28.25</v>
      </c>
    </row>
    <row r="1130" spans="1:4" x14ac:dyDescent="0.25">
      <c r="A1130" t="s">
        <v>1749</v>
      </c>
      <c r="B1130" t="s">
        <v>1748</v>
      </c>
      <c r="C1130" t="s">
        <v>2654</v>
      </c>
      <c r="D1130">
        <v>33.43</v>
      </c>
    </row>
    <row r="1131" spans="1:4" x14ac:dyDescent="0.25">
      <c r="A1131" t="s">
        <v>3177</v>
      </c>
      <c r="B1131" t="s">
        <v>3178</v>
      </c>
      <c r="C1131" t="s">
        <v>2652</v>
      </c>
      <c r="D1131">
        <v>31.55</v>
      </c>
    </row>
    <row r="1132" spans="1:4" x14ac:dyDescent="0.25">
      <c r="A1132" t="s">
        <v>195</v>
      </c>
      <c r="B1132" t="s">
        <v>3179</v>
      </c>
      <c r="C1132" t="s">
        <v>3180</v>
      </c>
      <c r="D1132">
        <v>10000</v>
      </c>
    </row>
    <row r="1133" spans="1:4" x14ac:dyDescent="0.25">
      <c r="A1133" t="s">
        <v>1490</v>
      </c>
      <c r="B1133" t="s">
        <v>1489</v>
      </c>
      <c r="C1133" t="s">
        <v>2652</v>
      </c>
      <c r="D1133">
        <v>31.55</v>
      </c>
    </row>
    <row r="1134" spans="1:4" x14ac:dyDescent="0.25">
      <c r="A1134" t="s">
        <v>789</v>
      </c>
      <c r="B1134" t="s">
        <v>788</v>
      </c>
      <c r="C1134" t="s">
        <v>2652</v>
      </c>
      <c r="D1134">
        <v>31.55</v>
      </c>
    </row>
    <row r="1135" spans="1:4" x14ac:dyDescent="0.25">
      <c r="A1135" t="s">
        <v>1040</v>
      </c>
      <c r="B1135" t="s">
        <v>1039</v>
      </c>
      <c r="C1135" t="s">
        <v>2663</v>
      </c>
      <c r="D1135">
        <v>7500</v>
      </c>
    </row>
    <row r="1136" spans="1:4" x14ac:dyDescent="0.25">
      <c r="A1136" t="s">
        <v>3181</v>
      </c>
      <c r="B1136" t="s">
        <v>3182</v>
      </c>
      <c r="C1136" t="s">
        <v>3055</v>
      </c>
      <c r="D1136">
        <v>4800</v>
      </c>
    </row>
    <row r="1137" spans="1:4" x14ac:dyDescent="0.25">
      <c r="A1137" t="s">
        <v>1439</v>
      </c>
      <c r="B1137" t="s">
        <v>3183</v>
      </c>
      <c r="C1137" t="s">
        <v>2652</v>
      </c>
      <c r="D1137">
        <v>31.55</v>
      </c>
    </row>
    <row r="1138" spans="1:4" x14ac:dyDescent="0.25">
      <c r="A1138" t="s">
        <v>3184</v>
      </c>
      <c r="B1138" t="s">
        <v>3185</v>
      </c>
      <c r="C1138" t="s">
        <v>3055</v>
      </c>
      <c r="D1138">
        <v>4800</v>
      </c>
    </row>
    <row r="1139" spans="1:4" x14ac:dyDescent="0.25">
      <c r="A1139" t="s">
        <v>1536</v>
      </c>
      <c r="B1139" t="s">
        <v>1535</v>
      </c>
      <c r="C1139" t="s">
        <v>2652</v>
      </c>
      <c r="D1139">
        <v>31.55</v>
      </c>
    </row>
    <row r="1140" spans="1:4" x14ac:dyDescent="0.25">
      <c r="A1140" t="s">
        <v>1528</v>
      </c>
      <c r="B1140" t="s">
        <v>1527</v>
      </c>
      <c r="C1140" t="s">
        <v>2652</v>
      </c>
      <c r="D1140">
        <v>31.55</v>
      </c>
    </row>
    <row r="1141" spans="1:4" x14ac:dyDescent="0.25">
      <c r="A1141" t="s">
        <v>1980</v>
      </c>
      <c r="B1141" t="s">
        <v>1979</v>
      </c>
      <c r="C1141" t="s">
        <v>2652</v>
      </c>
      <c r="D1141">
        <v>31.55</v>
      </c>
    </row>
    <row r="1142" spans="1:4" x14ac:dyDescent="0.25">
      <c r="A1142" t="s">
        <v>2222</v>
      </c>
      <c r="B1142" t="s">
        <v>2221</v>
      </c>
      <c r="C1142" t="s">
        <v>2652</v>
      </c>
      <c r="D1142">
        <v>31.55</v>
      </c>
    </row>
    <row r="1143" spans="1:4" x14ac:dyDescent="0.25">
      <c r="A1143" t="s">
        <v>272</v>
      </c>
      <c r="B1143" t="s">
        <v>3186</v>
      </c>
      <c r="C1143" t="s">
        <v>2697</v>
      </c>
      <c r="D1143">
        <v>6500</v>
      </c>
    </row>
    <row r="1144" spans="1:4" x14ac:dyDescent="0.25">
      <c r="A1144" t="s">
        <v>2421</v>
      </c>
      <c r="B1144" t="s">
        <v>3187</v>
      </c>
      <c r="C1144" t="s">
        <v>2652</v>
      </c>
      <c r="D1144">
        <v>28.25</v>
      </c>
    </row>
    <row r="1145" spans="1:4" x14ac:dyDescent="0.25">
      <c r="A1145" t="s">
        <v>1724</v>
      </c>
      <c r="B1145" t="s">
        <v>1723</v>
      </c>
      <c r="C1145" t="s">
        <v>2652</v>
      </c>
      <c r="D1145">
        <v>31.55</v>
      </c>
    </row>
    <row r="1146" spans="1:4" x14ac:dyDescent="0.25">
      <c r="A1146" t="s">
        <v>3188</v>
      </c>
      <c r="B1146" t="s">
        <v>3189</v>
      </c>
      <c r="C1146" t="s">
        <v>2652</v>
      </c>
      <c r="D1146">
        <v>31.55</v>
      </c>
    </row>
    <row r="1147" spans="1:4" x14ac:dyDescent="0.25">
      <c r="A1147" t="s">
        <v>383</v>
      </c>
      <c r="B1147" t="s">
        <v>382</v>
      </c>
      <c r="C1147" t="s">
        <v>2680</v>
      </c>
      <c r="D1147">
        <v>6500</v>
      </c>
    </row>
    <row r="1148" spans="1:4" x14ac:dyDescent="0.25">
      <c r="A1148" t="s">
        <v>473</v>
      </c>
      <c r="B1148" t="s">
        <v>472</v>
      </c>
      <c r="C1148" t="s">
        <v>2698</v>
      </c>
      <c r="D1148">
        <v>5500</v>
      </c>
    </row>
    <row r="1149" spans="1:4" x14ac:dyDescent="0.25">
      <c r="A1149" t="s">
        <v>3190</v>
      </c>
      <c r="B1149" t="s">
        <v>3191</v>
      </c>
      <c r="C1149" t="s">
        <v>2652</v>
      </c>
      <c r="D1149">
        <v>31.55</v>
      </c>
    </row>
    <row r="1150" spans="1:4" x14ac:dyDescent="0.25">
      <c r="A1150" t="s">
        <v>1028</v>
      </c>
      <c r="B1150" t="s">
        <v>1027</v>
      </c>
      <c r="C1150" t="s">
        <v>2654</v>
      </c>
      <c r="D1150">
        <v>33.43</v>
      </c>
    </row>
    <row r="1151" spans="1:4" x14ac:dyDescent="0.25">
      <c r="A1151" t="s">
        <v>178</v>
      </c>
      <c r="B1151" t="s">
        <v>3192</v>
      </c>
      <c r="C1151" t="s">
        <v>2996</v>
      </c>
      <c r="D1151">
        <v>7000</v>
      </c>
    </row>
    <row r="1152" spans="1:4" x14ac:dyDescent="0.25">
      <c r="A1152" t="s">
        <v>3193</v>
      </c>
      <c r="B1152" t="s">
        <v>3194</v>
      </c>
      <c r="C1152" t="s">
        <v>2652</v>
      </c>
      <c r="D1152">
        <v>31.55</v>
      </c>
    </row>
    <row r="1153" spans="1:4" x14ac:dyDescent="0.25">
      <c r="A1153" t="s">
        <v>1713</v>
      </c>
      <c r="B1153" t="s">
        <v>1712</v>
      </c>
      <c r="C1153" t="s">
        <v>2652</v>
      </c>
      <c r="D1153">
        <v>31.55</v>
      </c>
    </row>
    <row r="1154" spans="1:4" x14ac:dyDescent="0.25">
      <c r="A1154" t="s">
        <v>2459</v>
      </c>
      <c r="B1154" t="s">
        <v>2458</v>
      </c>
      <c r="C1154" t="s">
        <v>2652</v>
      </c>
      <c r="D1154">
        <v>28.25</v>
      </c>
    </row>
    <row r="1155" spans="1:4" x14ac:dyDescent="0.25">
      <c r="A1155" t="s">
        <v>1224</v>
      </c>
      <c r="B1155" t="s">
        <v>1223</v>
      </c>
      <c r="C1155" t="s">
        <v>2652</v>
      </c>
      <c r="D1155">
        <v>31.55</v>
      </c>
    </row>
    <row r="1156" spans="1:4" x14ac:dyDescent="0.25">
      <c r="A1156" t="s">
        <v>2273</v>
      </c>
      <c r="B1156" t="s">
        <v>2272</v>
      </c>
      <c r="C1156" t="s">
        <v>2652</v>
      </c>
      <c r="D1156">
        <v>31.55</v>
      </c>
    </row>
    <row r="1157" spans="1:4" x14ac:dyDescent="0.25">
      <c r="A1157" t="s">
        <v>2336</v>
      </c>
      <c r="B1157" t="s">
        <v>2335</v>
      </c>
      <c r="C1157" t="s">
        <v>2652</v>
      </c>
      <c r="D1157">
        <v>31.55</v>
      </c>
    </row>
    <row r="1158" spans="1:4" x14ac:dyDescent="0.25">
      <c r="A1158" t="s">
        <v>1339</v>
      </c>
      <c r="B1158" t="s">
        <v>3195</v>
      </c>
      <c r="C1158" t="s">
        <v>2652</v>
      </c>
      <c r="D1158">
        <v>31.55</v>
      </c>
    </row>
    <row r="1159" spans="1:4" x14ac:dyDescent="0.25">
      <c r="A1159" t="s">
        <v>1809</v>
      </c>
      <c r="B1159" t="s">
        <v>1808</v>
      </c>
      <c r="C1159" t="s">
        <v>2652</v>
      </c>
      <c r="D1159">
        <v>31.55</v>
      </c>
    </row>
    <row r="1160" spans="1:4" x14ac:dyDescent="0.25">
      <c r="A1160" t="s">
        <v>838</v>
      </c>
      <c r="B1160" t="s">
        <v>837</v>
      </c>
      <c r="C1160" t="s">
        <v>2654</v>
      </c>
      <c r="D1160">
        <v>33.43</v>
      </c>
    </row>
    <row r="1161" spans="1:4" x14ac:dyDescent="0.25">
      <c r="A1161" t="s">
        <v>674</v>
      </c>
      <c r="B1161" t="s">
        <v>673</v>
      </c>
      <c r="C1161" t="s">
        <v>2656</v>
      </c>
      <c r="D1161">
        <v>4800</v>
      </c>
    </row>
    <row r="1162" spans="1:4" x14ac:dyDescent="0.25">
      <c r="A1162" t="s">
        <v>336</v>
      </c>
      <c r="B1162" t="s">
        <v>335</v>
      </c>
      <c r="C1162" t="s">
        <v>2825</v>
      </c>
      <c r="D1162">
        <v>10000</v>
      </c>
    </row>
    <row r="1163" spans="1:4" x14ac:dyDescent="0.25">
      <c r="A1163" t="s">
        <v>1204</v>
      </c>
      <c r="B1163" t="s">
        <v>3196</v>
      </c>
      <c r="C1163" t="s">
        <v>2652</v>
      </c>
      <c r="D1163">
        <v>31.55</v>
      </c>
    </row>
    <row r="1164" spans="1:4" x14ac:dyDescent="0.25">
      <c r="A1164" t="s">
        <v>1600</v>
      </c>
      <c r="B1164" t="s">
        <v>1599</v>
      </c>
      <c r="C1164" t="s">
        <v>2654</v>
      </c>
      <c r="D1164">
        <v>33.43</v>
      </c>
    </row>
    <row r="1165" spans="1:4" x14ac:dyDescent="0.25">
      <c r="A1165" t="s">
        <v>1246</v>
      </c>
      <c r="B1165" t="s">
        <v>1245</v>
      </c>
      <c r="C1165" t="s">
        <v>2654</v>
      </c>
      <c r="D1165">
        <v>33.43</v>
      </c>
    </row>
    <row r="1166" spans="1:4" x14ac:dyDescent="0.25">
      <c r="A1166" t="s">
        <v>3197</v>
      </c>
      <c r="B1166" t="s">
        <v>3198</v>
      </c>
      <c r="C1166" t="s">
        <v>2652</v>
      </c>
      <c r="D1166">
        <v>28.25</v>
      </c>
    </row>
    <row r="1167" spans="1:4" x14ac:dyDescent="0.25">
      <c r="A1167" t="s">
        <v>1423</v>
      </c>
      <c r="B1167" t="s">
        <v>1422</v>
      </c>
      <c r="C1167" t="s">
        <v>2652</v>
      </c>
      <c r="D1167">
        <v>28.25</v>
      </c>
    </row>
    <row r="1168" spans="1:4" x14ac:dyDescent="0.25">
      <c r="A1168" t="s">
        <v>411</v>
      </c>
      <c r="B1168" t="s">
        <v>410</v>
      </c>
      <c r="C1168" t="s">
        <v>2680</v>
      </c>
      <c r="D1168">
        <v>5300</v>
      </c>
    </row>
    <row r="1169" spans="1:4" x14ac:dyDescent="0.25">
      <c r="A1169" t="s">
        <v>557</v>
      </c>
      <c r="B1169" t="s">
        <v>3199</v>
      </c>
      <c r="C1169" t="s">
        <v>2650</v>
      </c>
      <c r="D1169">
        <v>4500</v>
      </c>
    </row>
    <row r="1170" spans="1:4" x14ac:dyDescent="0.25">
      <c r="A1170" t="s">
        <v>1783</v>
      </c>
      <c r="B1170" t="s">
        <v>1782</v>
      </c>
      <c r="C1170" t="s">
        <v>2652</v>
      </c>
      <c r="D1170">
        <v>31.55</v>
      </c>
    </row>
    <row r="1171" spans="1:4" x14ac:dyDescent="0.25">
      <c r="A1171" t="s">
        <v>3200</v>
      </c>
      <c r="B1171" t="s">
        <v>3201</v>
      </c>
      <c r="C1171" t="s">
        <v>2652</v>
      </c>
      <c r="D1171">
        <v>28.25</v>
      </c>
    </row>
    <row r="1172" spans="1:4" x14ac:dyDescent="0.25">
      <c r="A1172" t="s">
        <v>1193</v>
      </c>
      <c r="B1172" t="s">
        <v>1192</v>
      </c>
      <c r="C1172" t="s">
        <v>2652</v>
      </c>
      <c r="D1172">
        <v>31.55</v>
      </c>
    </row>
    <row r="1173" spans="1:4" x14ac:dyDescent="0.25">
      <c r="A1173" t="s">
        <v>1032</v>
      </c>
      <c r="B1173" t="s">
        <v>1031</v>
      </c>
      <c r="C1173" t="s">
        <v>2654</v>
      </c>
      <c r="D1173">
        <v>33.43</v>
      </c>
    </row>
    <row r="1174" spans="1:4" x14ac:dyDescent="0.25">
      <c r="A1174" t="s">
        <v>2140</v>
      </c>
      <c r="B1174" t="s">
        <v>2139</v>
      </c>
      <c r="C1174" t="s">
        <v>2652</v>
      </c>
      <c r="D1174">
        <v>31.55</v>
      </c>
    </row>
    <row r="1175" spans="1:4" x14ac:dyDescent="0.25">
      <c r="A1175" t="s">
        <v>2208</v>
      </c>
      <c r="B1175" t="s">
        <v>3202</v>
      </c>
      <c r="C1175" t="s">
        <v>2652</v>
      </c>
      <c r="D1175">
        <v>31.55</v>
      </c>
    </row>
    <row r="1176" spans="1:4" x14ac:dyDescent="0.25">
      <c r="A1176" t="s">
        <v>783</v>
      </c>
      <c r="B1176" t="s">
        <v>782</v>
      </c>
      <c r="C1176" t="s">
        <v>2654</v>
      </c>
      <c r="D1176">
        <v>33.43</v>
      </c>
    </row>
    <row r="1177" spans="1:4" x14ac:dyDescent="0.25">
      <c r="A1177" t="s">
        <v>1056</v>
      </c>
      <c r="B1177" t="s">
        <v>3203</v>
      </c>
      <c r="C1177" t="s">
        <v>2654</v>
      </c>
      <c r="D1177">
        <v>33.43</v>
      </c>
    </row>
    <row r="1178" spans="1:4" x14ac:dyDescent="0.25">
      <c r="A1178" t="s">
        <v>905</v>
      </c>
      <c r="B1178" t="s">
        <v>904</v>
      </c>
      <c r="C1178" t="s">
        <v>2654</v>
      </c>
      <c r="D1178">
        <v>33.43</v>
      </c>
    </row>
    <row r="1179" spans="1:4" x14ac:dyDescent="0.25">
      <c r="A1179" t="s">
        <v>3204</v>
      </c>
      <c r="B1179" t="s">
        <v>3205</v>
      </c>
      <c r="C1179" t="s">
        <v>2652</v>
      </c>
      <c r="D1179">
        <v>28.25</v>
      </c>
    </row>
    <row r="1180" spans="1:4" x14ac:dyDescent="0.25">
      <c r="A1180" t="s">
        <v>1394</v>
      </c>
      <c r="B1180" t="s">
        <v>1393</v>
      </c>
      <c r="C1180" t="s">
        <v>2652</v>
      </c>
      <c r="D1180">
        <v>31.55</v>
      </c>
    </row>
    <row r="1181" spans="1:4" x14ac:dyDescent="0.25">
      <c r="A1181" t="s">
        <v>549</v>
      </c>
      <c r="B1181" t="s">
        <v>548</v>
      </c>
      <c r="C1181" t="s">
        <v>2650</v>
      </c>
      <c r="D1181">
        <v>4500</v>
      </c>
    </row>
    <row r="1182" spans="1:4" x14ac:dyDescent="0.25">
      <c r="A1182" t="s">
        <v>1119</v>
      </c>
      <c r="B1182" t="s">
        <v>1118</v>
      </c>
      <c r="C1182" t="s">
        <v>2654</v>
      </c>
      <c r="D1182">
        <v>33.43</v>
      </c>
    </row>
    <row r="1183" spans="1:4" x14ac:dyDescent="0.25">
      <c r="A1183" t="s">
        <v>1647</v>
      </c>
      <c r="B1183" t="s">
        <v>1646</v>
      </c>
      <c r="C1183" t="s">
        <v>2652</v>
      </c>
      <c r="D1183">
        <v>28.25</v>
      </c>
    </row>
    <row r="1184" spans="1:4" x14ac:dyDescent="0.25">
      <c r="A1184" t="s">
        <v>545</v>
      </c>
      <c r="B1184" t="s">
        <v>544</v>
      </c>
      <c r="C1184" t="s">
        <v>2650</v>
      </c>
      <c r="D1184">
        <v>4500</v>
      </c>
    </row>
    <row r="1185" spans="1:4" x14ac:dyDescent="0.25">
      <c r="A1185" t="s">
        <v>3206</v>
      </c>
      <c r="B1185" t="s">
        <v>3207</v>
      </c>
      <c r="C1185" t="s">
        <v>2652</v>
      </c>
      <c r="D1185">
        <v>31.55</v>
      </c>
    </row>
    <row r="1186" spans="1:4" x14ac:dyDescent="0.25">
      <c r="A1186" t="s">
        <v>1586</v>
      </c>
      <c r="B1186" t="s">
        <v>1585</v>
      </c>
      <c r="C1186" t="s">
        <v>2652</v>
      </c>
      <c r="D1186">
        <v>31.55</v>
      </c>
    </row>
    <row r="1187" spans="1:4" x14ac:dyDescent="0.25">
      <c r="A1187" t="s">
        <v>1087</v>
      </c>
      <c r="B1187" t="s">
        <v>1086</v>
      </c>
      <c r="C1187" t="s">
        <v>2654</v>
      </c>
      <c r="D1187">
        <v>33.43</v>
      </c>
    </row>
    <row r="1188" spans="1:4" x14ac:dyDescent="0.25">
      <c r="A1188" t="s">
        <v>425</v>
      </c>
      <c r="B1188" t="s">
        <v>3208</v>
      </c>
      <c r="C1188" t="s">
        <v>2698</v>
      </c>
      <c r="D1188">
        <v>5500</v>
      </c>
    </row>
    <row r="1189" spans="1:4" x14ac:dyDescent="0.25">
      <c r="A1189" t="s">
        <v>3209</v>
      </c>
      <c r="B1189" t="s">
        <v>3210</v>
      </c>
      <c r="C1189" t="s">
        <v>2652</v>
      </c>
      <c r="D1189">
        <v>31.55</v>
      </c>
    </row>
    <row r="1190" spans="1:4" x14ac:dyDescent="0.25">
      <c r="A1190" t="s">
        <v>2121</v>
      </c>
      <c r="B1190" t="s">
        <v>2120</v>
      </c>
      <c r="C1190" t="s">
        <v>2652</v>
      </c>
      <c r="D1190">
        <v>28.25</v>
      </c>
    </row>
    <row r="1191" spans="1:4" x14ac:dyDescent="0.25">
      <c r="A1191" t="s">
        <v>2085</v>
      </c>
      <c r="B1191" t="s">
        <v>2084</v>
      </c>
      <c r="C1191" t="s">
        <v>2652</v>
      </c>
      <c r="D1191">
        <v>31.55</v>
      </c>
    </row>
    <row r="1192" spans="1:4" x14ac:dyDescent="0.25">
      <c r="A1192" t="s">
        <v>1693</v>
      </c>
      <c r="B1192" t="s">
        <v>1692</v>
      </c>
      <c r="C1192" t="s">
        <v>2652</v>
      </c>
      <c r="D1192">
        <v>31.55</v>
      </c>
    </row>
    <row r="1193" spans="1:4" x14ac:dyDescent="0.25">
      <c r="A1193" t="s">
        <v>3211</v>
      </c>
      <c r="B1193" t="s">
        <v>3212</v>
      </c>
      <c r="C1193" t="s">
        <v>2652</v>
      </c>
      <c r="D1193">
        <v>31.55</v>
      </c>
    </row>
    <row r="1194" spans="1:4" x14ac:dyDescent="0.25">
      <c r="A1194" t="s">
        <v>509</v>
      </c>
      <c r="B1194" t="s">
        <v>508</v>
      </c>
      <c r="C1194" t="s">
        <v>2650</v>
      </c>
      <c r="D1194">
        <v>4500</v>
      </c>
    </row>
    <row r="1195" spans="1:4" x14ac:dyDescent="0.25">
      <c r="A1195" t="s">
        <v>1157</v>
      </c>
      <c r="B1195" t="s">
        <v>1156</v>
      </c>
      <c r="C1195" t="s">
        <v>2654</v>
      </c>
      <c r="D1195">
        <v>33.43</v>
      </c>
    </row>
    <row r="1196" spans="1:4" x14ac:dyDescent="0.25">
      <c r="A1196" t="s">
        <v>334</v>
      </c>
      <c r="B1196" t="s">
        <v>333</v>
      </c>
      <c r="C1196" t="s">
        <v>2825</v>
      </c>
      <c r="D1196">
        <v>9000</v>
      </c>
    </row>
    <row r="1197" spans="1:4" x14ac:dyDescent="0.25">
      <c r="A1197" t="s">
        <v>413</v>
      </c>
      <c r="B1197" t="s">
        <v>412</v>
      </c>
      <c r="C1197" t="s">
        <v>2680</v>
      </c>
      <c r="D1197">
        <v>6500</v>
      </c>
    </row>
    <row r="1198" spans="1:4" x14ac:dyDescent="0.25">
      <c r="A1198" t="s">
        <v>2373</v>
      </c>
      <c r="B1198" t="s">
        <v>2372</v>
      </c>
      <c r="C1198" t="s">
        <v>2652</v>
      </c>
      <c r="D1198">
        <v>31.55</v>
      </c>
    </row>
    <row r="1199" spans="1:4" x14ac:dyDescent="0.25">
      <c r="A1199" t="s">
        <v>134</v>
      </c>
      <c r="B1199" t="s">
        <v>2557</v>
      </c>
      <c r="C1199" t="s">
        <v>2663</v>
      </c>
      <c r="D1199">
        <v>7500</v>
      </c>
    </row>
    <row r="1200" spans="1:4" x14ac:dyDescent="0.25">
      <c r="A1200" t="s">
        <v>1677</v>
      </c>
      <c r="B1200" t="s">
        <v>1676</v>
      </c>
      <c r="C1200" t="s">
        <v>2652</v>
      </c>
      <c r="D1200">
        <v>31.55</v>
      </c>
    </row>
    <row r="1201" spans="1:4" x14ac:dyDescent="0.25">
      <c r="A1201" t="s">
        <v>1234</v>
      </c>
      <c r="B1201" t="s">
        <v>3213</v>
      </c>
      <c r="C1201" t="s">
        <v>2652</v>
      </c>
      <c r="D1201">
        <v>31.55</v>
      </c>
    </row>
    <row r="1202" spans="1:4" x14ac:dyDescent="0.25">
      <c r="A1202" t="s">
        <v>935</v>
      </c>
      <c r="B1202" t="s">
        <v>934</v>
      </c>
      <c r="C1202" t="s">
        <v>2654</v>
      </c>
      <c r="D1202">
        <v>33.43</v>
      </c>
    </row>
    <row r="1203" spans="1:4" x14ac:dyDescent="0.25">
      <c r="A1203" t="s">
        <v>713</v>
      </c>
      <c r="B1203" t="s">
        <v>712</v>
      </c>
      <c r="C1203" t="s">
        <v>2654</v>
      </c>
      <c r="D1203">
        <v>33.43</v>
      </c>
    </row>
    <row r="1204" spans="1:4" x14ac:dyDescent="0.25">
      <c r="A1204" t="s">
        <v>2128</v>
      </c>
      <c r="B1204" t="s">
        <v>2127</v>
      </c>
      <c r="C1204" t="s">
        <v>2652</v>
      </c>
      <c r="D1204">
        <v>31.55</v>
      </c>
    </row>
    <row r="1205" spans="1:4" x14ac:dyDescent="0.25">
      <c r="A1205" t="s">
        <v>2152</v>
      </c>
      <c r="B1205" t="s">
        <v>2151</v>
      </c>
      <c r="C1205" t="s">
        <v>2654</v>
      </c>
      <c r="D1205">
        <v>33.43</v>
      </c>
    </row>
    <row r="1206" spans="1:4" x14ac:dyDescent="0.25">
      <c r="A1206" t="s">
        <v>3214</v>
      </c>
      <c r="B1206" t="s">
        <v>3215</v>
      </c>
      <c r="C1206" t="s">
        <v>2652</v>
      </c>
      <c r="D1206">
        <v>31.55</v>
      </c>
    </row>
    <row r="1207" spans="1:4" x14ac:dyDescent="0.25">
      <c r="A1207" t="s">
        <v>945</v>
      </c>
      <c r="B1207" t="s">
        <v>944</v>
      </c>
      <c r="C1207" t="s">
        <v>2654</v>
      </c>
      <c r="D1207">
        <v>33.43</v>
      </c>
    </row>
    <row r="1208" spans="1:4" x14ac:dyDescent="0.25">
      <c r="A1208" t="s">
        <v>796</v>
      </c>
      <c r="B1208" t="s">
        <v>3216</v>
      </c>
      <c r="C1208" t="s">
        <v>2654</v>
      </c>
      <c r="D1208">
        <v>33.43</v>
      </c>
    </row>
    <row r="1209" spans="1:4" x14ac:dyDescent="0.25">
      <c r="A1209" t="s">
        <v>1143</v>
      </c>
      <c r="B1209" t="s">
        <v>1142</v>
      </c>
      <c r="C1209" t="s">
        <v>2654</v>
      </c>
      <c r="D1209">
        <v>33.43</v>
      </c>
    </row>
    <row r="1210" spans="1:4" x14ac:dyDescent="0.25">
      <c r="A1210" t="s">
        <v>686</v>
      </c>
      <c r="B1210" t="s">
        <v>685</v>
      </c>
      <c r="C1210" t="s">
        <v>2656</v>
      </c>
      <c r="D1210">
        <v>4800</v>
      </c>
    </row>
    <row r="1211" spans="1:4" x14ac:dyDescent="0.25">
      <c r="A1211" t="s">
        <v>2326</v>
      </c>
      <c r="B1211" t="s">
        <v>2325</v>
      </c>
      <c r="C1211" t="s">
        <v>2652</v>
      </c>
      <c r="D1211">
        <v>31.55</v>
      </c>
    </row>
    <row r="1212" spans="1:4" x14ac:dyDescent="0.25">
      <c r="A1212" t="s">
        <v>437</v>
      </c>
      <c r="B1212" t="s">
        <v>436</v>
      </c>
      <c r="C1212" t="s">
        <v>2901</v>
      </c>
      <c r="D1212">
        <v>4900</v>
      </c>
    </row>
    <row r="1213" spans="1:4" x14ac:dyDescent="0.25">
      <c r="A1213" t="s">
        <v>1771</v>
      </c>
      <c r="B1213" t="s">
        <v>3217</v>
      </c>
      <c r="C1213" t="s">
        <v>2652</v>
      </c>
      <c r="D1213">
        <v>31.55</v>
      </c>
    </row>
    <row r="1214" spans="1:4" x14ac:dyDescent="0.25">
      <c r="A1214" t="s">
        <v>2379</v>
      </c>
      <c r="B1214" t="s">
        <v>2378</v>
      </c>
      <c r="C1214" t="s">
        <v>2652</v>
      </c>
      <c r="D1214">
        <v>31.55</v>
      </c>
    </row>
    <row r="1215" spans="1:4" x14ac:dyDescent="0.25">
      <c r="A1215" t="s">
        <v>363</v>
      </c>
      <c r="B1215" t="s">
        <v>3218</v>
      </c>
      <c r="C1215" t="s">
        <v>2680</v>
      </c>
      <c r="D1215">
        <v>6500</v>
      </c>
    </row>
    <row r="1216" spans="1:4" x14ac:dyDescent="0.25">
      <c r="A1216" t="s">
        <v>1024</v>
      </c>
      <c r="B1216" t="s">
        <v>1023</v>
      </c>
      <c r="C1216" t="s">
        <v>2654</v>
      </c>
      <c r="D1216">
        <v>33.43</v>
      </c>
    </row>
    <row r="1217" spans="1:4" x14ac:dyDescent="0.25">
      <c r="A1217" t="s">
        <v>2364</v>
      </c>
      <c r="B1217" t="s">
        <v>2363</v>
      </c>
      <c r="C1217" t="s">
        <v>2652</v>
      </c>
      <c r="D1217">
        <v>31.55</v>
      </c>
    </row>
    <row r="1218" spans="1:4" x14ac:dyDescent="0.25">
      <c r="A1218" t="s">
        <v>1022</v>
      </c>
      <c r="B1218" t="s">
        <v>1021</v>
      </c>
      <c r="C1218" t="s">
        <v>2654</v>
      </c>
      <c r="D1218">
        <v>33.43</v>
      </c>
    </row>
    <row r="1219" spans="1:4" x14ac:dyDescent="0.25">
      <c r="A1219" t="s">
        <v>2231</v>
      </c>
      <c r="B1219" t="s">
        <v>2230</v>
      </c>
      <c r="C1219" t="s">
        <v>2652</v>
      </c>
      <c r="D1219">
        <v>28.25</v>
      </c>
    </row>
    <row r="1220" spans="1:4" x14ac:dyDescent="0.25">
      <c r="A1220" t="s">
        <v>3219</v>
      </c>
      <c r="B1220" t="s">
        <v>3220</v>
      </c>
      <c r="C1220" t="s">
        <v>2698</v>
      </c>
      <c r="D1220">
        <v>5500</v>
      </c>
    </row>
    <row r="1221" spans="1:4" x14ac:dyDescent="0.25">
      <c r="A1221" t="s">
        <v>2075</v>
      </c>
      <c r="B1221" t="s">
        <v>2074</v>
      </c>
      <c r="C1221" t="s">
        <v>2652</v>
      </c>
      <c r="D1221">
        <v>31.55</v>
      </c>
    </row>
    <row r="1222" spans="1:4" x14ac:dyDescent="0.25">
      <c r="A1222" t="s">
        <v>3221</v>
      </c>
      <c r="B1222" t="s">
        <v>3222</v>
      </c>
      <c r="C1222" t="s">
        <v>2652</v>
      </c>
      <c r="D1222">
        <v>28.25</v>
      </c>
    </row>
    <row r="1223" spans="1:4" x14ac:dyDescent="0.25">
      <c r="A1223" t="s">
        <v>1115</v>
      </c>
      <c r="B1223" t="s">
        <v>1114</v>
      </c>
      <c r="C1223" t="s">
        <v>2652</v>
      </c>
      <c r="D1223">
        <v>31.55</v>
      </c>
    </row>
    <row r="1224" spans="1:4" x14ac:dyDescent="0.25">
      <c r="A1224" t="s">
        <v>2006</v>
      </c>
      <c r="B1224" t="s">
        <v>2005</v>
      </c>
      <c r="C1224" t="s">
        <v>2652</v>
      </c>
      <c r="D1224">
        <v>31.55</v>
      </c>
    </row>
    <row r="1225" spans="1:4" x14ac:dyDescent="0.25">
      <c r="A1225" t="s">
        <v>3223</v>
      </c>
      <c r="B1225" t="s">
        <v>3224</v>
      </c>
      <c r="C1225" t="s">
        <v>2652</v>
      </c>
      <c r="D1225">
        <v>31.55</v>
      </c>
    </row>
    <row r="1226" spans="1:4" x14ac:dyDescent="0.25">
      <c r="A1226" t="s">
        <v>1550</v>
      </c>
      <c r="B1226" t="s">
        <v>1549</v>
      </c>
      <c r="C1226" t="s">
        <v>2652</v>
      </c>
      <c r="D1226">
        <v>31.55</v>
      </c>
    </row>
    <row r="1227" spans="1:4" x14ac:dyDescent="0.25">
      <c r="A1227" t="s">
        <v>711</v>
      </c>
      <c r="B1227" t="s">
        <v>710</v>
      </c>
      <c r="C1227" t="s">
        <v>2654</v>
      </c>
      <c r="D1227">
        <v>33.43</v>
      </c>
    </row>
    <row r="1228" spans="1:4" x14ac:dyDescent="0.25">
      <c r="A1228" t="s">
        <v>2241</v>
      </c>
      <c r="B1228" t="s">
        <v>2240</v>
      </c>
      <c r="C1228" t="s">
        <v>2652</v>
      </c>
      <c r="D1228">
        <v>28.25</v>
      </c>
    </row>
    <row r="1229" spans="1:4" x14ac:dyDescent="0.25">
      <c r="A1229" t="s">
        <v>1747</v>
      </c>
      <c r="B1229" t="s">
        <v>1746</v>
      </c>
      <c r="C1229" t="s">
        <v>2652</v>
      </c>
      <c r="D1229">
        <v>31.55</v>
      </c>
    </row>
    <row r="1230" spans="1:4" x14ac:dyDescent="0.25">
      <c r="A1230" t="s">
        <v>818</v>
      </c>
      <c r="B1230" t="s">
        <v>817</v>
      </c>
      <c r="C1230" t="s">
        <v>2654</v>
      </c>
      <c r="D1230">
        <v>33.43</v>
      </c>
    </row>
    <row r="1231" spans="1:4" x14ac:dyDescent="0.25">
      <c r="A1231" t="s">
        <v>539</v>
      </c>
      <c r="B1231" t="s">
        <v>538</v>
      </c>
      <c r="C1231" t="s">
        <v>2650</v>
      </c>
      <c r="D1231">
        <v>4500</v>
      </c>
    </row>
    <row r="1232" spans="1:4" x14ac:dyDescent="0.25">
      <c r="A1232" t="s">
        <v>983</v>
      </c>
      <c r="B1232" t="s">
        <v>982</v>
      </c>
      <c r="C1232" t="s">
        <v>2654</v>
      </c>
      <c r="D1232">
        <v>33.43</v>
      </c>
    </row>
    <row r="1233" spans="1:4" x14ac:dyDescent="0.25">
      <c r="A1233" t="s">
        <v>2463</v>
      </c>
      <c r="B1233" t="s">
        <v>2462</v>
      </c>
      <c r="C1233" t="s">
        <v>2652</v>
      </c>
      <c r="D1233">
        <v>28.25</v>
      </c>
    </row>
    <row r="1234" spans="1:4" x14ac:dyDescent="0.25">
      <c r="A1234" t="s">
        <v>486</v>
      </c>
      <c r="B1234" t="s">
        <v>3225</v>
      </c>
      <c r="C1234" t="s">
        <v>2698</v>
      </c>
      <c r="D1234">
        <v>5500</v>
      </c>
    </row>
    <row r="1235" spans="1:4" x14ac:dyDescent="0.25">
      <c r="A1235" t="s">
        <v>551</v>
      </c>
      <c r="B1235" t="s">
        <v>550</v>
      </c>
      <c r="C1235" t="s">
        <v>2650</v>
      </c>
      <c r="D1235">
        <v>4500</v>
      </c>
    </row>
    <row r="1236" spans="1:4" x14ac:dyDescent="0.25">
      <c r="A1236" t="s">
        <v>703</v>
      </c>
      <c r="B1236" t="s">
        <v>702</v>
      </c>
      <c r="C1236" t="s">
        <v>2652</v>
      </c>
      <c r="D1236">
        <v>31.55</v>
      </c>
    </row>
    <row r="1237" spans="1:4" x14ac:dyDescent="0.25">
      <c r="A1237" t="s">
        <v>3226</v>
      </c>
      <c r="B1237" t="s">
        <v>3227</v>
      </c>
      <c r="C1237" t="s">
        <v>2652</v>
      </c>
      <c r="D1237">
        <v>31.55</v>
      </c>
    </row>
    <row r="1238" spans="1:4" x14ac:dyDescent="0.25">
      <c r="A1238" t="s">
        <v>276</v>
      </c>
      <c r="B1238" t="s">
        <v>275</v>
      </c>
      <c r="C1238" t="s">
        <v>2987</v>
      </c>
      <c r="D1238">
        <v>6500</v>
      </c>
    </row>
    <row r="1239" spans="1:4" x14ac:dyDescent="0.25">
      <c r="A1239" t="s">
        <v>1319</v>
      </c>
      <c r="B1239" t="s">
        <v>3228</v>
      </c>
      <c r="C1239" t="s">
        <v>2652</v>
      </c>
      <c r="D1239">
        <v>31.55</v>
      </c>
    </row>
    <row r="1240" spans="1:4" x14ac:dyDescent="0.25">
      <c r="A1240" t="s">
        <v>3229</v>
      </c>
      <c r="B1240" t="s">
        <v>3230</v>
      </c>
      <c r="C1240" t="s">
        <v>2652</v>
      </c>
      <c r="D1240">
        <v>31.55</v>
      </c>
    </row>
    <row r="1241" spans="1:4" x14ac:dyDescent="0.25">
      <c r="A1241" t="s">
        <v>828</v>
      </c>
      <c r="B1241" t="s">
        <v>827</v>
      </c>
      <c r="C1241" t="s">
        <v>2654</v>
      </c>
      <c r="D1241">
        <v>33.43</v>
      </c>
    </row>
    <row r="1242" spans="1:4" x14ac:dyDescent="0.25">
      <c r="A1242" t="s">
        <v>1769</v>
      </c>
      <c r="B1242" t="s">
        <v>1768</v>
      </c>
      <c r="C1242" t="s">
        <v>2652</v>
      </c>
      <c r="D1242">
        <v>31.55</v>
      </c>
    </row>
    <row r="1243" spans="1:4" x14ac:dyDescent="0.25">
      <c r="A1243" t="s">
        <v>961</v>
      </c>
      <c r="B1243" t="s">
        <v>960</v>
      </c>
      <c r="C1243" t="s">
        <v>2654</v>
      </c>
      <c r="D1243">
        <v>33.43</v>
      </c>
    </row>
    <row r="1244" spans="1:4" x14ac:dyDescent="0.25">
      <c r="A1244" t="s">
        <v>1614</v>
      </c>
      <c r="B1244" t="s">
        <v>1613</v>
      </c>
      <c r="C1244" t="s">
        <v>2652</v>
      </c>
      <c r="D1244">
        <v>28.25</v>
      </c>
    </row>
    <row r="1245" spans="1:4" x14ac:dyDescent="0.25">
      <c r="A1245" t="s">
        <v>1034</v>
      </c>
      <c r="B1245" t="s">
        <v>1033</v>
      </c>
      <c r="C1245" t="s">
        <v>2654</v>
      </c>
      <c r="D1245">
        <v>33.43</v>
      </c>
    </row>
    <row r="1246" spans="1:4" x14ac:dyDescent="0.25">
      <c r="A1246" t="s">
        <v>1172</v>
      </c>
      <c r="B1246" t="s">
        <v>1171</v>
      </c>
      <c r="C1246" t="s">
        <v>2652</v>
      </c>
      <c r="D1246">
        <v>31.55</v>
      </c>
    </row>
    <row r="1247" spans="1:4" x14ac:dyDescent="0.25">
      <c r="A1247" t="s">
        <v>3231</v>
      </c>
      <c r="B1247" t="s">
        <v>3232</v>
      </c>
      <c r="C1247" t="s">
        <v>2675</v>
      </c>
      <c r="D1247">
        <v>4000</v>
      </c>
    </row>
    <row r="1248" spans="1:4" x14ac:dyDescent="0.25">
      <c r="A1248" t="s">
        <v>2354</v>
      </c>
      <c r="B1248" t="s">
        <v>2353</v>
      </c>
      <c r="C1248" t="s">
        <v>2652</v>
      </c>
      <c r="D1248">
        <v>31.55</v>
      </c>
    </row>
    <row r="1249" spans="1:4" x14ac:dyDescent="0.25">
      <c r="A1249" t="s">
        <v>1306</v>
      </c>
      <c r="B1249" t="s">
        <v>1305</v>
      </c>
      <c r="C1249" t="s">
        <v>2652</v>
      </c>
      <c r="D1249">
        <v>31.55</v>
      </c>
    </row>
    <row r="1250" spans="1:4" x14ac:dyDescent="0.25">
      <c r="A1250" t="s">
        <v>1978</v>
      </c>
      <c r="B1250" t="s">
        <v>1977</v>
      </c>
      <c r="C1250" t="s">
        <v>2652</v>
      </c>
      <c r="D1250">
        <v>28.25</v>
      </c>
    </row>
    <row r="1251" spans="1:4" x14ac:dyDescent="0.25">
      <c r="A1251" t="s">
        <v>2060</v>
      </c>
      <c r="B1251" t="s">
        <v>2059</v>
      </c>
      <c r="C1251" t="s">
        <v>2652</v>
      </c>
      <c r="D1251">
        <v>31.55</v>
      </c>
    </row>
    <row r="1252" spans="1:4" x14ac:dyDescent="0.25">
      <c r="A1252" t="s">
        <v>2431</v>
      </c>
      <c r="B1252" t="s">
        <v>2430</v>
      </c>
      <c r="C1252" t="s">
        <v>2652</v>
      </c>
      <c r="D1252">
        <v>28.25</v>
      </c>
    </row>
    <row r="1253" spans="1:4" x14ac:dyDescent="0.25">
      <c r="A1253" t="s">
        <v>466</v>
      </c>
      <c r="B1253" t="s">
        <v>465</v>
      </c>
      <c r="C1253" t="s">
        <v>2756</v>
      </c>
      <c r="D1253">
        <v>4800</v>
      </c>
    </row>
    <row r="1254" spans="1:4" x14ac:dyDescent="0.25">
      <c r="A1254" t="s">
        <v>981</v>
      </c>
      <c r="B1254" t="s">
        <v>980</v>
      </c>
      <c r="C1254" t="s">
        <v>2654</v>
      </c>
      <c r="D1254">
        <v>33.43</v>
      </c>
    </row>
    <row r="1255" spans="1:4" x14ac:dyDescent="0.25">
      <c r="A1255" t="s">
        <v>3233</v>
      </c>
      <c r="B1255" t="s">
        <v>3234</v>
      </c>
      <c r="C1255" t="s">
        <v>2652</v>
      </c>
      <c r="D1255">
        <v>28.25</v>
      </c>
    </row>
    <row r="1256" spans="1:4" x14ac:dyDescent="0.25">
      <c r="A1256" t="s">
        <v>2008</v>
      </c>
      <c r="B1256" t="s">
        <v>2007</v>
      </c>
      <c r="C1256" t="s">
        <v>2652</v>
      </c>
      <c r="D1256">
        <v>31.55</v>
      </c>
    </row>
    <row r="1257" spans="1:4" x14ac:dyDescent="0.25">
      <c r="A1257" t="s">
        <v>1016</v>
      </c>
      <c r="B1257" t="s">
        <v>1015</v>
      </c>
      <c r="C1257" t="s">
        <v>2654</v>
      </c>
      <c r="D1257">
        <v>33.43</v>
      </c>
    </row>
    <row r="1258" spans="1:4" x14ac:dyDescent="0.25">
      <c r="A1258" t="s">
        <v>3235</v>
      </c>
      <c r="B1258" t="s">
        <v>3236</v>
      </c>
      <c r="C1258" t="s">
        <v>2652</v>
      </c>
      <c r="D1258">
        <v>31.55</v>
      </c>
    </row>
    <row r="1259" spans="1:4" x14ac:dyDescent="0.25">
      <c r="A1259" t="s">
        <v>618</v>
      </c>
      <c r="B1259" t="s">
        <v>3237</v>
      </c>
      <c r="C1259" t="s">
        <v>2733</v>
      </c>
      <c r="D1259">
        <v>4200</v>
      </c>
    </row>
    <row r="1260" spans="1:4" x14ac:dyDescent="0.25">
      <c r="A1260" t="s">
        <v>3238</v>
      </c>
      <c r="B1260" t="s">
        <v>3239</v>
      </c>
      <c r="C1260" t="s">
        <v>2652</v>
      </c>
      <c r="D1260">
        <v>28.25</v>
      </c>
    </row>
    <row r="1261" spans="1:4" x14ac:dyDescent="0.25">
      <c r="A1261" t="s">
        <v>2187</v>
      </c>
      <c r="B1261" t="s">
        <v>2186</v>
      </c>
      <c r="C1261" t="s">
        <v>2652</v>
      </c>
      <c r="D1261">
        <v>28.25</v>
      </c>
    </row>
    <row r="1262" spans="1:4" x14ac:dyDescent="0.25">
      <c r="A1262" t="s">
        <v>122</v>
      </c>
      <c r="B1262" t="s">
        <v>121</v>
      </c>
      <c r="C1262" t="s">
        <v>2698</v>
      </c>
      <c r="D1262">
        <v>5500</v>
      </c>
    </row>
    <row r="1263" spans="1:4" x14ac:dyDescent="0.25">
      <c r="A1263" t="s">
        <v>3240</v>
      </c>
      <c r="B1263" t="s">
        <v>3241</v>
      </c>
      <c r="C1263" t="s">
        <v>2650</v>
      </c>
      <c r="D1263">
        <v>4500</v>
      </c>
    </row>
    <row r="1264" spans="1:4" x14ac:dyDescent="0.25">
      <c r="A1264" t="s">
        <v>1718</v>
      </c>
      <c r="B1264" t="s">
        <v>1717</v>
      </c>
      <c r="C1264" t="s">
        <v>2652</v>
      </c>
      <c r="D1264">
        <v>31.55</v>
      </c>
    </row>
    <row r="1265" spans="1:4" x14ac:dyDescent="0.25">
      <c r="A1265" t="s">
        <v>322</v>
      </c>
      <c r="B1265" t="s">
        <v>3242</v>
      </c>
      <c r="C1265" t="s">
        <v>2825</v>
      </c>
      <c r="D1265">
        <v>10000</v>
      </c>
    </row>
    <row r="1266" spans="1:4" x14ac:dyDescent="0.25">
      <c r="A1266" t="s">
        <v>1590</v>
      </c>
      <c r="B1266" t="s">
        <v>1589</v>
      </c>
      <c r="C1266" t="s">
        <v>2652</v>
      </c>
      <c r="D1266">
        <v>31.55</v>
      </c>
    </row>
    <row r="1267" spans="1:4" x14ac:dyDescent="0.25">
      <c r="A1267" t="s">
        <v>1653</v>
      </c>
      <c r="B1267" t="s">
        <v>1652</v>
      </c>
      <c r="C1267" t="s">
        <v>2652</v>
      </c>
      <c r="D1267">
        <v>28.25</v>
      </c>
    </row>
    <row r="1268" spans="1:4" x14ac:dyDescent="0.25">
      <c r="A1268" t="s">
        <v>2206</v>
      </c>
      <c r="B1268" t="s">
        <v>3243</v>
      </c>
      <c r="C1268" t="s">
        <v>2652</v>
      </c>
      <c r="D1268">
        <v>28.25</v>
      </c>
    </row>
    <row r="1269" spans="1:4" x14ac:dyDescent="0.25">
      <c r="A1269" t="s">
        <v>2350</v>
      </c>
      <c r="B1269" t="s">
        <v>2349</v>
      </c>
      <c r="C1269" t="s">
        <v>2652</v>
      </c>
      <c r="D1269">
        <v>31.55</v>
      </c>
    </row>
    <row r="1270" spans="1:4" x14ac:dyDescent="0.25">
      <c r="A1270" t="s">
        <v>2115</v>
      </c>
      <c r="B1270" t="s">
        <v>2114</v>
      </c>
      <c r="C1270" t="s">
        <v>2652</v>
      </c>
      <c r="D1270">
        <v>31.55</v>
      </c>
    </row>
    <row r="1271" spans="1:4" x14ac:dyDescent="0.25">
      <c r="A1271" t="s">
        <v>638</v>
      </c>
      <c r="B1271" t="s">
        <v>637</v>
      </c>
      <c r="C1271" t="s">
        <v>2656</v>
      </c>
      <c r="D1271">
        <v>4800</v>
      </c>
    </row>
    <row r="1272" spans="1:4" x14ac:dyDescent="0.25">
      <c r="A1272" t="s">
        <v>1378</v>
      </c>
      <c r="B1272" t="s">
        <v>1377</v>
      </c>
      <c r="C1272" t="s">
        <v>2652</v>
      </c>
      <c r="D1272">
        <v>31.55</v>
      </c>
    </row>
    <row r="1273" spans="1:4" x14ac:dyDescent="0.25">
      <c r="A1273" t="s">
        <v>3244</v>
      </c>
      <c r="B1273" t="s">
        <v>3245</v>
      </c>
      <c r="C1273" t="s">
        <v>2654</v>
      </c>
      <c r="D1273">
        <v>33.43</v>
      </c>
    </row>
    <row r="1274" spans="1:4" x14ac:dyDescent="0.25">
      <c r="A1274" t="s">
        <v>721</v>
      </c>
      <c r="B1274" t="s">
        <v>720</v>
      </c>
      <c r="C1274" t="s">
        <v>2652</v>
      </c>
      <c r="D1274">
        <v>31.55</v>
      </c>
    </row>
    <row r="1275" spans="1:4" x14ac:dyDescent="0.25">
      <c r="A1275" t="s">
        <v>1208</v>
      </c>
      <c r="B1275" t="s">
        <v>3246</v>
      </c>
      <c r="C1275" t="s">
        <v>2652</v>
      </c>
      <c r="D1275">
        <v>31.55</v>
      </c>
    </row>
    <row r="1276" spans="1:4" x14ac:dyDescent="0.25">
      <c r="A1276" t="s">
        <v>452</v>
      </c>
      <c r="B1276" t="s">
        <v>451</v>
      </c>
      <c r="C1276" t="s">
        <v>2698</v>
      </c>
      <c r="D1276">
        <v>5500</v>
      </c>
    </row>
    <row r="1277" spans="1:4" x14ac:dyDescent="0.25">
      <c r="A1277" t="s">
        <v>1308</v>
      </c>
      <c r="B1277" t="s">
        <v>1307</v>
      </c>
      <c r="C1277" t="s">
        <v>2652</v>
      </c>
      <c r="D1277">
        <v>31.55</v>
      </c>
    </row>
    <row r="1278" spans="1:4" x14ac:dyDescent="0.25">
      <c r="A1278" t="s">
        <v>953</v>
      </c>
      <c r="B1278" t="s">
        <v>952</v>
      </c>
      <c r="C1278" t="s">
        <v>2654</v>
      </c>
      <c r="D1278">
        <v>33.43</v>
      </c>
    </row>
    <row r="1279" spans="1:4" x14ac:dyDescent="0.25">
      <c r="A1279" t="s">
        <v>1850</v>
      </c>
      <c r="B1279" t="s">
        <v>1849</v>
      </c>
      <c r="C1279" t="s">
        <v>2652</v>
      </c>
      <c r="D1279">
        <v>31.55</v>
      </c>
    </row>
    <row r="1280" spans="1:4" x14ac:dyDescent="0.25">
      <c r="A1280" t="s">
        <v>2216</v>
      </c>
      <c r="B1280" t="s">
        <v>2215</v>
      </c>
      <c r="C1280" t="s">
        <v>2652</v>
      </c>
      <c r="D1280">
        <v>31.55</v>
      </c>
    </row>
    <row r="1281" spans="1:4" x14ac:dyDescent="0.25">
      <c r="A1281" t="s">
        <v>963</v>
      </c>
      <c r="B1281" t="s">
        <v>3247</v>
      </c>
      <c r="C1281" t="s">
        <v>2654</v>
      </c>
      <c r="D1281">
        <v>33.43</v>
      </c>
    </row>
    <row r="1282" spans="1:4" x14ac:dyDescent="0.25">
      <c r="A1282" t="s">
        <v>1856</v>
      </c>
      <c r="B1282" t="s">
        <v>1855</v>
      </c>
      <c r="C1282" t="s">
        <v>2652</v>
      </c>
      <c r="D1282">
        <v>31.55</v>
      </c>
    </row>
    <row r="1283" spans="1:4" x14ac:dyDescent="0.25">
      <c r="A1283" t="s">
        <v>3248</v>
      </c>
      <c r="B1283" t="s">
        <v>3249</v>
      </c>
      <c r="C1283" t="s">
        <v>2680</v>
      </c>
      <c r="D1283">
        <v>6500</v>
      </c>
    </row>
    <row r="1284" spans="1:4" x14ac:dyDescent="0.25">
      <c r="A1284" t="s">
        <v>1060</v>
      </c>
      <c r="B1284" t="s">
        <v>1059</v>
      </c>
      <c r="C1284" t="s">
        <v>2654</v>
      </c>
      <c r="D1284">
        <v>33.43</v>
      </c>
    </row>
    <row r="1285" spans="1:4" x14ac:dyDescent="0.25">
      <c r="A1285" t="s">
        <v>1429</v>
      </c>
      <c r="B1285" t="s">
        <v>1428</v>
      </c>
      <c r="C1285" t="s">
        <v>2652</v>
      </c>
      <c r="D1285">
        <v>31.55</v>
      </c>
    </row>
    <row r="1286" spans="1:4" x14ac:dyDescent="0.25">
      <c r="A1286" t="s">
        <v>1038</v>
      </c>
      <c r="B1286" t="s">
        <v>1037</v>
      </c>
      <c r="C1286" t="s">
        <v>2654</v>
      </c>
      <c r="D1286">
        <v>33.43</v>
      </c>
    </row>
    <row r="1287" spans="1:4" x14ac:dyDescent="0.25">
      <c r="A1287" t="s">
        <v>1386</v>
      </c>
      <c r="B1287" t="s">
        <v>3250</v>
      </c>
      <c r="C1287" t="s">
        <v>2652</v>
      </c>
      <c r="D1287">
        <v>28.25</v>
      </c>
    </row>
    <row r="1288" spans="1:4" x14ac:dyDescent="0.25">
      <c r="A1288" t="s">
        <v>3251</v>
      </c>
      <c r="B1288" t="s">
        <v>3252</v>
      </c>
      <c r="C1288" t="s">
        <v>2654</v>
      </c>
      <c r="D1288">
        <v>33.43</v>
      </c>
    </row>
    <row r="1289" spans="1:4" x14ac:dyDescent="0.25">
      <c r="A1289" t="s">
        <v>3253</v>
      </c>
      <c r="B1289" t="s">
        <v>3254</v>
      </c>
      <c r="C1289" t="s">
        <v>2652</v>
      </c>
      <c r="D1289">
        <v>31.55</v>
      </c>
    </row>
    <row r="1290" spans="1:4" x14ac:dyDescent="0.25">
      <c r="A1290" t="s">
        <v>947</v>
      </c>
      <c r="B1290" t="s">
        <v>946</v>
      </c>
      <c r="C1290" t="s">
        <v>2654</v>
      </c>
      <c r="D1290">
        <v>33.43</v>
      </c>
    </row>
    <row r="1291" spans="1:4" x14ac:dyDescent="0.25">
      <c r="A1291" t="s">
        <v>581</v>
      </c>
      <c r="B1291" t="s">
        <v>580</v>
      </c>
      <c r="C1291" t="s">
        <v>2650</v>
      </c>
      <c r="D1291">
        <v>4500</v>
      </c>
    </row>
    <row r="1292" spans="1:4" x14ac:dyDescent="0.25">
      <c r="A1292" t="s">
        <v>1984</v>
      </c>
      <c r="B1292" t="s">
        <v>1983</v>
      </c>
      <c r="C1292" t="s">
        <v>2652</v>
      </c>
      <c r="D1292">
        <v>28.25</v>
      </c>
    </row>
    <row r="1293" spans="1:4" x14ac:dyDescent="0.25">
      <c r="A1293" t="s">
        <v>1904</v>
      </c>
      <c r="B1293" t="s">
        <v>1903</v>
      </c>
      <c r="C1293" t="s">
        <v>2652</v>
      </c>
      <c r="D1293">
        <v>31.55</v>
      </c>
    </row>
    <row r="1294" spans="1:4" x14ac:dyDescent="0.25">
      <c r="A1294" t="s">
        <v>2315</v>
      </c>
      <c r="B1294" t="s">
        <v>2314</v>
      </c>
      <c r="C1294" t="s">
        <v>2652</v>
      </c>
      <c r="D1294">
        <v>28.25</v>
      </c>
    </row>
    <row r="1295" spans="1:4" x14ac:dyDescent="0.25">
      <c r="A1295" t="s">
        <v>965</v>
      </c>
      <c r="B1295" t="s">
        <v>964</v>
      </c>
      <c r="C1295" t="s">
        <v>2654</v>
      </c>
      <c r="D1295">
        <v>33.43</v>
      </c>
    </row>
    <row r="1296" spans="1:4" x14ac:dyDescent="0.25">
      <c r="A1296" t="s">
        <v>1018</v>
      </c>
      <c r="B1296" t="s">
        <v>3255</v>
      </c>
      <c r="C1296" t="s">
        <v>2654</v>
      </c>
      <c r="D1296">
        <v>33.43</v>
      </c>
    </row>
    <row r="1297" spans="1:4" x14ac:dyDescent="0.25">
      <c r="A1297" t="s">
        <v>1679</v>
      </c>
      <c r="B1297" t="s">
        <v>1678</v>
      </c>
      <c r="C1297" t="s">
        <v>2652</v>
      </c>
      <c r="D1297">
        <v>31.55</v>
      </c>
    </row>
    <row r="1298" spans="1:4" x14ac:dyDescent="0.25">
      <c r="A1298" t="s">
        <v>979</v>
      </c>
      <c r="B1298" t="s">
        <v>978</v>
      </c>
      <c r="C1298" t="s">
        <v>2654</v>
      </c>
      <c r="D1298">
        <v>33.43</v>
      </c>
    </row>
    <row r="1299" spans="1:4" x14ac:dyDescent="0.25">
      <c r="A1299" t="s">
        <v>471</v>
      </c>
      <c r="B1299" t="s">
        <v>470</v>
      </c>
      <c r="C1299" t="s">
        <v>2698</v>
      </c>
      <c r="D1299">
        <v>5500</v>
      </c>
    </row>
    <row r="1300" spans="1:4" x14ac:dyDescent="0.25">
      <c r="A1300" t="s">
        <v>1464</v>
      </c>
      <c r="B1300" t="s">
        <v>1463</v>
      </c>
      <c r="C1300" t="s">
        <v>2652</v>
      </c>
      <c r="D1300">
        <v>31.55</v>
      </c>
    </row>
    <row r="1301" spans="1:4" x14ac:dyDescent="0.25">
      <c r="A1301" t="s">
        <v>901</v>
      </c>
      <c r="B1301" t="s">
        <v>900</v>
      </c>
      <c r="C1301" t="s">
        <v>2652</v>
      </c>
      <c r="D1301">
        <v>31.55</v>
      </c>
    </row>
    <row r="1302" spans="1:4" x14ac:dyDescent="0.25">
      <c r="A1302" t="s">
        <v>913</v>
      </c>
      <c r="B1302" t="s">
        <v>912</v>
      </c>
      <c r="C1302" t="s">
        <v>2654</v>
      </c>
      <c r="D1302">
        <v>33.43</v>
      </c>
    </row>
    <row r="1303" spans="1:4" x14ac:dyDescent="0.25">
      <c r="A1303" t="s">
        <v>297</v>
      </c>
      <c r="B1303" t="s">
        <v>296</v>
      </c>
      <c r="C1303" t="s">
        <v>3256</v>
      </c>
      <c r="D1303">
        <v>18000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S1122"/>
  <sheetViews>
    <sheetView zoomScale="60" zoomScaleNormal="60" workbookViewId="0">
      <pane ySplit="1" topLeftCell="A2" activePane="bottomLeft" state="frozen"/>
      <selection pane="bottomLeft" activeCell="T29" sqref="T29"/>
    </sheetView>
  </sheetViews>
  <sheetFormatPr defaultRowHeight="15" x14ac:dyDescent="0.25"/>
  <cols>
    <col min="1" max="1" width="19.7109375" customWidth="1"/>
    <col min="2" max="2" width="11.42578125" customWidth="1"/>
    <col min="3" max="3" width="18.85546875" customWidth="1"/>
    <col min="35" max="35" width="9.28515625" customWidth="1"/>
    <col min="37" max="37" width="12.42578125" customWidth="1"/>
    <col min="42" max="42" width="14.5703125" customWidth="1"/>
    <col min="43" max="43" width="13.85546875" customWidth="1"/>
    <col min="44" max="44" width="16.85546875" customWidth="1"/>
    <col min="45" max="45" width="20.7109375" customWidth="1"/>
  </cols>
  <sheetData>
    <row r="1" spans="1:45" x14ac:dyDescent="0.25">
      <c r="A1" t="s">
        <v>98</v>
      </c>
      <c r="B1" t="s">
        <v>99</v>
      </c>
      <c r="C1" t="s">
        <v>100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55</v>
      </c>
      <c r="N1" t="s">
        <v>71</v>
      </c>
      <c r="O1" t="s">
        <v>73</v>
      </c>
      <c r="P1" t="s">
        <v>69</v>
      </c>
      <c r="Q1" t="s">
        <v>74</v>
      </c>
      <c r="R1" t="s">
        <v>75</v>
      </c>
      <c r="S1" t="s">
        <v>76</v>
      </c>
      <c r="T1" t="s">
        <v>52</v>
      </c>
      <c r="U1" t="s">
        <v>70</v>
      </c>
      <c r="V1" t="s">
        <v>72</v>
      </c>
      <c r="W1" t="s">
        <v>54</v>
      </c>
      <c r="X1" t="s">
        <v>53</v>
      </c>
      <c r="Y1" t="s">
        <v>87</v>
      </c>
      <c r="Z1" t="s">
        <v>88</v>
      </c>
      <c r="AA1" t="s">
        <v>89</v>
      </c>
      <c r="AB1" t="s">
        <v>90</v>
      </c>
      <c r="AC1" t="s">
        <v>91</v>
      </c>
      <c r="AD1" t="s">
        <v>92</v>
      </c>
      <c r="AE1" t="s">
        <v>93</v>
      </c>
      <c r="AF1" t="s">
        <v>94</v>
      </c>
      <c r="AG1" t="s">
        <v>95</v>
      </c>
      <c r="AH1" t="s">
        <v>96</v>
      </c>
      <c r="AI1" t="s">
        <v>77</v>
      </c>
      <c r="AJ1" t="s">
        <v>101</v>
      </c>
      <c r="AK1" t="s">
        <v>102</v>
      </c>
      <c r="AL1" t="s">
        <v>37</v>
      </c>
      <c r="AM1" t="s">
        <v>38</v>
      </c>
      <c r="AN1" t="s">
        <v>56</v>
      </c>
      <c r="AO1" t="s">
        <v>46</v>
      </c>
      <c r="AP1" t="s">
        <v>103</v>
      </c>
      <c r="AQ1" t="s">
        <v>104</v>
      </c>
      <c r="AR1" t="s">
        <v>105</v>
      </c>
      <c r="AS1" t="s">
        <v>106</v>
      </c>
    </row>
    <row r="2" spans="1:45" x14ac:dyDescent="0.25">
      <c r="A2" t="s">
        <v>116</v>
      </c>
      <c r="B2" t="s">
        <v>117</v>
      </c>
      <c r="C2" t="s">
        <v>118</v>
      </c>
      <c r="D2" t="s">
        <v>119</v>
      </c>
      <c r="E2" t="s">
        <v>120</v>
      </c>
      <c r="F2" t="s">
        <v>120</v>
      </c>
      <c r="G2" t="s">
        <v>120</v>
      </c>
      <c r="H2" t="s">
        <v>120</v>
      </c>
      <c r="I2" t="s">
        <v>120</v>
      </c>
      <c r="J2" t="s">
        <v>120</v>
      </c>
      <c r="K2" t="s">
        <v>120</v>
      </c>
      <c r="L2" t="s">
        <v>120</v>
      </c>
      <c r="M2" t="s">
        <v>120</v>
      </c>
      <c r="N2" t="s">
        <v>120</v>
      </c>
      <c r="O2" t="s">
        <v>120</v>
      </c>
      <c r="P2" t="s">
        <v>120</v>
      </c>
      <c r="Q2" t="s">
        <v>120</v>
      </c>
      <c r="R2" t="s">
        <v>120</v>
      </c>
      <c r="S2" t="s">
        <v>120</v>
      </c>
      <c r="T2" t="s">
        <v>120</v>
      </c>
      <c r="U2" t="s">
        <v>120</v>
      </c>
      <c r="V2" t="s">
        <v>120</v>
      </c>
      <c r="W2" t="s">
        <v>120</v>
      </c>
      <c r="X2" t="s">
        <v>120</v>
      </c>
      <c r="Y2" t="s">
        <v>120</v>
      </c>
      <c r="Z2" t="s">
        <v>120</v>
      </c>
      <c r="AA2" t="s">
        <v>120</v>
      </c>
      <c r="AB2" t="s">
        <v>120</v>
      </c>
      <c r="AC2" t="s">
        <v>120</v>
      </c>
      <c r="AD2" t="s">
        <v>120</v>
      </c>
      <c r="AE2" t="s">
        <v>120</v>
      </c>
      <c r="AF2" t="s">
        <v>120</v>
      </c>
      <c r="AG2" t="s">
        <v>120</v>
      </c>
      <c r="AH2" t="s">
        <v>120</v>
      </c>
      <c r="AJ2">
        <v>0</v>
      </c>
      <c r="AK2">
        <v>0</v>
      </c>
      <c r="AL2">
        <v>0</v>
      </c>
      <c r="AM2">
        <v>0</v>
      </c>
      <c r="AN2">
        <v>0</v>
      </c>
      <c r="AO2">
        <v>4500</v>
      </c>
      <c r="AP2">
        <v>0</v>
      </c>
      <c r="AQ2">
        <v>0</v>
      </c>
      <c r="AR2">
        <v>75.9375</v>
      </c>
      <c r="AS2">
        <v>0</v>
      </c>
    </row>
    <row r="3" spans="1:45" x14ac:dyDescent="0.25">
      <c r="A3" t="s">
        <v>121</v>
      </c>
      <c r="B3" t="s">
        <v>122</v>
      </c>
      <c r="C3" t="s">
        <v>123</v>
      </c>
      <c r="D3" t="s">
        <v>53</v>
      </c>
      <c r="E3" t="s">
        <v>120</v>
      </c>
      <c r="F3" t="s">
        <v>120</v>
      </c>
      <c r="G3" t="s">
        <v>120</v>
      </c>
      <c r="H3" t="s">
        <v>120</v>
      </c>
      <c r="I3" t="s">
        <v>120</v>
      </c>
      <c r="J3" t="s">
        <v>120</v>
      </c>
      <c r="K3" t="s">
        <v>120</v>
      </c>
      <c r="L3" t="s">
        <v>120</v>
      </c>
      <c r="M3" t="s">
        <v>120</v>
      </c>
      <c r="N3" t="s">
        <v>120</v>
      </c>
      <c r="O3" t="s">
        <v>120</v>
      </c>
      <c r="P3" t="s">
        <v>120</v>
      </c>
      <c r="Q3" t="s">
        <v>120</v>
      </c>
      <c r="R3" t="s">
        <v>120</v>
      </c>
      <c r="S3" t="s">
        <v>120</v>
      </c>
      <c r="T3" t="s">
        <v>120</v>
      </c>
      <c r="U3" t="s">
        <v>120</v>
      </c>
      <c r="V3" t="s">
        <v>120</v>
      </c>
      <c r="W3" t="s">
        <v>120</v>
      </c>
      <c r="X3" t="s">
        <v>120</v>
      </c>
      <c r="Y3" t="s">
        <v>124</v>
      </c>
      <c r="Z3" t="s">
        <v>120</v>
      </c>
      <c r="AA3" t="s">
        <v>120</v>
      </c>
      <c r="AB3" t="s">
        <v>120</v>
      </c>
      <c r="AC3" t="s">
        <v>120</v>
      </c>
      <c r="AD3" t="s">
        <v>120</v>
      </c>
      <c r="AE3" t="s">
        <v>120</v>
      </c>
      <c r="AF3" t="s">
        <v>120</v>
      </c>
      <c r="AG3" t="s">
        <v>120</v>
      </c>
      <c r="AH3" t="s">
        <v>120</v>
      </c>
      <c r="AJ3">
        <v>0</v>
      </c>
      <c r="AK3">
        <v>4</v>
      </c>
      <c r="AL3">
        <v>0</v>
      </c>
      <c r="AM3">
        <v>4</v>
      </c>
      <c r="AN3">
        <v>0</v>
      </c>
      <c r="AO3">
        <v>5500</v>
      </c>
      <c r="AP3">
        <v>4</v>
      </c>
      <c r="AQ3">
        <v>0</v>
      </c>
      <c r="AR3">
        <v>92.8125</v>
      </c>
      <c r="AS3">
        <v>275</v>
      </c>
    </row>
    <row r="4" spans="1:45" x14ac:dyDescent="0.25">
      <c r="A4" t="s">
        <v>125</v>
      </c>
      <c r="B4" t="s">
        <v>126</v>
      </c>
      <c r="C4" t="s">
        <v>127</v>
      </c>
      <c r="D4" t="s">
        <v>87</v>
      </c>
      <c r="E4" t="s">
        <v>120</v>
      </c>
      <c r="G4" t="s">
        <v>120</v>
      </c>
      <c r="H4" t="s">
        <v>120</v>
      </c>
      <c r="I4" t="s">
        <v>120</v>
      </c>
      <c r="J4" t="s">
        <v>120</v>
      </c>
      <c r="K4" t="s">
        <v>120</v>
      </c>
      <c r="L4" t="s">
        <v>120</v>
      </c>
      <c r="M4" t="s">
        <v>120</v>
      </c>
      <c r="N4" t="s">
        <v>120</v>
      </c>
      <c r="O4" t="s">
        <v>120</v>
      </c>
      <c r="P4" t="s">
        <v>120</v>
      </c>
      <c r="Q4" t="s">
        <v>120</v>
      </c>
      <c r="R4" t="s">
        <v>120</v>
      </c>
      <c r="S4" t="s">
        <v>120</v>
      </c>
      <c r="T4" t="s">
        <v>120</v>
      </c>
      <c r="U4" t="s">
        <v>120</v>
      </c>
      <c r="V4" t="s">
        <v>120</v>
      </c>
      <c r="W4" t="s">
        <v>120</v>
      </c>
      <c r="X4" t="s">
        <v>120</v>
      </c>
      <c r="Y4" t="s">
        <v>120</v>
      </c>
      <c r="Z4" t="s">
        <v>120</v>
      </c>
      <c r="AA4" t="s">
        <v>120</v>
      </c>
      <c r="AB4" t="s">
        <v>120</v>
      </c>
      <c r="AC4" t="s">
        <v>120</v>
      </c>
      <c r="AD4" t="s">
        <v>120</v>
      </c>
      <c r="AE4" t="s">
        <v>120</v>
      </c>
      <c r="AF4" t="s">
        <v>120</v>
      </c>
      <c r="AG4" t="s">
        <v>120</v>
      </c>
      <c r="AH4" t="s">
        <v>120</v>
      </c>
      <c r="AJ4">
        <v>0</v>
      </c>
      <c r="AK4">
        <v>0</v>
      </c>
      <c r="AL4">
        <v>0</v>
      </c>
      <c r="AM4">
        <v>0</v>
      </c>
      <c r="AN4">
        <v>0</v>
      </c>
      <c r="AO4">
        <v>30.13</v>
      </c>
      <c r="AP4">
        <v>0</v>
      </c>
      <c r="AQ4">
        <v>0</v>
      </c>
      <c r="AR4">
        <v>75.06</v>
      </c>
      <c r="AS4">
        <v>0</v>
      </c>
    </row>
    <row r="5" spans="1:45" x14ac:dyDescent="0.25">
      <c r="A5" t="s">
        <v>128</v>
      </c>
      <c r="B5" t="s">
        <v>129</v>
      </c>
      <c r="C5" t="s">
        <v>130</v>
      </c>
      <c r="D5" t="s">
        <v>87</v>
      </c>
      <c r="E5" t="s">
        <v>120</v>
      </c>
      <c r="F5" t="s">
        <v>120</v>
      </c>
      <c r="G5" t="s">
        <v>120</v>
      </c>
      <c r="H5" t="s">
        <v>120</v>
      </c>
      <c r="I5" t="s">
        <v>120</v>
      </c>
      <c r="J5" t="s">
        <v>120</v>
      </c>
      <c r="K5" t="s">
        <v>120</v>
      </c>
      <c r="L5" t="s">
        <v>120</v>
      </c>
      <c r="M5" t="s">
        <v>120</v>
      </c>
      <c r="N5" t="s">
        <v>120</v>
      </c>
      <c r="O5" t="s">
        <v>120</v>
      </c>
      <c r="P5" t="s">
        <v>120</v>
      </c>
      <c r="Q5" t="s">
        <v>120</v>
      </c>
      <c r="R5" t="s">
        <v>120</v>
      </c>
      <c r="S5" t="s">
        <v>120</v>
      </c>
      <c r="T5" t="s">
        <v>120</v>
      </c>
      <c r="U5" t="s">
        <v>120</v>
      </c>
      <c r="V5" t="s">
        <v>120</v>
      </c>
      <c r="W5" t="s">
        <v>120</v>
      </c>
      <c r="X5" t="s">
        <v>120</v>
      </c>
      <c r="Y5" t="s">
        <v>120</v>
      </c>
      <c r="Z5" t="s">
        <v>120</v>
      </c>
      <c r="AA5" t="s">
        <v>120</v>
      </c>
      <c r="AB5" t="s">
        <v>120</v>
      </c>
      <c r="AC5" t="s">
        <v>120</v>
      </c>
      <c r="AD5" t="s">
        <v>120</v>
      </c>
      <c r="AE5" t="s">
        <v>120</v>
      </c>
      <c r="AF5" t="s">
        <v>120</v>
      </c>
      <c r="AG5" t="s">
        <v>120</v>
      </c>
      <c r="AH5" t="s">
        <v>120</v>
      </c>
      <c r="AJ5">
        <v>0</v>
      </c>
      <c r="AK5">
        <v>0</v>
      </c>
      <c r="AL5">
        <v>0</v>
      </c>
      <c r="AM5">
        <v>0</v>
      </c>
      <c r="AN5">
        <v>0</v>
      </c>
      <c r="AO5">
        <v>10000</v>
      </c>
      <c r="AP5">
        <v>0</v>
      </c>
      <c r="AQ5">
        <v>0</v>
      </c>
      <c r="AR5">
        <v>168.75</v>
      </c>
      <c r="AS5">
        <v>0</v>
      </c>
    </row>
    <row r="6" spans="1:45" x14ac:dyDescent="0.25">
      <c r="A6" t="s">
        <v>131</v>
      </c>
      <c r="B6" t="s">
        <v>132</v>
      </c>
      <c r="C6" t="s">
        <v>127</v>
      </c>
      <c r="D6" t="s">
        <v>87</v>
      </c>
      <c r="E6" t="s">
        <v>120</v>
      </c>
      <c r="F6" t="s">
        <v>120</v>
      </c>
      <c r="G6" t="s">
        <v>120</v>
      </c>
      <c r="H6" t="s">
        <v>120</v>
      </c>
      <c r="I6" t="s">
        <v>120</v>
      </c>
      <c r="J6" t="s">
        <v>120</v>
      </c>
      <c r="K6" t="s">
        <v>120</v>
      </c>
      <c r="L6" t="s">
        <v>120</v>
      </c>
      <c r="M6" t="s">
        <v>120</v>
      </c>
      <c r="N6" t="s">
        <v>120</v>
      </c>
      <c r="O6" t="s">
        <v>120</v>
      </c>
      <c r="P6" t="s">
        <v>120</v>
      </c>
      <c r="Q6" t="s">
        <v>120</v>
      </c>
      <c r="R6" t="s">
        <v>120</v>
      </c>
      <c r="S6" t="s">
        <v>120</v>
      </c>
      <c r="T6" t="s">
        <v>120</v>
      </c>
      <c r="U6" t="s">
        <v>120</v>
      </c>
      <c r="V6" t="s">
        <v>120</v>
      </c>
      <c r="W6" t="s">
        <v>120</v>
      </c>
      <c r="X6" t="s">
        <v>120</v>
      </c>
      <c r="Y6" t="s">
        <v>120</v>
      </c>
      <c r="Z6" t="s">
        <v>120</v>
      </c>
      <c r="AA6" t="s">
        <v>120</v>
      </c>
      <c r="AB6" t="s">
        <v>120</v>
      </c>
      <c r="AC6" t="s">
        <v>120</v>
      </c>
      <c r="AD6" t="s">
        <v>120</v>
      </c>
      <c r="AE6" t="s">
        <v>120</v>
      </c>
      <c r="AF6" t="s">
        <v>120</v>
      </c>
      <c r="AG6" t="s">
        <v>120</v>
      </c>
      <c r="AH6" t="s">
        <v>120</v>
      </c>
      <c r="AJ6">
        <v>0</v>
      </c>
      <c r="AK6">
        <v>0</v>
      </c>
      <c r="AL6">
        <v>0</v>
      </c>
      <c r="AM6">
        <v>0</v>
      </c>
      <c r="AN6">
        <v>0</v>
      </c>
      <c r="AO6">
        <v>30.13</v>
      </c>
      <c r="AP6">
        <v>0</v>
      </c>
      <c r="AQ6">
        <v>0</v>
      </c>
      <c r="AR6">
        <v>75.06</v>
      </c>
      <c r="AS6">
        <v>0</v>
      </c>
    </row>
    <row r="7" spans="1:45" x14ac:dyDescent="0.25">
      <c r="A7" t="s">
        <v>133</v>
      </c>
      <c r="B7" t="s">
        <v>134</v>
      </c>
      <c r="C7" t="s">
        <v>130</v>
      </c>
      <c r="D7" t="s">
        <v>120</v>
      </c>
      <c r="E7" t="s">
        <v>120</v>
      </c>
      <c r="F7" t="s">
        <v>120</v>
      </c>
      <c r="G7" t="s">
        <v>120</v>
      </c>
      <c r="H7" t="s">
        <v>120</v>
      </c>
      <c r="I7" t="s">
        <v>120</v>
      </c>
      <c r="J7" t="s">
        <v>120</v>
      </c>
      <c r="K7" t="s">
        <v>120</v>
      </c>
      <c r="L7" t="s">
        <v>120</v>
      </c>
      <c r="M7" t="s">
        <v>120</v>
      </c>
      <c r="N7" t="s">
        <v>120</v>
      </c>
      <c r="O7" t="s">
        <v>120</v>
      </c>
      <c r="P7" t="s">
        <v>120</v>
      </c>
      <c r="Q7" t="s">
        <v>120</v>
      </c>
      <c r="R7" t="s">
        <v>120</v>
      </c>
      <c r="S7" t="s">
        <v>120</v>
      </c>
      <c r="T7" t="s">
        <v>120</v>
      </c>
      <c r="U7" t="s">
        <v>120</v>
      </c>
      <c r="V7" t="s">
        <v>120</v>
      </c>
      <c r="W7" t="s">
        <v>120</v>
      </c>
      <c r="X7" t="s">
        <v>124</v>
      </c>
      <c r="Y7" t="s">
        <v>135</v>
      </c>
      <c r="Z7" t="s">
        <v>120</v>
      </c>
      <c r="AA7" t="s">
        <v>120</v>
      </c>
      <c r="AB7" t="s">
        <v>120</v>
      </c>
      <c r="AC7" t="s">
        <v>120</v>
      </c>
      <c r="AD7" t="s">
        <v>120</v>
      </c>
      <c r="AE7" t="s">
        <v>120</v>
      </c>
      <c r="AF7" t="s">
        <v>120</v>
      </c>
      <c r="AG7" t="s">
        <v>120</v>
      </c>
      <c r="AJ7">
        <v>40</v>
      </c>
      <c r="AK7">
        <v>52</v>
      </c>
      <c r="AL7">
        <v>0</v>
      </c>
      <c r="AM7">
        <v>12</v>
      </c>
      <c r="AN7">
        <v>0</v>
      </c>
      <c r="AO7">
        <v>7500</v>
      </c>
      <c r="AP7">
        <v>52</v>
      </c>
      <c r="AQ7">
        <v>0</v>
      </c>
      <c r="AR7">
        <v>126.56250000000001</v>
      </c>
      <c r="AS7">
        <v>4875</v>
      </c>
    </row>
    <row r="8" spans="1:45" x14ac:dyDescent="0.25">
      <c r="A8" t="s">
        <v>136</v>
      </c>
      <c r="B8" t="s">
        <v>137</v>
      </c>
      <c r="C8" t="s">
        <v>130</v>
      </c>
      <c r="D8" t="s">
        <v>96</v>
      </c>
      <c r="E8" t="s">
        <v>120</v>
      </c>
      <c r="F8" t="s">
        <v>120</v>
      </c>
      <c r="G8" t="s">
        <v>120</v>
      </c>
      <c r="H8" t="s">
        <v>120</v>
      </c>
      <c r="I8" t="s">
        <v>120</v>
      </c>
      <c r="J8" t="s">
        <v>120</v>
      </c>
      <c r="K8" t="s">
        <v>120</v>
      </c>
      <c r="L8" t="s">
        <v>120</v>
      </c>
      <c r="M8" t="s">
        <v>120</v>
      </c>
      <c r="N8" t="s">
        <v>120</v>
      </c>
      <c r="O8" t="s">
        <v>120</v>
      </c>
      <c r="P8" t="s">
        <v>120</v>
      </c>
      <c r="Q8" t="s">
        <v>120</v>
      </c>
      <c r="R8" t="s">
        <v>120</v>
      </c>
      <c r="S8" t="s">
        <v>120</v>
      </c>
      <c r="T8" t="s">
        <v>120</v>
      </c>
      <c r="U8" t="s">
        <v>120</v>
      </c>
      <c r="V8" t="s">
        <v>120</v>
      </c>
      <c r="W8" t="s">
        <v>120</v>
      </c>
      <c r="X8" t="s">
        <v>120</v>
      </c>
      <c r="Y8" t="s">
        <v>138</v>
      </c>
      <c r="Z8" t="s">
        <v>120</v>
      </c>
      <c r="AA8" t="s">
        <v>120</v>
      </c>
      <c r="AB8" t="s">
        <v>120</v>
      </c>
      <c r="AC8" t="s">
        <v>120</v>
      </c>
      <c r="AD8" t="s">
        <v>120</v>
      </c>
      <c r="AE8" t="s">
        <v>120</v>
      </c>
      <c r="AF8" t="s">
        <v>120</v>
      </c>
      <c r="AG8" t="s">
        <v>120</v>
      </c>
      <c r="AH8">
        <v>32</v>
      </c>
      <c r="AJ8">
        <v>32</v>
      </c>
      <c r="AK8">
        <v>42</v>
      </c>
      <c r="AL8">
        <v>10</v>
      </c>
      <c r="AM8">
        <v>0</v>
      </c>
      <c r="AN8">
        <v>0</v>
      </c>
      <c r="AO8">
        <v>10000</v>
      </c>
      <c r="AP8">
        <v>42</v>
      </c>
      <c r="AQ8">
        <v>0</v>
      </c>
      <c r="AR8">
        <v>168.75</v>
      </c>
      <c r="AS8">
        <v>5250</v>
      </c>
    </row>
    <row r="9" spans="1:45" x14ac:dyDescent="0.25">
      <c r="A9" t="s">
        <v>139</v>
      </c>
      <c r="B9" t="s">
        <v>140</v>
      </c>
      <c r="C9" t="s">
        <v>120</v>
      </c>
      <c r="D9" t="s">
        <v>120</v>
      </c>
      <c r="E9" t="s">
        <v>141</v>
      </c>
      <c r="F9" t="s">
        <v>120</v>
      </c>
      <c r="G9" t="s">
        <v>120</v>
      </c>
      <c r="H9" t="s">
        <v>120</v>
      </c>
      <c r="I9" t="s">
        <v>120</v>
      </c>
      <c r="J9" t="s">
        <v>120</v>
      </c>
      <c r="K9" t="s">
        <v>120</v>
      </c>
      <c r="L9" t="s">
        <v>120</v>
      </c>
      <c r="M9" t="s">
        <v>120</v>
      </c>
      <c r="N9" t="s">
        <v>120</v>
      </c>
      <c r="O9" t="s">
        <v>120</v>
      </c>
      <c r="P9" t="s">
        <v>120</v>
      </c>
      <c r="Q9" t="s">
        <v>120</v>
      </c>
      <c r="R9" t="s">
        <v>120</v>
      </c>
      <c r="S9" t="s">
        <v>120</v>
      </c>
      <c r="T9" t="s">
        <v>120</v>
      </c>
      <c r="U9" t="s">
        <v>120</v>
      </c>
      <c r="V9" t="s">
        <v>120</v>
      </c>
      <c r="W9" t="s">
        <v>120</v>
      </c>
      <c r="X9" t="s">
        <v>141</v>
      </c>
      <c r="Y9" t="s">
        <v>120</v>
      </c>
      <c r="Z9" t="s">
        <v>120</v>
      </c>
      <c r="AA9" t="s">
        <v>120</v>
      </c>
      <c r="AB9" t="s">
        <v>120</v>
      </c>
      <c r="AC9" t="s">
        <v>120</v>
      </c>
      <c r="AD9" t="s">
        <v>120</v>
      </c>
      <c r="AE9" t="s">
        <v>120</v>
      </c>
      <c r="AF9" t="s">
        <v>120</v>
      </c>
      <c r="AG9" t="s">
        <v>120</v>
      </c>
      <c r="AH9" t="s">
        <v>120</v>
      </c>
      <c r="AJ9">
        <v>0</v>
      </c>
      <c r="AK9">
        <v>16</v>
      </c>
      <c r="AL9">
        <v>16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</row>
    <row r="10" spans="1:45" x14ac:dyDescent="0.25">
      <c r="A10" t="s">
        <v>142</v>
      </c>
      <c r="B10" t="s">
        <v>143</v>
      </c>
      <c r="C10" t="s">
        <v>130</v>
      </c>
      <c r="D10" t="s">
        <v>144</v>
      </c>
      <c r="E10" t="s">
        <v>120</v>
      </c>
      <c r="F10" t="s">
        <v>120</v>
      </c>
      <c r="G10" t="s">
        <v>120</v>
      </c>
      <c r="H10" t="s">
        <v>120</v>
      </c>
      <c r="I10" t="s">
        <v>120</v>
      </c>
      <c r="J10" t="s">
        <v>120</v>
      </c>
      <c r="K10" t="s">
        <v>120</v>
      </c>
      <c r="L10" t="s">
        <v>120</v>
      </c>
      <c r="M10" t="s">
        <v>120</v>
      </c>
      <c r="N10" t="s">
        <v>120</v>
      </c>
      <c r="O10" t="s">
        <v>120</v>
      </c>
      <c r="P10" t="s">
        <v>120</v>
      </c>
      <c r="Q10" t="s">
        <v>120</v>
      </c>
      <c r="R10" t="s">
        <v>120</v>
      </c>
      <c r="S10" t="s">
        <v>120</v>
      </c>
      <c r="T10" t="s">
        <v>120</v>
      </c>
      <c r="U10" t="s">
        <v>120</v>
      </c>
      <c r="V10" t="s">
        <v>120</v>
      </c>
      <c r="W10" t="s">
        <v>120</v>
      </c>
      <c r="X10" t="s">
        <v>120</v>
      </c>
      <c r="Y10" t="s">
        <v>120</v>
      </c>
      <c r="Z10" t="s">
        <v>120</v>
      </c>
      <c r="AA10" t="s">
        <v>120</v>
      </c>
      <c r="AB10" t="s">
        <v>120</v>
      </c>
      <c r="AC10" t="s">
        <v>120</v>
      </c>
      <c r="AD10" t="s">
        <v>120</v>
      </c>
      <c r="AE10" t="s">
        <v>120</v>
      </c>
      <c r="AF10" t="s">
        <v>120</v>
      </c>
      <c r="AG10" t="s">
        <v>120</v>
      </c>
      <c r="AH10" t="s">
        <v>120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7500</v>
      </c>
      <c r="AP10">
        <v>0</v>
      </c>
      <c r="AQ10">
        <v>0</v>
      </c>
      <c r="AR10">
        <v>126.56250000000001</v>
      </c>
      <c r="AS10">
        <v>0</v>
      </c>
    </row>
    <row r="11" spans="1:45" x14ac:dyDescent="0.25">
      <c r="A11" t="s">
        <v>145</v>
      </c>
      <c r="B11" t="s">
        <v>146</v>
      </c>
      <c r="C11" t="s">
        <v>147</v>
      </c>
      <c r="D11" t="s">
        <v>144</v>
      </c>
      <c r="E11" t="s">
        <v>120</v>
      </c>
      <c r="F11" t="s">
        <v>120</v>
      </c>
      <c r="G11" t="s">
        <v>120</v>
      </c>
      <c r="H11" t="s">
        <v>120</v>
      </c>
      <c r="I11" t="s">
        <v>120</v>
      </c>
      <c r="J11" t="s">
        <v>120</v>
      </c>
      <c r="K11" t="s">
        <v>120</v>
      </c>
      <c r="L11" t="s">
        <v>120</v>
      </c>
      <c r="M11" t="s">
        <v>120</v>
      </c>
      <c r="N11" t="s">
        <v>120</v>
      </c>
      <c r="O11" t="s">
        <v>120</v>
      </c>
      <c r="P11" t="s">
        <v>120</v>
      </c>
      <c r="Q11" t="s">
        <v>120</v>
      </c>
      <c r="R11" t="s">
        <v>120</v>
      </c>
      <c r="S11" t="s">
        <v>120</v>
      </c>
      <c r="T11" t="s">
        <v>120</v>
      </c>
      <c r="U11" t="s">
        <v>120</v>
      </c>
      <c r="V11" t="s">
        <v>120</v>
      </c>
      <c r="W11" t="s">
        <v>120</v>
      </c>
      <c r="X11" t="s">
        <v>120</v>
      </c>
      <c r="Y11" t="s">
        <v>120</v>
      </c>
      <c r="Z11" t="s">
        <v>120</v>
      </c>
      <c r="AA11" t="s">
        <v>120</v>
      </c>
      <c r="AB11" t="s">
        <v>120</v>
      </c>
      <c r="AC11" t="s">
        <v>120</v>
      </c>
      <c r="AD11" t="s">
        <v>120</v>
      </c>
      <c r="AE11" t="s">
        <v>120</v>
      </c>
      <c r="AF11" t="s">
        <v>120</v>
      </c>
      <c r="AG11" t="s">
        <v>120</v>
      </c>
      <c r="AH11" t="s">
        <v>120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28.25</v>
      </c>
      <c r="AP11">
        <v>0</v>
      </c>
      <c r="AQ11">
        <v>0</v>
      </c>
      <c r="AR11">
        <v>70.2</v>
      </c>
      <c r="AS11">
        <v>0</v>
      </c>
    </row>
    <row r="12" spans="1:45" x14ac:dyDescent="0.25">
      <c r="A12" t="s">
        <v>148</v>
      </c>
      <c r="B12" t="s">
        <v>149</v>
      </c>
      <c r="C12" t="s">
        <v>147</v>
      </c>
      <c r="D12" t="s">
        <v>150</v>
      </c>
      <c r="E12" t="s">
        <v>120</v>
      </c>
      <c r="F12" t="s">
        <v>120</v>
      </c>
      <c r="G12" t="s">
        <v>120</v>
      </c>
      <c r="H12" t="s">
        <v>120</v>
      </c>
      <c r="I12" t="s">
        <v>120</v>
      </c>
      <c r="J12" t="s">
        <v>120</v>
      </c>
      <c r="K12" t="s">
        <v>120</v>
      </c>
      <c r="L12" t="s">
        <v>120</v>
      </c>
      <c r="M12" t="s">
        <v>120</v>
      </c>
      <c r="N12" t="s">
        <v>120</v>
      </c>
      <c r="O12" t="s">
        <v>120</v>
      </c>
      <c r="P12" t="s">
        <v>120</v>
      </c>
      <c r="Q12" t="s">
        <v>120</v>
      </c>
      <c r="R12" t="s">
        <v>120</v>
      </c>
      <c r="S12" t="s">
        <v>120</v>
      </c>
      <c r="T12" t="s">
        <v>120</v>
      </c>
      <c r="U12" t="s">
        <v>120</v>
      </c>
      <c r="V12" t="s">
        <v>135</v>
      </c>
      <c r="W12" t="s">
        <v>120</v>
      </c>
      <c r="X12" t="s">
        <v>120</v>
      </c>
      <c r="Y12" t="s">
        <v>120</v>
      </c>
      <c r="Z12" t="s">
        <v>120</v>
      </c>
      <c r="AA12" t="s">
        <v>120</v>
      </c>
      <c r="AB12" t="s">
        <v>120</v>
      </c>
      <c r="AC12" t="s">
        <v>120</v>
      </c>
      <c r="AD12" t="s">
        <v>120</v>
      </c>
      <c r="AE12" t="s">
        <v>120</v>
      </c>
      <c r="AF12" t="s">
        <v>120</v>
      </c>
      <c r="AG12" t="s">
        <v>120</v>
      </c>
      <c r="AH12" t="s">
        <v>120</v>
      </c>
      <c r="AJ12">
        <v>0</v>
      </c>
      <c r="AK12">
        <v>8</v>
      </c>
      <c r="AL12">
        <v>0</v>
      </c>
      <c r="AM12">
        <v>8</v>
      </c>
      <c r="AN12">
        <v>0</v>
      </c>
      <c r="AO12">
        <v>28.25</v>
      </c>
      <c r="AP12">
        <v>8</v>
      </c>
      <c r="AQ12">
        <v>0</v>
      </c>
      <c r="AR12">
        <v>70.2</v>
      </c>
      <c r="AS12">
        <v>452</v>
      </c>
    </row>
    <row r="13" spans="1:45" x14ac:dyDescent="0.25">
      <c r="A13" t="s">
        <v>151</v>
      </c>
      <c r="B13" t="s">
        <v>152</v>
      </c>
      <c r="C13" t="s">
        <v>147</v>
      </c>
      <c r="D13" t="s">
        <v>153</v>
      </c>
      <c r="E13" t="s">
        <v>120</v>
      </c>
      <c r="F13" t="s">
        <v>120</v>
      </c>
      <c r="G13" t="s">
        <v>120</v>
      </c>
      <c r="H13" t="s">
        <v>120</v>
      </c>
      <c r="I13" t="s">
        <v>120</v>
      </c>
      <c r="J13" t="s">
        <v>120</v>
      </c>
      <c r="K13" t="s">
        <v>120</v>
      </c>
      <c r="L13" t="s">
        <v>120</v>
      </c>
      <c r="M13" t="s">
        <v>120</v>
      </c>
      <c r="N13" t="s">
        <v>120</v>
      </c>
      <c r="O13" t="s">
        <v>120</v>
      </c>
      <c r="P13" t="s">
        <v>120</v>
      </c>
      <c r="Q13" t="s">
        <v>120</v>
      </c>
      <c r="R13" t="s">
        <v>120</v>
      </c>
      <c r="S13" t="s">
        <v>120</v>
      </c>
      <c r="T13" t="s">
        <v>120</v>
      </c>
      <c r="U13" t="s">
        <v>120</v>
      </c>
      <c r="V13" t="s">
        <v>120</v>
      </c>
      <c r="W13" t="s">
        <v>120</v>
      </c>
      <c r="X13" t="s">
        <v>120</v>
      </c>
      <c r="Y13" t="s">
        <v>120</v>
      </c>
      <c r="Z13" t="s">
        <v>120</v>
      </c>
      <c r="AA13" t="s">
        <v>120</v>
      </c>
      <c r="AB13" t="s">
        <v>120</v>
      </c>
      <c r="AC13" t="s">
        <v>120</v>
      </c>
      <c r="AD13" t="s">
        <v>120</v>
      </c>
      <c r="AE13" t="s">
        <v>120</v>
      </c>
      <c r="AF13" t="s">
        <v>120</v>
      </c>
      <c r="AG13" t="s">
        <v>120</v>
      </c>
      <c r="AH13" t="s">
        <v>120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28.25</v>
      </c>
      <c r="AP13">
        <v>0</v>
      </c>
      <c r="AQ13">
        <v>0</v>
      </c>
      <c r="AR13">
        <v>70.2</v>
      </c>
      <c r="AS13">
        <v>0</v>
      </c>
    </row>
    <row r="14" spans="1:45" x14ac:dyDescent="0.25">
      <c r="A14" t="s">
        <v>154</v>
      </c>
      <c r="B14" t="s">
        <v>155</v>
      </c>
      <c r="C14" t="s">
        <v>147</v>
      </c>
      <c r="D14" t="s">
        <v>153</v>
      </c>
      <c r="E14" t="s">
        <v>120</v>
      </c>
      <c r="F14" t="s">
        <v>120</v>
      </c>
      <c r="G14" t="s">
        <v>120</v>
      </c>
      <c r="H14" t="s">
        <v>120</v>
      </c>
      <c r="I14" t="s">
        <v>120</v>
      </c>
      <c r="J14" t="s">
        <v>120</v>
      </c>
      <c r="K14" t="s">
        <v>120</v>
      </c>
      <c r="L14" t="s">
        <v>120</v>
      </c>
      <c r="M14" t="s">
        <v>120</v>
      </c>
      <c r="N14" t="s">
        <v>120</v>
      </c>
      <c r="O14" t="s">
        <v>120</v>
      </c>
      <c r="P14" t="s">
        <v>120</v>
      </c>
      <c r="Q14" t="s">
        <v>120</v>
      </c>
      <c r="R14" t="s">
        <v>120</v>
      </c>
      <c r="S14" t="s">
        <v>120</v>
      </c>
      <c r="T14" t="s">
        <v>120</v>
      </c>
      <c r="U14" t="s">
        <v>120</v>
      </c>
      <c r="V14" t="s">
        <v>120</v>
      </c>
      <c r="W14" t="s">
        <v>120</v>
      </c>
      <c r="X14" t="s">
        <v>120</v>
      </c>
      <c r="Y14" t="s">
        <v>120</v>
      </c>
      <c r="Z14" t="s">
        <v>120</v>
      </c>
      <c r="AA14" t="s">
        <v>120</v>
      </c>
      <c r="AB14" t="s">
        <v>120</v>
      </c>
      <c r="AC14" t="s">
        <v>120</v>
      </c>
      <c r="AD14" t="s">
        <v>120</v>
      </c>
      <c r="AE14" t="s">
        <v>120</v>
      </c>
      <c r="AF14" t="s">
        <v>120</v>
      </c>
      <c r="AG14" t="s">
        <v>120</v>
      </c>
      <c r="AH14" t="s">
        <v>120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28.25</v>
      </c>
      <c r="AP14">
        <v>0</v>
      </c>
      <c r="AQ14">
        <v>0</v>
      </c>
      <c r="AR14">
        <v>70.2</v>
      </c>
      <c r="AS14">
        <v>0</v>
      </c>
    </row>
    <row r="15" spans="1:45" x14ac:dyDescent="0.25">
      <c r="A15" t="s">
        <v>156</v>
      </c>
      <c r="B15" t="s">
        <v>157</v>
      </c>
      <c r="C15" t="s">
        <v>158</v>
      </c>
      <c r="D15" t="s">
        <v>159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7100</v>
      </c>
      <c r="AP15">
        <v>0</v>
      </c>
      <c r="AQ15">
        <v>0</v>
      </c>
      <c r="AR15">
        <v>119.81250000000001</v>
      </c>
      <c r="AS15">
        <v>0</v>
      </c>
    </row>
    <row r="16" spans="1:45" x14ac:dyDescent="0.25">
      <c r="A16" t="s">
        <v>160</v>
      </c>
      <c r="B16" t="s">
        <v>161</v>
      </c>
      <c r="C16" t="s">
        <v>158</v>
      </c>
      <c r="D16" t="s">
        <v>159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7100</v>
      </c>
      <c r="AP16">
        <v>0</v>
      </c>
      <c r="AQ16">
        <v>0</v>
      </c>
      <c r="AR16">
        <v>119.81250000000001</v>
      </c>
      <c r="AS16">
        <v>0</v>
      </c>
    </row>
    <row r="17" spans="1:45" x14ac:dyDescent="0.25">
      <c r="A17" t="s">
        <v>162</v>
      </c>
      <c r="B17" t="s">
        <v>163</v>
      </c>
      <c r="C17" t="s">
        <v>164</v>
      </c>
      <c r="D17" t="s">
        <v>159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7500</v>
      </c>
      <c r="AP17">
        <v>0</v>
      </c>
      <c r="AQ17">
        <v>0</v>
      </c>
      <c r="AR17">
        <v>126.56250000000001</v>
      </c>
      <c r="AS17">
        <v>0</v>
      </c>
    </row>
    <row r="18" spans="1:45" x14ac:dyDescent="0.25">
      <c r="A18" t="s">
        <v>165</v>
      </c>
      <c r="B18" t="s">
        <v>166</v>
      </c>
      <c r="C18" t="s">
        <v>167</v>
      </c>
      <c r="D18" t="s">
        <v>159</v>
      </c>
      <c r="M18">
        <v>4</v>
      </c>
      <c r="AJ18">
        <v>4</v>
      </c>
      <c r="AK18">
        <v>4</v>
      </c>
      <c r="AL18">
        <v>0</v>
      </c>
      <c r="AM18">
        <v>0</v>
      </c>
      <c r="AN18">
        <v>0</v>
      </c>
      <c r="AO18">
        <v>6600</v>
      </c>
      <c r="AP18">
        <v>4</v>
      </c>
      <c r="AQ18">
        <v>0</v>
      </c>
      <c r="AR18">
        <v>111.37500000000001</v>
      </c>
      <c r="AS18">
        <v>330</v>
      </c>
    </row>
    <row r="19" spans="1:45" x14ac:dyDescent="0.25">
      <c r="A19" t="s">
        <v>168</v>
      </c>
      <c r="B19" t="s">
        <v>169</v>
      </c>
      <c r="C19" t="s">
        <v>170</v>
      </c>
      <c r="D19" t="s">
        <v>159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43300</v>
      </c>
      <c r="AP19">
        <v>0</v>
      </c>
      <c r="AQ19">
        <v>0</v>
      </c>
      <c r="AR19">
        <v>730.6875</v>
      </c>
      <c r="AS19">
        <v>0</v>
      </c>
    </row>
    <row r="20" spans="1:45" x14ac:dyDescent="0.25">
      <c r="A20" t="s">
        <v>171</v>
      </c>
      <c r="B20" t="s">
        <v>172</v>
      </c>
      <c r="C20" t="s">
        <v>173</v>
      </c>
      <c r="D20" t="s">
        <v>159</v>
      </c>
      <c r="AF20">
        <v>5</v>
      </c>
      <c r="AG20">
        <v>4</v>
      </c>
      <c r="AH20">
        <v>5</v>
      </c>
      <c r="AJ20">
        <v>14</v>
      </c>
      <c r="AK20">
        <v>14</v>
      </c>
      <c r="AL20">
        <v>0</v>
      </c>
      <c r="AM20">
        <v>0</v>
      </c>
      <c r="AN20">
        <v>0</v>
      </c>
      <c r="AO20">
        <v>7500</v>
      </c>
      <c r="AP20">
        <v>14</v>
      </c>
      <c r="AQ20">
        <v>0</v>
      </c>
      <c r="AR20">
        <v>126.56250000000001</v>
      </c>
      <c r="AS20">
        <v>1312.5</v>
      </c>
    </row>
    <row r="21" spans="1:45" x14ac:dyDescent="0.25">
      <c r="A21" t="s">
        <v>174</v>
      </c>
      <c r="B21" t="s">
        <v>175</v>
      </c>
      <c r="C21" t="s">
        <v>176</v>
      </c>
      <c r="D21" t="s">
        <v>159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6500</v>
      </c>
      <c r="AP21">
        <v>0</v>
      </c>
      <c r="AQ21">
        <v>0</v>
      </c>
      <c r="AR21">
        <v>109.68750000000001</v>
      </c>
      <c r="AS21">
        <v>0</v>
      </c>
    </row>
    <row r="22" spans="1:45" x14ac:dyDescent="0.25">
      <c r="A22" t="s">
        <v>177</v>
      </c>
      <c r="B22" t="s">
        <v>178</v>
      </c>
      <c r="C22" t="s">
        <v>179</v>
      </c>
      <c r="D22" t="s">
        <v>159</v>
      </c>
      <c r="AG22">
        <v>5</v>
      </c>
      <c r="AJ22">
        <v>5</v>
      </c>
      <c r="AK22">
        <v>5</v>
      </c>
      <c r="AL22">
        <v>0</v>
      </c>
      <c r="AM22">
        <v>0</v>
      </c>
      <c r="AN22">
        <v>0</v>
      </c>
      <c r="AO22">
        <v>7000</v>
      </c>
      <c r="AP22">
        <v>5</v>
      </c>
      <c r="AQ22">
        <v>0</v>
      </c>
      <c r="AR22">
        <v>118.12500000000001</v>
      </c>
      <c r="AS22">
        <v>437.5</v>
      </c>
    </row>
    <row r="23" spans="1:45" x14ac:dyDescent="0.25">
      <c r="A23" t="s">
        <v>180</v>
      </c>
      <c r="B23" t="s">
        <v>181</v>
      </c>
      <c r="C23" t="s">
        <v>182</v>
      </c>
      <c r="D23" t="s">
        <v>159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10000</v>
      </c>
      <c r="AP23">
        <v>0</v>
      </c>
      <c r="AQ23">
        <v>0</v>
      </c>
      <c r="AR23">
        <v>168.75</v>
      </c>
      <c r="AS23">
        <v>0</v>
      </c>
    </row>
    <row r="24" spans="1:45" x14ac:dyDescent="0.25">
      <c r="A24" t="s">
        <v>183</v>
      </c>
      <c r="B24" t="s">
        <v>184</v>
      </c>
      <c r="C24" t="s">
        <v>185</v>
      </c>
      <c r="D24" t="s">
        <v>159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9000</v>
      </c>
      <c r="AP24">
        <v>0</v>
      </c>
      <c r="AQ24">
        <v>0</v>
      </c>
      <c r="AR24">
        <v>151.875</v>
      </c>
      <c r="AS24">
        <v>0</v>
      </c>
    </row>
    <row r="25" spans="1:45" x14ac:dyDescent="0.25">
      <c r="A25" t="s">
        <v>186</v>
      </c>
      <c r="B25" t="s">
        <v>187</v>
      </c>
      <c r="C25" t="s">
        <v>164</v>
      </c>
      <c r="D25" t="s">
        <v>159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6500</v>
      </c>
      <c r="AP25">
        <v>0</v>
      </c>
      <c r="AQ25">
        <v>0</v>
      </c>
      <c r="AR25">
        <v>109.68750000000001</v>
      </c>
      <c r="AS25">
        <v>0</v>
      </c>
    </row>
    <row r="26" spans="1:45" x14ac:dyDescent="0.25">
      <c r="A26" t="s">
        <v>188</v>
      </c>
      <c r="B26" t="s">
        <v>189</v>
      </c>
      <c r="C26" t="s">
        <v>190</v>
      </c>
      <c r="D26" t="s">
        <v>159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25000</v>
      </c>
      <c r="AP26">
        <v>0</v>
      </c>
      <c r="AQ26">
        <v>0</v>
      </c>
      <c r="AR26">
        <v>421.875</v>
      </c>
      <c r="AS26">
        <v>0</v>
      </c>
    </row>
    <row r="27" spans="1:45" x14ac:dyDescent="0.25">
      <c r="A27" t="s">
        <v>191</v>
      </c>
      <c r="B27" t="s">
        <v>192</v>
      </c>
      <c r="C27" t="s">
        <v>193</v>
      </c>
      <c r="D27" t="s">
        <v>159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10000</v>
      </c>
      <c r="AP27">
        <v>0</v>
      </c>
      <c r="AQ27">
        <v>0</v>
      </c>
      <c r="AR27">
        <v>168.75</v>
      </c>
      <c r="AS27">
        <v>0</v>
      </c>
    </row>
    <row r="28" spans="1:45" x14ac:dyDescent="0.25">
      <c r="A28" t="s">
        <v>194</v>
      </c>
      <c r="B28" t="s">
        <v>195</v>
      </c>
      <c r="C28" t="s">
        <v>167</v>
      </c>
      <c r="D28" t="s">
        <v>159</v>
      </c>
      <c r="F28">
        <v>6</v>
      </c>
      <c r="AH28">
        <v>4</v>
      </c>
      <c r="AJ28">
        <v>10</v>
      </c>
      <c r="AK28">
        <v>10</v>
      </c>
      <c r="AL28">
        <v>0</v>
      </c>
      <c r="AM28">
        <v>0</v>
      </c>
      <c r="AN28">
        <v>0</v>
      </c>
      <c r="AO28">
        <v>10000</v>
      </c>
      <c r="AP28">
        <v>10</v>
      </c>
      <c r="AQ28">
        <v>0</v>
      </c>
      <c r="AR28">
        <v>168.75</v>
      </c>
      <c r="AS28">
        <v>1250</v>
      </c>
    </row>
    <row r="29" spans="1:45" x14ac:dyDescent="0.25">
      <c r="A29" t="s">
        <v>196</v>
      </c>
      <c r="B29" t="s">
        <v>197</v>
      </c>
      <c r="C29" t="s">
        <v>198</v>
      </c>
      <c r="D29" t="s">
        <v>159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5100</v>
      </c>
      <c r="AP29">
        <v>0</v>
      </c>
      <c r="AQ29">
        <v>0</v>
      </c>
      <c r="AR29">
        <v>86.0625</v>
      </c>
      <c r="AS29">
        <v>0</v>
      </c>
    </row>
    <row r="30" spans="1:45" x14ac:dyDescent="0.25">
      <c r="A30" t="s">
        <v>199</v>
      </c>
      <c r="B30" t="s">
        <v>200</v>
      </c>
      <c r="C30" t="s">
        <v>201</v>
      </c>
      <c r="D30" t="s">
        <v>159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6500</v>
      </c>
      <c r="AP30">
        <v>0</v>
      </c>
      <c r="AQ30">
        <v>0</v>
      </c>
      <c r="AR30">
        <v>109.68750000000001</v>
      </c>
      <c r="AS30">
        <v>0</v>
      </c>
    </row>
    <row r="31" spans="1:45" x14ac:dyDescent="0.25">
      <c r="A31" t="s">
        <v>202</v>
      </c>
      <c r="B31" t="s">
        <v>203</v>
      </c>
      <c r="C31" t="s">
        <v>173</v>
      </c>
      <c r="D31" t="s">
        <v>159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7500</v>
      </c>
      <c r="AP31">
        <v>0</v>
      </c>
      <c r="AQ31">
        <v>0</v>
      </c>
      <c r="AR31">
        <v>126.56250000000001</v>
      </c>
      <c r="AS31">
        <v>0</v>
      </c>
    </row>
    <row r="32" spans="1:45" x14ac:dyDescent="0.25">
      <c r="A32" t="s">
        <v>204</v>
      </c>
      <c r="B32" t="s">
        <v>205</v>
      </c>
      <c r="C32" t="s">
        <v>185</v>
      </c>
      <c r="D32" t="s">
        <v>159</v>
      </c>
      <c r="M32">
        <v>7</v>
      </c>
      <c r="AJ32">
        <v>7</v>
      </c>
      <c r="AK32">
        <v>7</v>
      </c>
      <c r="AL32">
        <v>0</v>
      </c>
      <c r="AM32">
        <v>0</v>
      </c>
      <c r="AN32">
        <v>0</v>
      </c>
      <c r="AO32">
        <v>9000</v>
      </c>
      <c r="AP32">
        <v>7</v>
      </c>
      <c r="AQ32">
        <v>0</v>
      </c>
      <c r="AR32">
        <v>151.875</v>
      </c>
      <c r="AS32">
        <v>787.5</v>
      </c>
    </row>
    <row r="33" spans="1:45" x14ac:dyDescent="0.25">
      <c r="A33" t="s">
        <v>206</v>
      </c>
      <c r="B33" t="s">
        <v>207</v>
      </c>
      <c r="C33" t="s">
        <v>164</v>
      </c>
      <c r="D33" t="s">
        <v>159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6500</v>
      </c>
      <c r="AP33">
        <v>0</v>
      </c>
      <c r="AQ33">
        <v>0</v>
      </c>
      <c r="AR33">
        <v>109.68750000000001</v>
      </c>
      <c r="AS33">
        <v>0</v>
      </c>
    </row>
    <row r="34" spans="1:45" x14ac:dyDescent="0.25">
      <c r="A34" t="s">
        <v>208</v>
      </c>
      <c r="B34" t="s">
        <v>209</v>
      </c>
      <c r="C34" t="s">
        <v>179</v>
      </c>
      <c r="D34" t="s">
        <v>159</v>
      </c>
      <c r="AH34">
        <v>6</v>
      </c>
      <c r="AJ34">
        <v>6</v>
      </c>
      <c r="AK34">
        <v>6</v>
      </c>
      <c r="AL34">
        <v>0</v>
      </c>
      <c r="AM34">
        <v>0</v>
      </c>
      <c r="AN34">
        <v>0</v>
      </c>
      <c r="AO34">
        <v>7000</v>
      </c>
      <c r="AP34">
        <v>6</v>
      </c>
      <c r="AQ34">
        <v>0</v>
      </c>
      <c r="AR34">
        <v>118.12500000000001</v>
      </c>
      <c r="AS34">
        <v>525</v>
      </c>
    </row>
    <row r="35" spans="1:45" x14ac:dyDescent="0.25">
      <c r="A35" t="s">
        <v>210</v>
      </c>
      <c r="B35" t="s">
        <v>211</v>
      </c>
      <c r="C35" t="s">
        <v>212</v>
      </c>
      <c r="D35" t="s">
        <v>159</v>
      </c>
      <c r="AG35">
        <v>7</v>
      </c>
      <c r="AH35">
        <v>5</v>
      </c>
      <c r="AJ35">
        <v>12</v>
      </c>
      <c r="AK35">
        <v>12</v>
      </c>
      <c r="AL35">
        <v>0</v>
      </c>
      <c r="AM35">
        <v>0</v>
      </c>
      <c r="AN35">
        <v>0</v>
      </c>
      <c r="AO35">
        <v>6500</v>
      </c>
      <c r="AP35">
        <v>12</v>
      </c>
      <c r="AQ35">
        <v>0</v>
      </c>
      <c r="AR35">
        <v>109.68750000000001</v>
      </c>
      <c r="AS35">
        <v>975</v>
      </c>
    </row>
    <row r="36" spans="1:45" x14ac:dyDescent="0.25">
      <c r="A36" t="s">
        <v>213</v>
      </c>
      <c r="B36" t="s">
        <v>214</v>
      </c>
      <c r="C36" t="s">
        <v>164</v>
      </c>
      <c r="D36" t="s">
        <v>159</v>
      </c>
      <c r="G36">
        <v>10</v>
      </c>
      <c r="AH36">
        <v>10</v>
      </c>
      <c r="AJ36">
        <v>20</v>
      </c>
      <c r="AK36">
        <v>20</v>
      </c>
      <c r="AL36">
        <v>0</v>
      </c>
      <c r="AM36">
        <v>0</v>
      </c>
      <c r="AN36">
        <v>0</v>
      </c>
      <c r="AO36">
        <v>7500</v>
      </c>
      <c r="AP36">
        <v>20</v>
      </c>
      <c r="AQ36">
        <v>0</v>
      </c>
      <c r="AR36">
        <v>126.56250000000001</v>
      </c>
      <c r="AS36">
        <v>1875</v>
      </c>
    </row>
    <row r="37" spans="1:45" x14ac:dyDescent="0.25">
      <c r="A37" t="s">
        <v>215</v>
      </c>
      <c r="B37" t="s">
        <v>216</v>
      </c>
      <c r="C37" t="s">
        <v>212</v>
      </c>
      <c r="D37" t="s">
        <v>159</v>
      </c>
      <c r="G37">
        <v>4</v>
      </c>
      <c r="T37">
        <v>8</v>
      </c>
      <c r="AJ37">
        <v>12</v>
      </c>
      <c r="AK37">
        <v>12</v>
      </c>
      <c r="AL37">
        <v>0</v>
      </c>
      <c r="AM37">
        <v>0</v>
      </c>
      <c r="AN37">
        <v>0</v>
      </c>
      <c r="AO37">
        <v>6500</v>
      </c>
      <c r="AP37">
        <v>12</v>
      </c>
      <c r="AQ37">
        <v>0</v>
      </c>
      <c r="AR37">
        <v>109.68750000000001</v>
      </c>
      <c r="AS37">
        <v>975</v>
      </c>
    </row>
    <row r="38" spans="1:45" x14ac:dyDescent="0.25">
      <c r="A38" t="s">
        <v>217</v>
      </c>
      <c r="B38" t="s">
        <v>218</v>
      </c>
      <c r="C38" t="s">
        <v>173</v>
      </c>
      <c r="D38" t="s">
        <v>159</v>
      </c>
      <c r="F38">
        <v>7</v>
      </c>
      <c r="AG38">
        <v>7</v>
      </c>
      <c r="AH38">
        <v>16</v>
      </c>
      <c r="AJ38">
        <v>30</v>
      </c>
      <c r="AK38">
        <v>30</v>
      </c>
      <c r="AL38">
        <v>0</v>
      </c>
      <c r="AM38">
        <v>0</v>
      </c>
      <c r="AN38">
        <v>0</v>
      </c>
      <c r="AO38">
        <v>7500</v>
      </c>
      <c r="AP38">
        <v>30</v>
      </c>
      <c r="AQ38">
        <v>0</v>
      </c>
      <c r="AR38">
        <v>126.56250000000001</v>
      </c>
      <c r="AS38">
        <v>2812.5</v>
      </c>
    </row>
    <row r="39" spans="1:45" x14ac:dyDescent="0.25">
      <c r="A39" t="s">
        <v>219</v>
      </c>
      <c r="B39" t="s">
        <v>220</v>
      </c>
      <c r="C39" t="s">
        <v>221</v>
      </c>
      <c r="D39" t="s">
        <v>159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32000</v>
      </c>
      <c r="AP39">
        <v>0</v>
      </c>
      <c r="AQ39">
        <v>0</v>
      </c>
      <c r="AR39">
        <v>540</v>
      </c>
      <c r="AS39">
        <v>0</v>
      </c>
    </row>
    <row r="40" spans="1:45" x14ac:dyDescent="0.25">
      <c r="A40" t="s">
        <v>222</v>
      </c>
      <c r="B40" t="s">
        <v>223</v>
      </c>
      <c r="C40" t="s">
        <v>164</v>
      </c>
      <c r="D40" t="s">
        <v>159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6500</v>
      </c>
      <c r="AP40">
        <v>0</v>
      </c>
      <c r="AQ40">
        <v>0</v>
      </c>
      <c r="AR40">
        <v>109.68750000000001</v>
      </c>
      <c r="AS40">
        <v>0</v>
      </c>
    </row>
    <row r="41" spans="1:45" x14ac:dyDescent="0.25">
      <c r="A41" t="s">
        <v>224</v>
      </c>
      <c r="B41" t="s">
        <v>225</v>
      </c>
      <c r="C41" t="s">
        <v>201</v>
      </c>
      <c r="D41" t="s">
        <v>159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6500</v>
      </c>
      <c r="AP41">
        <v>0</v>
      </c>
      <c r="AQ41">
        <v>0</v>
      </c>
      <c r="AR41">
        <v>109.68750000000001</v>
      </c>
      <c r="AS41">
        <v>0</v>
      </c>
    </row>
    <row r="42" spans="1:45" x14ac:dyDescent="0.25">
      <c r="A42" t="s">
        <v>226</v>
      </c>
      <c r="B42" t="s">
        <v>227</v>
      </c>
      <c r="C42" t="s">
        <v>164</v>
      </c>
      <c r="D42" t="s">
        <v>159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6500</v>
      </c>
      <c r="AP42">
        <v>0</v>
      </c>
      <c r="AQ42">
        <v>0</v>
      </c>
      <c r="AR42">
        <v>109.68750000000001</v>
      </c>
      <c r="AS42">
        <v>0</v>
      </c>
    </row>
    <row r="43" spans="1:45" x14ac:dyDescent="0.25">
      <c r="A43" t="s">
        <v>228</v>
      </c>
      <c r="B43" t="s">
        <v>229</v>
      </c>
      <c r="C43" t="s">
        <v>173</v>
      </c>
      <c r="D43" t="s">
        <v>159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7500</v>
      </c>
      <c r="AP43">
        <v>0</v>
      </c>
      <c r="AQ43">
        <v>0</v>
      </c>
      <c r="AR43">
        <v>126.56250000000001</v>
      </c>
      <c r="AS43">
        <v>0</v>
      </c>
    </row>
    <row r="44" spans="1:45" x14ac:dyDescent="0.25">
      <c r="A44" t="s">
        <v>230</v>
      </c>
      <c r="B44" t="s">
        <v>231</v>
      </c>
      <c r="C44" t="s">
        <v>173</v>
      </c>
      <c r="D44" t="s">
        <v>159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7500</v>
      </c>
      <c r="AP44">
        <v>0</v>
      </c>
      <c r="AQ44">
        <v>0</v>
      </c>
      <c r="AR44">
        <v>126.56250000000001</v>
      </c>
      <c r="AS44">
        <v>0</v>
      </c>
    </row>
    <row r="45" spans="1:45" x14ac:dyDescent="0.25">
      <c r="A45" t="s">
        <v>232</v>
      </c>
      <c r="B45" t="s">
        <v>233</v>
      </c>
      <c r="C45" t="s">
        <v>173</v>
      </c>
      <c r="D45" t="s">
        <v>159</v>
      </c>
      <c r="AH45">
        <v>6</v>
      </c>
      <c r="AJ45">
        <v>6</v>
      </c>
      <c r="AK45">
        <v>6</v>
      </c>
      <c r="AL45">
        <v>0</v>
      </c>
      <c r="AM45">
        <v>0</v>
      </c>
      <c r="AN45">
        <v>0</v>
      </c>
      <c r="AO45">
        <v>7500</v>
      </c>
      <c r="AP45">
        <v>6</v>
      </c>
      <c r="AQ45">
        <v>0</v>
      </c>
      <c r="AR45">
        <v>126.56250000000001</v>
      </c>
      <c r="AS45">
        <v>562.5</v>
      </c>
    </row>
    <row r="46" spans="1:45" x14ac:dyDescent="0.25">
      <c r="A46" t="s">
        <v>234</v>
      </c>
      <c r="B46" t="s">
        <v>235</v>
      </c>
      <c r="C46" t="s">
        <v>173</v>
      </c>
      <c r="D46" t="s">
        <v>159</v>
      </c>
      <c r="M46">
        <v>8</v>
      </c>
      <c r="T46">
        <v>8</v>
      </c>
      <c r="AJ46">
        <v>16</v>
      </c>
      <c r="AK46">
        <v>16</v>
      </c>
      <c r="AL46">
        <v>0</v>
      </c>
      <c r="AM46">
        <v>0</v>
      </c>
      <c r="AN46">
        <v>0</v>
      </c>
      <c r="AO46">
        <v>7500</v>
      </c>
      <c r="AP46">
        <v>16</v>
      </c>
      <c r="AQ46">
        <v>0</v>
      </c>
      <c r="AR46">
        <v>126.56250000000001</v>
      </c>
      <c r="AS46">
        <v>1500</v>
      </c>
    </row>
    <row r="47" spans="1:45" x14ac:dyDescent="0.25">
      <c r="A47" t="s">
        <v>236</v>
      </c>
      <c r="B47" t="s">
        <v>237</v>
      </c>
      <c r="C47" t="s">
        <v>238</v>
      </c>
      <c r="D47" t="s">
        <v>159</v>
      </c>
      <c r="G47">
        <v>10</v>
      </c>
      <c r="AJ47">
        <v>10</v>
      </c>
      <c r="AK47">
        <v>10</v>
      </c>
      <c r="AL47">
        <v>0</v>
      </c>
      <c r="AM47">
        <v>0</v>
      </c>
      <c r="AN47">
        <v>0</v>
      </c>
      <c r="AO47">
        <v>18000</v>
      </c>
      <c r="AP47">
        <v>10</v>
      </c>
      <c r="AQ47">
        <v>0</v>
      </c>
      <c r="AR47">
        <v>303.75</v>
      </c>
      <c r="AS47">
        <v>2250</v>
      </c>
    </row>
    <row r="48" spans="1:45" x14ac:dyDescent="0.25">
      <c r="A48" t="s">
        <v>239</v>
      </c>
      <c r="B48" t="s">
        <v>240</v>
      </c>
      <c r="C48" t="s">
        <v>185</v>
      </c>
      <c r="D48" t="s">
        <v>159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9000</v>
      </c>
      <c r="AP48">
        <v>0</v>
      </c>
      <c r="AQ48">
        <v>0</v>
      </c>
      <c r="AR48">
        <v>151.875</v>
      </c>
      <c r="AS48">
        <v>0</v>
      </c>
    </row>
    <row r="49" spans="1:45" x14ac:dyDescent="0.25">
      <c r="A49" t="s">
        <v>241</v>
      </c>
      <c r="B49" t="s">
        <v>242</v>
      </c>
      <c r="C49" t="s">
        <v>243</v>
      </c>
      <c r="D49" t="s">
        <v>159</v>
      </c>
      <c r="AG49">
        <v>5</v>
      </c>
      <c r="AJ49">
        <v>5</v>
      </c>
      <c r="AK49">
        <v>5</v>
      </c>
      <c r="AL49">
        <v>0</v>
      </c>
      <c r="AM49">
        <v>0</v>
      </c>
      <c r="AN49">
        <v>0</v>
      </c>
      <c r="AO49">
        <v>5800</v>
      </c>
      <c r="AP49">
        <v>5</v>
      </c>
      <c r="AQ49">
        <v>0</v>
      </c>
      <c r="AR49">
        <v>97.875</v>
      </c>
      <c r="AS49">
        <v>362.5</v>
      </c>
    </row>
    <row r="50" spans="1:45" x14ac:dyDescent="0.25">
      <c r="A50" t="s">
        <v>244</v>
      </c>
      <c r="B50" t="s">
        <v>245</v>
      </c>
      <c r="C50" t="s">
        <v>246</v>
      </c>
      <c r="D50" t="s">
        <v>159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5500</v>
      </c>
      <c r="AP50">
        <v>0</v>
      </c>
      <c r="AQ50">
        <v>0</v>
      </c>
      <c r="AR50">
        <v>92.8125</v>
      </c>
      <c r="AS50">
        <v>0</v>
      </c>
    </row>
    <row r="51" spans="1:45" x14ac:dyDescent="0.25">
      <c r="A51" t="s">
        <v>247</v>
      </c>
      <c r="B51" t="s">
        <v>248</v>
      </c>
      <c r="C51" t="s">
        <v>249</v>
      </c>
      <c r="D51" t="s">
        <v>159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21000</v>
      </c>
      <c r="AP51">
        <v>0</v>
      </c>
      <c r="AQ51">
        <v>0</v>
      </c>
      <c r="AR51">
        <v>354.375</v>
      </c>
      <c r="AS51">
        <v>0</v>
      </c>
    </row>
    <row r="52" spans="1:45" x14ac:dyDescent="0.25">
      <c r="A52" t="s">
        <v>250</v>
      </c>
      <c r="B52" t="s">
        <v>251</v>
      </c>
      <c r="C52" t="s">
        <v>252</v>
      </c>
      <c r="D52" t="s">
        <v>159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6500</v>
      </c>
      <c r="AP52">
        <v>0</v>
      </c>
      <c r="AQ52">
        <v>0</v>
      </c>
      <c r="AR52">
        <v>109.68750000000001</v>
      </c>
      <c r="AS52">
        <v>0</v>
      </c>
    </row>
    <row r="53" spans="1:45" x14ac:dyDescent="0.25">
      <c r="A53" t="s">
        <v>253</v>
      </c>
      <c r="B53" t="s">
        <v>254</v>
      </c>
      <c r="C53" t="s">
        <v>255</v>
      </c>
      <c r="D53" t="s">
        <v>159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4800</v>
      </c>
      <c r="AP53">
        <v>0</v>
      </c>
      <c r="AQ53">
        <v>0</v>
      </c>
      <c r="AR53">
        <v>81</v>
      </c>
      <c r="AS53">
        <v>0</v>
      </c>
    </row>
    <row r="54" spans="1:45" x14ac:dyDescent="0.25">
      <c r="A54" t="s">
        <v>256</v>
      </c>
      <c r="B54" t="s">
        <v>257</v>
      </c>
      <c r="C54" t="s">
        <v>258</v>
      </c>
      <c r="D54" t="s">
        <v>159</v>
      </c>
      <c r="AF54">
        <v>7</v>
      </c>
      <c r="AJ54">
        <v>7</v>
      </c>
      <c r="AK54">
        <v>7</v>
      </c>
      <c r="AL54">
        <v>0</v>
      </c>
      <c r="AM54">
        <v>0</v>
      </c>
      <c r="AN54">
        <v>0</v>
      </c>
      <c r="AO54">
        <v>15000</v>
      </c>
      <c r="AP54">
        <v>7</v>
      </c>
      <c r="AQ54">
        <v>0</v>
      </c>
      <c r="AR54">
        <v>253.12500000000003</v>
      </c>
      <c r="AS54">
        <v>1312.5</v>
      </c>
    </row>
    <row r="55" spans="1:45" x14ac:dyDescent="0.25">
      <c r="A55" t="s">
        <v>259</v>
      </c>
      <c r="B55" t="s">
        <v>260</v>
      </c>
      <c r="C55" t="s">
        <v>261</v>
      </c>
      <c r="D55" t="s">
        <v>159</v>
      </c>
      <c r="G55">
        <v>4</v>
      </c>
      <c r="N55">
        <v>5</v>
      </c>
      <c r="T55">
        <v>2</v>
      </c>
      <c r="U55">
        <v>5</v>
      </c>
      <c r="Y55">
        <v>9</v>
      </c>
      <c r="AB55">
        <v>4</v>
      </c>
      <c r="AG55">
        <v>2</v>
      </c>
      <c r="AJ55">
        <v>31</v>
      </c>
      <c r="AK55">
        <v>31</v>
      </c>
      <c r="AL55">
        <v>0</v>
      </c>
      <c r="AM55">
        <v>0</v>
      </c>
      <c r="AN55">
        <v>0</v>
      </c>
      <c r="AO55">
        <v>9000</v>
      </c>
      <c r="AP55">
        <v>31</v>
      </c>
      <c r="AQ55">
        <v>0</v>
      </c>
      <c r="AR55">
        <v>151.875</v>
      </c>
      <c r="AS55">
        <v>3487.5</v>
      </c>
    </row>
    <row r="56" spans="1:45" x14ac:dyDescent="0.25">
      <c r="A56" t="s">
        <v>262</v>
      </c>
      <c r="B56" t="s">
        <v>263</v>
      </c>
      <c r="C56" t="s">
        <v>264</v>
      </c>
      <c r="D56" t="s">
        <v>159</v>
      </c>
      <c r="Y56">
        <v>6</v>
      </c>
      <c r="AJ56">
        <v>6</v>
      </c>
      <c r="AK56">
        <v>6</v>
      </c>
      <c r="AL56">
        <v>0</v>
      </c>
      <c r="AM56">
        <v>0</v>
      </c>
      <c r="AN56">
        <v>0</v>
      </c>
      <c r="AO56">
        <v>13000</v>
      </c>
      <c r="AP56">
        <v>6</v>
      </c>
      <c r="AQ56">
        <v>0</v>
      </c>
      <c r="AR56">
        <v>219.37500000000003</v>
      </c>
      <c r="AS56">
        <v>975</v>
      </c>
    </row>
    <row r="57" spans="1:45" x14ac:dyDescent="0.25">
      <c r="A57" t="s">
        <v>265</v>
      </c>
      <c r="B57" t="s">
        <v>266</v>
      </c>
      <c r="C57" t="s">
        <v>267</v>
      </c>
      <c r="D57" t="s">
        <v>159</v>
      </c>
      <c r="AH57">
        <v>20</v>
      </c>
      <c r="AJ57">
        <v>20</v>
      </c>
      <c r="AK57">
        <v>20</v>
      </c>
      <c r="AL57">
        <v>0</v>
      </c>
      <c r="AM57">
        <v>0</v>
      </c>
      <c r="AN57">
        <v>0</v>
      </c>
      <c r="AO57">
        <v>8000</v>
      </c>
      <c r="AP57">
        <v>20</v>
      </c>
      <c r="AQ57">
        <v>0</v>
      </c>
      <c r="AR57">
        <v>135</v>
      </c>
      <c r="AS57">
        <v>2000</v>
      </c>
    </row>
    <row r="58" spans="1:45" x14ac:dyDescent="0.25">
      <c r="A58" t="s">
        <v>268</v>
      </c>
      <c r="B58" t="s">
        <v>269</v>
      </c>
      <c r="C58" t="s">
        <v>270</v>
      </c>
      <c r="D58" t="s">
        <v>159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6500</v>
      </c>
      <c r="AP58">
        <v>0</v>
      </c>
      <c r="AQ58">
        <v>0</v>
      </c>
      <c r="AR58">
        <v>109.68750000000001</v>
      </c>
      <c r="AS58">
        <v>0</v>
      </c>
    </row>
    <row r="59" spans="1:45" x14ac:dyDescent="0.25">
      <c r="A59" t="s">
        <v>271</v>
      </c>
      <c r="B59" t="s">
        <v>272</v>
      </c>
      <c r="C59" t="s">
        <v>270</v>
      </c>
      <c r="D59" t="s">
        <v>159</v>
      </c>
      <c r="M59">
        <v>10</v>
      </c>
      <c r="AJ59">
        <v>10</v>
      </c>
      <c r="AK59">
        <v>10</v>
      </c>
      <c r="AL59">
        <v>0</v>
      </c>
      <c r="AM59">
        <v>0</v>
      </c>
      <c r="AN59">
        <v>0</v>
      </c>
      <c r="AO59">
        <v>6500</v>
      </c>
      <c r="AP59">
        <v>10</v>
      </c>
      <c r="AQ59">
        <v>0</v>
      </c>
      <c r="AR59">
        <v>109.68750000000001</v>
      </c>
      <c r="AS59">
        <v>812.5</v>
      </c>
    </row>
    <row r="60" spans="1:45" x14ac:dyDescent="0.25">
      <c r="A60" t="s">
        <v>273</v>
      </c>
      <c r="B60" t="s">
        <v>274</v>
      </c>
      <c r="C60" t="s">
        <v>252</v>
      </c>
      <c r="D60" t="s">
        <v>159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6500</v>
      </c>
      <c r="AP60">
        <v>0</v>
      </c>
      <c r="AQ60">
        <v>0</v>
      </c>
      <c r="AR60">
        <v>109.68750000000001</v>
      </c>
      <c r="AS60">
        <v>0</v>
      </c>
    </row>
    <row r="61" spans="1:45" x14ac:dyDescent="0.25">
      <c r="A61" t="s">
        <v>275</v>
      </c>
      <c r="B61" t="s">
        <v>276</v>
      </c>
      <c r="C61" t="s">
        <v>252</v>
      </c>
      <c r="D61" t="s">
        <v>159</v>
      </c>
      <c r="M61">
        <v>7</v>
      </c>
      <c r="AF61">
        <v>10</v>
      </c>
      <c r="AJ61">
        <v>17</v>
      </c>
      <c r="AK61">
        <v>17</v>
      </c>
      <c r="AL61">
        <v>0</v>
      </c>
      <c r="AM61">
        <v>0</v>
      </c>
      <c r="AN61">
        <v>0</v>
      </c>
      <c r="AO61">
        <v>6500</v>
      </c>
      <c r="AP61">
        <v>17</v>
      </c>
      <c r="AQ61">
        <v>0</v>
      </c>
      <c r="AR61">
        <v>109.68750000000001</v>
      </c>
      <c r="AS61">
        <v>1381.25</v>
      </c>
    </row>
    <row r="62" spans="1:45" x14ac:dyDescent="0.25">
      <c r="A62" t="s">
        <v>277</v>
      </c>
      <c r="B62" t="s">
        <v>278</v>
      </c>
      <c r="C62" t="s">
        <v>279</v>
      </c>
      <c r="D62" t="s">
        <v>159</v>
      </c>
      <c r="M62">
        <v>10</v>
      </c>
      <c r="AH62">
        <v>7</v>
      </c>
      <c r="AJ62">
        <v>17</v>
      </c>
      <c r="AK62">
        <v>17</v>
      </c>
      <c r="AL62">
        <v>0</v>
      </c>
      <c r="AM62">
        <v>0</v>
      </c>
      <c r="AN62">
        <v>0</v>
      </c>
      <c r="AO62">
        <v>6500</v>
      </c>
      <c r="AP62">
        <v>17</v>
      </c>
      <c r="AQ62">
        <v>0</v>
      </c>
      <c r="AR62">
        <v>109.68750000000001</v>
      </c>
      <c r="AS62">
        <v>1381.25</v>
      </c>
    </row>
    <row r="63" spans="1:45" x14ac:dyDescent="0.25">
      <c r="A63" t="s">
        <v>280</v>
      </c>
      <c r="B63" t="s">
        <v>281</v>
      </c>
      <c r="C63" t="s">
        <v>282</v>
      </c>
      <c r="D63" t="s">
        <v>159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7000</v>
      </c>
      <c r="AP63">
        <v>0</v>
      </c>
      <c r="AQ63">
        <v>0</v>
      </c>
      <c r="AR63">
        <v>118.12500000000001</v>
      </c>
      <c r="AS63">
        <v>0</v>
      </c>
    </row>
    <row r="64" spans="1:45" x14ac:dyDescent="0.25">
      <c r="A64" t="s">
        <v>283</v>
      </c>
      <c r="B64" t="s">
        <v>284</v>
      </c>
      <c r="C64" t="s">
        <v>261</v>
      </c>
      <c r="D64" t="s">
        <v>159</v>
      </c>
      <c r="F64">
        <v>5</v>
      </c>
      <c r="M64">
        <v>3</v>
      </c>
      <c r="X64" t="s">
        <v>285</v>
      </c>
      <c r="AG64">
        <v>8</v>
      </c>
      <c r="AH64">
        <v>2</v>
      </c>
      <c r="AJ64">
        <v>18</v>
      </c>
      <c r="AK64">
        <v>25</v>
      </c>
      <c r="AL64">
        <v>0</v>
      </c>
      <c r="AM64">
        <v>0</v>
      </c>
      <c r="AN64">
        <v>7</v>
      </c>
      <c r="AO64">
        <v>9000</v>
      </c>
      <c r="AP64">
        <v>18</v>
      </c>
      <c r="AQ64">
        <v>1063.125</v>
      </c>
      <c r="AR64">
        <v>151.875</v>
      </c>
      <c r="AS64">
        <v>2025</v>
      </c>
    </row>
    <row r="65" spans="1:45" x14ac:dyDescent="0.25">
      <c r="A65" t="s">
        <v>286</v>
      </c>
      <c r="B65" t="s">
        <v>287</v>
      </c>
      <c r="C65" t="s">
        <v>288</v>
      </c>
      <c r="D65" t="s">
        <v>159</v>
      </c>
      <c r="AH65">
        <v>29</v>
      </c>
      <c r="AJ65">
        <v>29</v>
      </c>
      <c r="AK65">
        <v>29</v>
      </c>
      <c r="AL65">
        <v>0</v>
      </c>
      <c r="AM65">
        <v>0</v>
      </c>
      <c r="AN65">
        <v>0</v>
      </c>
      <c r="AO65">
        <v>6500</v>
      </c>
      <c r="AP65">
        <v>29</v>
      </c>
      <c r="AQ65">
        <v>0</v>
      </c>
      <c r="AR65">
        <v>109.68750000000001</v>
      </c>
      <c r="AS65">
        <v>2356.25</v>
      </c>
    </row>
    <row r="66" spans="1:45" x14ac:dyDescent="0.25">
      <c r="A66" t="s">
        <v>289</v>
      </c>
      <c r="B66" t="s">
        <v>290</v>
      </c>
      <c r="C66" t="s">
        <v>270</v>
      </c>
      <c r="D66" t="s">
        <v>159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6500</v>
      </c>
      <c r="AP66">
        <v>0</v>
      </c>
      <c r="AQ66">
        <v>0</v>
      </c>
      <c r="AR66">
        <v>109.68750000000001</v>
      </c>
      <c r="AS66">
        <v>0</v>
      </c>
    </row>
    <row r="67" spans="1:45" x14ac:dyDescent="0.25">
      <c r="A67" t="s">
        <v>291</v>
      </c>
      <c r="B67" t="s">
        <v>292</v>
      </c>
      <c r="C67" t="s">
        <v>293</v>
      </c>
      <c r="D67" t="s">
        <v>159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9000</v>
      </c>
      <c r="AP67">
        <v>0</v>
      </c>
      <c r="AQ67">
        <v>0</v>
      </c>
      <c r="AR67">
        <v>151.875</v>
      </c>
      <c r="AS67">
        <v>0</v>
      </c>
    </row>
    <row r="68" spans="1:45" x14ac:dyDescent="0.25">
      <c r="A68" t="s">
        <v>294</v>
      </c>
      <c r="B68" t="s">
        <v>295</v>
      </c>
      <c r="C68" t="s">
        <v>293</v>
      </c>
      <c r="D68" t="s">
        <v>159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6500</v>
      </c>
      <c r="AP68">
        <v>0</v>
      </c>
      <c r="AQ68">
        <v>0</v>
      </c>
      <c r="AR68">
        <v>109.68750000000001</v>
      </c>
      <c r="AS68">
        <v>0</v>
      </c>
    </row>
    <row r="69" spans="1:45" x14ac:dyDescent="0.25">
      <c r="A69" t="s">
        <v>296</v>
      </c>
      <c r="B69" t="s">
        <v>297</v>
      </c>
      <c r="C69" t="s">
        <v>298</v>
      </c>
      <c r="D69" t="s">
        <v>159</v>
      </c>
      <c r="F69">
        <v>7</v>
      </c>
      <c r="M69">
        <v>8</v>
      </c>
      <c r="X69" t="s">
        <v>285</v>
      </c>
      <c r="AJ69">
        <v>15</v>
      </c>
      <c r="AK69">
        <v>22</v>
      </c>
      <c r="AL69">
        <v>0</v>
      </c>
      <c r="AM69">
        <v>0</v>
      </c>
      <c r="AN69">
        <v>7</v>
      </c>
      <c r="AO69">
        <v>18000</v>
      </c>
      <c r="AP69">
        <v>15</v>
      </c>
      <c r="AQ69">
        <v>2126.25</v>
      </c>
      <c r="AR69">
        <v>303.75</v>
      </c>
      <c r="AS69">
        <v>3375</v>
      </c>
    </row>
    <row r="70" spans="1:45" x14ac:dyDescent="0.25">
      <c r="A70" t="s">
        <v>299</v>
      </c>
      <c r="B70" t="s">
        <v>300</v>
      </c>
      <c r="C70" t="s">
        <v>301</v>
      </c>
      <c r="D70" t="s">
        <v>159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8000</v>
      </c>
      <c r="AP70">
        <v>0</v>
      </c>
      <c r="AQ70">
        <v>0</v>
      </c>
      <c r="AR70">
        <v>135</v>
      </c>
      <c r="AS70">
        <v>0</v>
      </c>
    </row>
    <row r="71" spans="1:45" x14ac:dyDescent="0.25">
      <c r="A71" t="s">
        <v>302</v>
      </c>
      <c r="B71" t="s">
        <v>303</v>
      </c>
      <c r="C71" t="s">
        <v>304</v>
      </c>
      <c r="D71" t="s">
        <v>159</v>
      </c>
      <c r="AH71">
        <v>40</v>
      </c>
      <c r="AJ71">
        <v>40</v>
      </c>
      <c r="AK71">
        <v>40</v>
      </c>
      <c r="AL71">
        <v>0</v>
      </c>
      <c r="AM71">
        <v>0</v>
      </c>
      <c r="AN71">
        <v>0</v>
      </c>
      <c r="AO71">
        <v>23000</v>
      </c>
      <c r="AP71">
        <v>40</v>
      </c>
      <c r="AQ71">
        <v>0</v>
      </c>
      <c r="AR71">
        <v>388.125</v>
      </c>
      <c r="AS71">
        <v>11500</v>
      </c>
    </row>
    <row r="72" spans="1:45" x14ac:dyDescent="0.25">
      <c r="A72" t="s">
        <v>305</v>
      </c>
      <c r="B72" t="s">
        <v>306</v>
      </c>
      <c r="C72" t="s">
        <v>279</v>
      </c>
      <c r="D72" t="s">
        <v>159</v>
      </c>
      <c r="F72" t="s">
        <v>285</v>
      </c>
      <c r="M72">
        <v>8</v>
      </c>
      <c r="AJ72">
        <v>8</v>
      </c>
      <c r="AK72">
        <v>15</v>
      </c>
      <c r="AL72">
        <v>0</v>
      </c>
      <c r="AM72">
        <v>0</v>
      </c>
      <c r="AN72">
        <v>7</v>
      </c>
      <c r="AO72">
        <v>6500</v>
      </c>
      <c r="AP72">
        <v>8</v>
      </c>
      <c r="AQ72">
        <v>767.81250000000011</v>
      </c>
      <c r="AR72">
        <v>109.68750000000001</v>
      </c>
      <c r="AS72">
        <v>650</v>
      </c>
    </row>
    <row r="73" spans="1:45" x14ac:dyDescent="0.25">
      <c r="A73" t="s">
        <v>307</v>
      </c>
      <c r="B73" t="s">
        <v>308</v>
      </c>
      <c r="C73" t="s">
        <v>309</v>
      </c>
      <c r="D73" t="s">
        <v>159</v>
      </c>
      <c r="F73">
        <v>10</v>
      </c>
      <c r="M73">
        <v>11</v>
      </c>
      <c r="AG73">
        <v>10</v>
      </c>
      <c r="AJ73">
        <v>31</v>
      </c>
      <c r="AK73">
        <v>31</v>
      </c>
      <c r="AL73">
        <v>0</v>
      </c>
      <c r="AM73">
        <v>0</v>
      </c>
      <c r="AN73">
        <v>0</v>
      </c>
      <c r="AO73">
        <v>6500</v>
      </c>
      <c r="AP73">
        <v>31</v>
      </c>
      <c r="AQ73">
        <v>0</v>
      </c>
      <c r="AR73">
        <v>109.68750000000001</v>
      </c>
      <c r="AS73">
        <v>2518.75</v>
      </c>
    </row>
    <row r="74" spans="1:45" x14ac:dyDescent="0.25">
      <c r="A74" t="s">
        <v>310</v>
      </c>
      <c r="B74" t="s">
        <v>311</v>
      </c>
      <c r="C74" t="s">
        <v>252</v>
      </c>
      <c r="D74" t="s">
        <v>159</v>
      </c>
      <c r="M74">
        <v>7</v>
      </c>
      <c r="AJ74">
        <v>7</v>
      </c>
      <c r="AK74">
        <v>7</v>
      </c>
      <c r="AL74">
        <v>0</v>
      </c>
      <c r="AM74">
        <v>0</v>
      </c>
      <c r="AN74">
        <v>0</v>
      </c>
      <c r="AO74">
        <v>6500</v>
      </c>
      <c r="AP74">
        <v>7</v>
      </c>
      <c r="AQ74">
        <v>0</v>
      </c>
      <c r="AR74">
        <v>109.68750000000001</v>
      </c>
      <c r="AS74">
        <v>568.75</v>
      </c>
    </row>
    <row r="75" spans="1:45" x14ac:dyDescent="0.25">
      <c r="A75" t="s">
        <v>312</v>
      </c>
      <c r="B75" t="s">
        <v>313</v>
      </c>
      <c r="C75" t="s">
        <v>270</v>
      </c>
      <c r="D75" t="s">
        <v>159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6500</v>
      </c>
      <c r="AP75">
        <v>0</v>
      </c>
      <c r="AQ75">
        <v>0</v>
      </c>
      <c r="AR75">
        <v>109.68750000000001</v>
      </c>
      <c r="AS75">
        <v>0</v>
      </c>
    </row>
    <row r="76" spans="1:45" x14ac:dyDescent="0.25">
      <c r="A76" t="s">
        <v>314</v>
      </c>
      <c r="B76" t="s">
        <v>315</v>
      </c>
      <c r="C76" t="s">
        <v>288</v>
      </c>
      <c r="D76" t="s">
        <v>159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6500</v>
      </c>
      <c r="AP76">
        <v>0</v>
      </c>
      <c r="AQ76">
        <v>0</v>
      </c>
      <c r="AR76">
        <v>109.68750000000001</v>
      </c>
      <c r="AS76">
        <v>0</v>
      </c>
    </row>
    <row r="77" spans="1:45" x14ac:dyDescent="0.25">
      <c r="A77" t="s">
        <v>316</v>
      </c>
      <c r="B77" t="s">
        <v>317</v>
      </c>
      <c r="C77" t="s">
        <v>318</v>
      </c>
      <c r="D77" t="s">
        <v>159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10000</v>
      </c>
      <c r="AP77">
        <v>0</v>
      </c>
      <c r="AQ77">
        <v>0</v>
      </c>
      <c r="AR77">
        <v>168.75</v>
      </c>
      <c r="AS77">
        <v>0</v>
      </c>
    </row>
    <row r="78" spans="1:45" x14ac:dyDescent="0.25">
      <c r="A78" t="s">
        <v>319</v>
      </c>
      <c r="B78" t="s">
        <v>320</v>
      </c>
      <c r="C78" t="s">
        <v>318</v>
      </c>
      <c r="D78" t="s">
        <v>159</v>
      </c>
      <c r="AH78">
        <v>24</v>
      </c>
      <c r="AJ78">
        <v>24</v>
      </c>
      <c r="AK78">
        <v>24</v>
      </c>
      <c r="AL78">
        <v>0</v>
      </c>
      <c r="AM78">
        <v>0</v>
      </c>
      <c r="AN78">
        <v>0</v>
      </c>
      <c r="AO78">
        <v>10000</v>
      </c>
      <c r="AP78">
        <v>24</v>
      </c>
      <c r="AQ78">
        <v>0</v>
      </c>
      <c r="AR78">
        <v>168.75</v>
      </c>
      <c r="AS78">
        <v>3000</v>
      </c>
    </row>
    <row r="79" spans="1:45" x14ac:dyDescent="0.25">
      <c r="A79" t="s">
        <v>321</v>
      </c>
      <c r="B79" t="s">
        <v>322</v>
      </c>
      <c r="C79" t="s">
        <v>318</v>
      </c>
      <c r="D79" t="s">
        <v>159</v>
      </c>
      <c r="J79" t="s">
        <v>323</v>
      </c>
      <c r="K79" t="s">
        <v>324</v>
      </c>
      <c r="M79" t="s">
        <v>325</v>
      </c>
      <c r="O79" t="s">
        <v>326</v>
      </c>
      <c r="S79" t="s">
        <v>323</v>
      </c>
      <c r="V79" t="s">
        <v>323</v>
      </c>
      <c r="AB79" t="s">
        <v>327</v>
      </c>
      <c r="AJ79">
        <v>0</v>
      </c>
      <c r="AK79">
        <v>15</v>
      </c>
      <c r="AL79">
        <v>10</v>
      </c>
      <c r="AM79">
        <v>5</v>
      </c>
      <c r="AN79">
        <v>0</v>
      </c>
      <c r="AO79">
        <v>10000</v>
      </c>
      <c r="AP79">
        <v>15</v>
      </c>
      <c r="AQ79">
        <v>0</v>
      </c>
      <c r="AR79">
        <v>168.75</v>
      </c>
      <c r="AS79">
        <v>1875</v>
      </c>
    </row>
    <row r="80" spans="1:45" x14ac:dyDescent="0.25">
      <c r="A80" t="s">
        <v>328</v>
      </c>
      <c r="B80" t="s">
        <v>329</v>
      </c>
      <c r="C80" t="s">
        <v>318</v>
      </c>
      <c r="D80" t="s">
        <v>159</v>
      </c>
      <c r="E80" t="s">
        <v>326</v>
      </c>
      <c r="H80" t="s">
        <v>326</v>
      </c>
      <c r="I80" t="s">
        <v>326</v>
      </c>
      <c r="J80" t="s">
        <v>326</v>
      </c>
      <c r="K80" t="s">
        <v>326</v>
      </c>
      <c r="L80" t="s">
        <v>326</v>
      </c>
      <c r="M80" t="s">
        <v>325</v>
      </c>
      <c r="N80" t="s">
        <v>325</v>
      </c>
      <c r="O80" t="s">
        <v>330</v>
      </c>
      <c r="P80" t="s">
        <v>330</v>
      </c>
      <c r="R80" t="s">
        <v>326</v>
      </c>
      <c r="S80" t="s">
        <v>330</v>
      </c>
      <c r="V80" t="s">
        <v>323</v>
      </c>
      <c r="W80" t="s">
        <v>326</v>
      </c>
      <c r="X80" t="s">
        <v>326</v>
      </c>
      <c r="Y80" t="s">
        <v>331</v>
      </c>
      <c r="Z80" t="s">
        <v>326</v>
      </c>
      <c r="AA80" t="s">
        <v>326</v>
      </c>
      <c r="AB80" t="s">
        <v>141</v>
      </c>
      <c r="AC80" t="s">
        <v>326</v>
      </c>
      <c r="AD80" t="s">
        <v>323</v>
      </c>
      <c r="AE80" t="s">
        <v>330</v>
      </c>
      <c r="AF80" t="s">
        <v>332</v>
      </c>
      <c r="AG80" t="s">
        <v>332</v>
      </c>
      <c r="AH80" t="s">
        <v>327</v>
      </c>
      <c r="AJ80">
        <v>0</v>
      </c>
      <c r="AK80">
        <v>39.999999999999993</v>
      </c>
      <c r="AL80">
        <v>2</v>
      </c>
      <c r="AM80">
        <v>37.999999999999993</v>
      </c>
      <c r="AN80">
        <v>0</v>
      </c>
      <c r="AO80">
        <v>9000</v>
      </c>
      <c r="AP80">
        <v>39.999999999999993</v>
      </c>
      <c r="AQ80">
        <v>0</v>
      </c>
      <c r="AR80">
        <v>151.875</v>
      </c>
      <c r="AS80">
        <v>4499.9999999999991</v>
      </c>
    </row>
    <row r="81" spans="1:45" x14ac:dyDescent="0.25">
      <c r="A81" t="s">
        <v>333</v>
      </c>
      <c r="B81" t="s">
        <v>334</v>
      </c>
      <c r="C81" t="s">
        <v>318</v>
      </c>
      <c r="D81" t="s">
        <v>159</v>
      </c>
      <c r="AH81">
        <v>40</v>
      </c>
      <c r="AJ81">
        <v>40</v>
      </c>
      <c r="AK81">
        <v>40</v>
      </c>
      <c r="AL81">
        <v>0</v>
      </c>
      <c r="AM81">
        <v>0</v>
      </c>
      <c r="AN81">
        <v>0</v>
      </c>
      <c r="AO81">
        <v>9000</v>
      </c>
      <c r="AP81">
        <v>40</v>
      </c>
      <c r="AQ81">
        <v>0</v>
      </c>
      <c r="AR81">
        <v>151.875</v>
      </c>
      <c r="AS81">
        <v>4500</v>
      </c>
    </row>
    <row r="82" spans="1:45" x14ac:dyDescent="0.25">
      <c r="A82" t="s">
        <v>335</v>
      </c>
      <c r="B82" t="s">
        <v>336</v>
      </c>
      <c r="C82" t="s">
        <v>318</v>
      </c>
      <c r="D82" t="s">
        <v>159</v>
      </c>
      <c r="F82" t="s">
        <v>326</v>
      </c>
      <c r="G82" t="s">
        <v>323</v>
      </c>
      <c r="H82" t="s">
        <v>326</v>
      </c>
      <c r="I82" t="s">
        <v>326</v>
      </c>
      <c r="L82" t="s">
        <v>326</v>
      </c>
      <c r="M82" t="s">
        <v>326</v>
      </c>
      <c r="N82" t="s">
        <v>326</v>
      </c>
      <c r="O82" t="s">
        <v>323</v>
      </c>
      <c r="Q82" t="s">
        <v>323</v>
      </c>
      <c r="R82" t="s">
        <v>330</v>
      </c>
      <c r="S82" t="s">
        <v>326</v>
      </c>
      <c r="V82" t="s">
        <v>323</v>
      </c>
      <c r="X82" t="s">
        <v>285</v>
      </c>
      <c r="AD82" t="s">
        <v>326</v>
      </c>
      <c r="AE82" t="s">
        <v>326</v>
      </c>
      <c r="AJ82">
        <v>0</v>
      </c>
      <c r="AK82">
        <v>31.999999999999996</v>
      </c>
      <c r="AL82">
        <v>0</v>
      </c>
      <c r="AM82">
        <v>24.999999999999996</v>
      </c>
      <c r="AN82">
        <v>7</v>
      </c>
      <c r="AO82">
        <v>10000</v>
      </c>
      <c r="AP82">
        <v>24.999999999999996</v>
      </c>
      <c r="AQ82">
        <v>1181.25</v>
      </c>
      <c r="AR82">
        <v>168.75</v>
      </c>
      <c r="AS82">
        <v>3124.9999999999995</v>
      </c>
    </row>
    <row r="83" spans="1:45" x14ac:dyDescent="0.25">
      <c r="A83" t="s">
        <v>337</v>
      </c>
      <c r="B83" t="s">
        <v>338</v>
      </c>
      <c r="C83" t="s">
        <v>318</v>
      </c>
      <c r="D83" t="s">
        <v>159</v>
      </c>
      <c r="L83" t="s">
        <v>285</v>
      </c>
      <c r="AJ83">
        <v>0</v>
      </c>
      <c r="AK83">
        <v>7</v>
      </c>
      <c r="AL83">
        <v>0</v>
      </c>
      <c r="AM83">
        <v>0</v>
      </c>
      <c r="AN83">
        <v>7</v>
      </c>
      <c r="AO83">
        <v>7500</v>
      </c>
      <c r="AP83">
        <v>0</v>
      </c>
      <c r="AQ83">
        <v>885.93750000000011</v>
      </c>
      <c r="AR83">
        <v>126.56250000000001</v>
      </c>
      <c r="AS83">
        <v>0</v>
      </c>
    </row>
    <row r="84" spans="1:45" x14ac:dyDescent="0.25">
      <c r="A84" t="s">
        <v>339</v>
      </c>
      <c r="B84" t="s">
        <v>340</v>
      </c>
      <c r="C84" t="s">
        <v>318</v>
      </c>
      <c r="D84" t="s">
        <v>159</v>
      </c>
      <c r="Y84" t="s">
        <v>341</v>
      </c>
      <c r="AJ84">
        <v>0</v>
      </c>
      <c r="AK84">
        <v>4</v>
      </c>
      <c r="AL84">
        <v>4</v>
      </c>
      <c r="AM84">
        <v>0</v>
      </c>
      <c r="AN84">
        <v>0</v>
      </c>
      <c r="AO84">
        <v>10000</v>
      </c>
      <c r="AP84">
        <v>4</v>
      </c>
      <c r="AQ84">
        <v>0</v>
      </c>
      <c r="AR84">
        <v>168.75</v>
      </c>
      <c r="AS84">
        <v>500</v>
      </c>
    </row>
    <row r="85" spans="1:45" x14ac:dyDescent="0.25">
      <c r="A85" t="s">
        <v>342</v>
      </c>
      <c r="B85" t="s">
        <v>343</v>
      </c>
      <c r="C85" t="s">
        <v>318</v>
      </c>
      <c r="D85" t="s">
        <v>159</v>
      </c>
      <c r="E85" t="s">
        <v>325</v>
      </c>
      <c r="F85" t="s">
        <v>285</v>
      </c>
      <c r="H85" t="s">
        <v>285</v>
      </c>
      <c r="L85" t="s">
        <v>344</v>
      </c>
      <c r="M85" t="s">
        <v>285</v>
      </c>
      <c r="N85" t="s">
        <v>141</v>
      </c>
      <c r="P85" t="s">
        <v>341</v>
      </c>
      <c r="R85" t="s">
        <v>327</v>
      </c>
      <c r="T85" t="s">
        <v>285</v>
      </c>
      <c r="AC85" t="s">
        <v>285</v>
      </c>
      <c r="AJ85">
        <v>0</v>
      </c>
      <c r="AK85">
        <v>56</v>
      </c>
      <c r="AL85">
        <v>20.999999999999996</v>
      </c>
      <c r="AM85">
        <v>0</v>
      </c>
      <c r="AN85">
        <v>35</v>
      </c>
      <c r="AO85">
        <v>10000</v>
      </c>
      <c r="AP85">
        <v>20.999999999999996</v>
      </c>
      <c r="AQ85">
        <v>5906.25</v>
      </c>
      <c r="AR85">
        <v>168.75</v>
      </c>
      <c r="AS85">
        <v>2624.9999999999995</v>
      </c>
    </row>
    <row r="86" spans="1:45" x14ac:dyDescent="0.25">
      <c r="A86" t="s">
        <v>345</v>
      </c>
      <c r="B86" t="s">
        <v>346</v>
      </c>
      <c r="C86" t="s">
        <v>279</v>
      </c>
      <c r="D86" t="s">
        <v>347</v>
      </c>
      <c r="E86" t="s">
        <v>120</v>
      </c>
      <c r="F86" t="s">
        <v>120</v>
      </c>
      <c r="G86" t="s">
        <v>120</v>
      </c>
      <c r="H86" t="s">
        <v>120</v>
      </c>
      <c r="I86" t="s">
        <v>120</v>
      </c>
      <c r="J86" t="s">
        <v>120</v>
      </c>
      <c r="K86" t="s">
        <v>120</v>
      </c>
      <c r="L86" t="s">
        <v>120</v>
      </c>
      <c r="M86" t="s">
        <v>285</v>
      </c>
      <c r="N86" t="s">
        <v>120</v>
      </c>
      <c r="O86" t="s">
        <v>120</v>
      </c>
      <c r="P86" t="s">
        <v>120</v>
      </c>
      <c r="Q86" t="s">
        <v>120</v>
      </c>
      <c r="R86" t="s">
        <v>120</v>
      </c>
      <c r="S86" t="s">
        <v>120</v>
      </c>
      <c r="T86" t="s">
        <v>120</v>
      </c>
      <c r="U86" t="s">
        <v>120</v>
      </c>
      <c r="V86" t="s">
        <v>120</v>
      </c>
      <c r="W86" t="s">
        <v>120</v>
      </c>
      <c r="X86" t="s">
        <v>120</v>
      </c>
      <c r="Y86" t="s">
        <v>120</v>
      </c>
      <c r="Z86" t="s">
        <v>120</v>
      </c>
      <c r="AA86" t="s">
        <v>120</v>
      </c>
      <c r="AB86" t="s">
        <v>120</v>
      </c>
      <c r="AC86" t="s">
        <v>120</v>
      </c>
      <c r="AD86" t="s">
        <v>120</v>
      </c>
      <c r="AE86" t="s">
        <v>120</v>
      </c>
      <c r="AF86" t="s">
        <v>120</v>
      </c>
      <c r="AG86" t="s">
        <v>120</v>
      </c>
      <c r="AH86" t="s">
        <v>120</v>
      </c>
      <c r="AJ86">
        <v>0</v>
      </c>
      <c r="AK86">
        <v>7</v>
      </c>
      <c r="AL86">
        <v>0</v>
      </c>
      <c r="AM86">
        <v>0</v>
      </c>
      <c r="AN86">
        <v>7</v>
      </c>
      <c r="AO86">
        <v>6500</v>
      </c>
      <c r="AP86">
        <v>0</v>
      </c>
      <c r="AQ86">
        <v>767.81250000000011</v>
      </c>
      <c r="AR86">
        <v>109.68750000000001</v>
      </c>
      <c r="AS86">
        <v>0</v>
      </c>
    </row>
    <row r="87" spans="1:45" x14ac:dyDescent="0.25">
      <c r="A87" t="s">
        <v>348</v>
      </c>
      <c r="B87" t="s">
        <v>349</v>
      </c>
      <c r="C87" t="s">
        <v>279</v>
      </c>
      <c r="D87" t="s">
        <v>347</v>
      </c>
      <c r="E87" t="s">
        <v>120</v>
      </c>
      <c r="F87" t="s">
        <v>120</v>
      </c>
      <c r="G87" t="s">
        <v>120</v>
      </c>
      <c r="H87" t="s">
        <v>120</v>
      </c>
      <c r="I87" t="s">
        <v>120</v>
      </c>
      <c r="J87" t="s">
        <v>120</v>
      </c>
      <c r="K87" t="s">
        <v>120</v>
      </c>
      <c r="L87" t="s">
        <v>120</v>
      </c>
      <c r="M87" t="s">
        <v>120</v>
      </c>
      <c r="N87" t="s">
        <v>120</v>
      </c>
      <c r="O87" t="s">
        <v>120</v>
      </c>
      <c r="P87" t="s">
        <v>120</v>
      </c>
      <c r="Q87" t="s">
        <v>120</v>
      </c>
      <c r="R87" t="s">
        <v>120</v>
      </c>
      <c r="S87" t="s">
        <v>120</v>
      </c>
      <c r="T87" t="s">
        <v>120</v>
      </c>
      <c r="U87" t="s">
        <v>120</v>
      </c>
      <c r="V87" t="s">
        <v>120</v>
      </c>
      <c r="W87" t="s">
        <v>120</v>
      </c>
      <c r="X87" t="s">
        <v>120</v>
      </c>
      <c r="Y87" t="s">
        <v>120</v>
      </c>
      <c r="Z87" t="s">
        <v>120</v>
      </c>
      <c r="AA87" t="s">
        <v>120</v>
      </c>
      <c r="AB87" t="s">
        <v>120</v>
      </c>
      <c r="AC87" t="s">
        <v>120</v>
      </c>
      <c r="AD87" t="s">
        <v>120</v>
      </c>
      <c r="AE87" t="s">
        <v>120</v>
      </c>
      <c r="AF87" t="s">
        <v>120</v>
      </c>
      <c r="AG87" t="s">
        <v>120</v>
      </c>
      <c r="AH87" t="s">
        <v>120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6500</v>
      </c>
      <c r="AP87">
        <v>0</v>
      </c>
      <c r="AQ87">
        <v>0</v>
      </c>
      <c r="AR87">
        <v>109.68750000000001</v>
      </c>
      <c r="AS87">
        <v>0</v>
      </c>
    </row>
    <row r="88" spans="1:45" x14ac:dyDescent="0.25">
      <c r="A88" t="s">
        <v>350</v>
      </c>
      <c r="B88" t="s">
        <v>351</v>
      </c>
      <c r="C88" t="s">
        <v>279</v>
      </c>
      <c r="D88" t="s">
        <v>347</v>
      </c>
      <c r="E88" t="s">
        <v>120</v>
      </c>
      <c r="F88" t="s">
        <v>120</v>
      </c>
      <c r="G88" t="s">
        <v>120</v>
      </c>
      <c r="H88" t="s">
        <v>120</v>
      </c>
      <c r="I88" t="s">
        <v>120</v>
      </c>
      <c r="J88" t="s">
        <v>120</v>
      </c>
      <c r="K88" t="s">
        <v>120</v>
      </c>
      <c r="L88" t="s">
        <v>120</v>
      </c>
      <c r="M88" t="s">
        <v>120</v>
      </c>
      <c r="N88" t="s">
        <v>120</v>
      </c>
      <c r="O88" t="s">
        <v>120</v>
      </c>
      <c r="P88" t="s">
        <v>120</v>
      </c>
      <c r="Q88" t="s">
        <v>120</v>
      </c>
      <c r="R88" t="s">
        <v>120</v>
      </c>
      <c r="S88" t="s">
        <v>120</v>
      </c>
      <c r="T88" t="s">
        <v>120</v>
      </c>
      <c r="U88" t="s">
        <v>120</v>
      </c>
      <c r="V88" t="s">
        <v>120</v>
      </c>
      <c r="W88" t="s">
        <v>120</v>
      </c>
      <c r="X88" t="s">
        <v>120</v>
      </c>
      <c r="Y88" t="s">
        <v>120</v>
      </c>
      <c r="Z88" t="s">
        <v>120</v>
      </c>
      <c r="AA88" t="s">
        <v>120</v>
      </c>
      <c r="AB88" t="s">
        <v>120</v>
      </c>
      <c r="AC88" t="s">
        <v>120</v>
      </c>
      <c r="AD88" t="s">
        <v>120</v>
      </c>
      <c r="AE88" t="s">
        <v>120</v>
      </c>
      <c r="AF88" t="s">
        <v>120</v>
      </c>
      <c r="AG88" t="s">
        <v>120</v>
      </c>
      <c r="AH88" t="s">
        <v>120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6500</v>
      </c>
      <c r="AP88">
        <v>0</v>
      </c>
      <c r="AQ88">
        <v>0</v>
      </c>
      <c r="AR88">
        <v>109.68750000000001</v>
      </c>
      <c r="AS88">
        <v>0</v>
      </c>
    </row>
    <row r="89" spans="1:45" x14ac:dyDescent="0.25">
      <c r="A89" t="s">
        <v>352</v>
      </c>
      <c r="B89" t="s">
        <v>353</v>
      </c>
      <c r="C89" t="s">
        <v>354</v>
      </c>
      <c r="D89" t="s">
        <v>347</v>
      </c>
      <c r="E89" t="s">
        <v>120</v>
      </c>
      <c r="F89" t="s">
        <v>120</v>
      </c>
      <c r="G89" t="s">
        <v>120</v>
      </c>
      <c r="H89" t="s">
        <v>120</v>
      </c>
      <c r="I89" t="s">
        <v>120</v>
      </c>
      <c r="J89" t="s">
        <v>120</v>
      </c>
      <c r="K89" t="s">
        <v>120</v>
      </c>
      <c r="L89" t="s">
        <v>120</v>
      </c>
      <c r="M89" t="s">
        <v>120</v>
      </c>
      <c r="N89" t="s">
        <v>120</v>
      </c>
      <c r="O89" t="s">
        <v>120</v>
      </c>
      <c r="P89" t="s">
        <v>120</v>
      </c>
      <c r="Q89" t="s">
        <v>120</v>
      </c>
      <c r="R89" t="s">
        <v>120</v>
      </c>
      <c r="S89" t="s">
        <v>120</v>
      </c>
      <c r="T89" t="s">
        <v>120</v>
      </c>
      <c r="U89" t="s">
        <v>120</v>
      </c>
      <c r="V89" t="s">
        <v>120</v>
      </c>
      <c r="W89" t="s">
        <v>120</v>
      </c>
      <c r="X89" t="s">
        <v>120</v>
      </c>
      <c r="Y89" t="s">
        <v>120</v>
      </c>
      <c r="Z89" t="s">
        <v>120</v>
      </c>
      <c r="AA89" t="s">
        <v>120</v>
      </c>
      <c r="AB89" t="s">
        <v>120</v>
      </c>
      <c r="AC89" t="s">
        <v>120</v>
      </c>
      <c r="AD89" t="s">
        <v>120</v>
      </c>
      <c r="AE89" t="s">
        <v>120</v>
      </c>
      <c r="AF89" t="s">
        <v>120</v>
      </c>
      <c r="AG89" t="s">
        <v>120</v>
      </c>
      <c r="AH89" t="s">
        <v>120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6500</v>
      </c>
      <c r="AP89">
        <v>0</v>
      </c>
      <c r="AQ89">
        <v>0</v>
      </c>
      <c r="AR89">
        <v>109.68750000000001</v>
      </c>
      <c r="AS89">
        <v>0</v>
      </c>
    </row>
    <row r="90" spans="1:45" x14ac:dyDescent="0.25">
      <c r="A90" t="s">
        <v>355</v>
      </c>
      <c r="B90" t="s">
        <v>356</v>
      </c>
      <c r="C90" t="s">
        <v>357</v>
      </c>
      <c r="D90" t="s">
        <v>347</v>
      </c>
      <c r="E90" t="s">
        <v>120</v>
      </c>
      <c r="F90" t="s">
        <v>120</v>
      </c>
      <c r="G90" t="s">
        <v>120</v>
      </c>
      <c r="H90" t="s">
        <v>120</v>
      </c>
      <c r="I90" t="s">
        <v>120</v>
      </c>
      <c r="J90" t="s">
        <v>120</v>
      </c>
      <c r="K90" t="s">
        <v>120</v>
      </c>
      <c r="L90" t="s">
        <v>120</v>
      </c>
      <c r="M90" t="s">
        <v>120</v>
      </c>
      <c r="N90" t="s">
        <v>120</v>
      </c>
      <c r="O90" t="s">
        <v>120</v>
      </c>
      <c r="P90" t="s">
        <v>120</v>
      </c>
      <c r="Q90" t="s">
        <v>120</v>
      </c>
      <c r="R90" t="s">
        <v>120</v>
      </c>
      <c r="S90" t="s">
        <v>326</v>
      </c>
      <c r="T90" t="s">
        <v>326</v>
      </c>
      <c r="U90" t="s">
        <v>120</v>
      </c>
      <c r="V90" t="s">
        <v>120</v>
      </c>
      <c r="W90" t="s">
        <v>120</v>
      </c>
      <c r="X90" t="s">
        <v>120</v>
      </c>
      <c r="Y90" t="s">
        <v>120</v>
      </c>
      <c r="Z90" t="s">
        <v>120</v>
      </c>
      <c r="AA90" t="s">
        <v>120</v>
      </c>
      <c r="AB90" t="s">
        <v>120</v>
      </c>
      <c r="AC90" t="s">
        <v>120</v>
      </c>
      <c r="AD90" t="s">
        <v>120</v>
      </c>
      <c r="AE90" t="s">
        <v>120</v>
      </c>
      <c r="AF90" t="s">
        <v>120</v>
      </c>
      <c r="AG90" t="s">
        <v>120</v>
      </c>
      <c r="AH90" t="s">
        <v>120</v>
      </c>
      <c r="AJ90">
        <v>0</v>
      </c>
      <c r="AK90">
        <v>4</v>
      </c>
      <c r="AL90">
        <v>0</v>
      </c>
      <c r="AM90">
        <v>4</v>
      </c>
      <c r="AN90">
        <v>0</v>
      </c>
      <c r="AO90">
        <v>8000</v>
      </c>
      <c r="AP90">
        <v>4</v>
      </c>
      <c r="AQ90">
        <v>0</v>
      </c>
      <c r="AR90">
        <v>135</v>
      </c>
      <c r="AS90">
        <v>400</v>
      </c>
    </row>
    <row r="91" spans="1:45" x14ac:dyDescent="0.25">
      <c r="A91" t="s">
        <v>358</v>
      </c>
      <c r="B91" t="s">
        <v>359</v>
      </c>
      <c r="C91" t="s">
        <v>279</v>
      </c>
      <c r="D91" t="s">
        <v>347</v>
      </c>
      <c r="E91" t="s">
        <v>120</v>
      </c>
      <c r="F91" t="s">
        <v>120</v>
      </c>
      <c r="G91" t="s">
        <v>120</v>
      </c>
      <c r="H91" t="s">
        <v>120</v>
      </c>
      <c r="I91" t="s">
        <v>120</v>
      </c>
      <c r="J91" t="s">
        <v>120</v>
      </c>
      <c r="K91" t="s">
        <v>120</v>
      </c>
      <c r="L91" t="s">
        <v>120</v>
      </c>
      <c r="M91" t="s">
        <v>120</v>
      </c>
      <c r="N91" t="s">
        <v>120</v>
      </c>
      <c r="O91" t="s">
        <v>120</v>
      </c>
      <c r="P91" t="s">
        <v>120</v>
      </c>
      <c r="Q91" t="s">
        <v>120</v>
      </c>
      <c r="R91" t="s">
        <v>120</v>
      </c>
      <c r="S91" t="s">
        <v>120</v>
      </c>
      <c r="T91" t="s">
        <v>120</v>
      </c>
      <c r="U91" t="s">
        <v>120</v>
      </c>
      <c r="V91" t="s">
        <v>120</v>
      </c>
      <c r="W91" t="s">
        <v>120</v>
      </c>
      <c r="X91" t="s">
        <v>120</v>
      </c>
      <c r="Y91" t="s">
        <v>120</v>
      </c>
      <c r="Z91" t="s">
        <v>120</v>
      </c>
      <c r="AA91" t="s">
        <v>120</v>
      </c>
      <c r="AB91" t="s">
        <v>120</v>
      </c>
      <c r="AC91" t="s">
        <v>120</v>
      </c>
      <c r="AD91" t="s">
        <v>120</v>
      </c>
      <c r="AE91" t="s">
        <v>120</v>
      </c>
      <c r="AF91" t="s">
        <v>120</v>
      </c>
      <c r="AG91" t="s">
        <v>120</v>
      </c>
      <c r="AH91" t="s">
        <v>120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6500</v>
      </c>
      <c r="AP91">
        <v>0</v>
      </c>
      <c r="AQ91">
        <v>0</v>
      </c>
      <c r="AR91">
        <v>109.68750000000001</v>
      </c>
      <c r="AS91">
        <v>0</v>
      </c>
    </row>
    <row r="92" spans="1:45" x14ac:dyDescent="0.25">
      <c r="A92" t="s">
        <v>360</v>
      </c>
      <c r="B92" t="s">
        <v>361</v>
      </c>
      <c r="C92" t="s">
        <v>279</v>
      </c>
      <c r="D92" t="s">
        <v>347</v>
      </c>
      <c r="E92" t="s">
        <v>120</v>
      </c>
      <c r="F92" t="s">
        <v>120</v>
      </c>
      <c r="G92" t="s">
        <v>120</v>
      </c>
      <c r="H92" t="s">
        <v>285</v>
      </c>
      <c r="I92" t="s">
        <v>120</v>
      </c>
      <c r="J92" t="s">
        <v>120</v>
      </c>
      <c r="K92" t="s">
        <v>120</v>
      </c>
      <c r="L92" t="s">
        <v>120</v>
      </c>
      <c r="M92" t="s">
        <v>120</v>
      </c>
      <c r="N92" t="s">
        <v>120</v>
      </c>
      <c r="O92" t="s">
        <v>120</v>
      </c>
      <c r="P92" t="s">
        <v>120</v>
      </c>
      <c r="Q92" t="s">
        <v>120</v>
      </c>
      <c r="R92" t="s">
        <v>120</v>
      </c>
      <c r="S92" t="s">
        <v>120</v>
      </c>
      <c r="T92" t="s">
        <v>120</v>
      </c>
      <c r="U92" t="s">
        <v>120</v>
      </c>
      <c r="V92" t="s">
        <v>120</v>
      </c>
      <c r="W92" t="s">
        <v>120</v>
      </c>
      <c r="X92" t="s">
        <v>120</v>
      </c>
      <c r="Y92" t="s">
        <v>120</v>
      </c>
      <c r="Z92" t="s">
        <v>120</v>
      </c>
      <c r="AA92" t="s">
        <v>120</v>
      </c>
      <c r="AB92" t="s">
        <v>120</v>
      </c>
      <c r="AC92" t="s">
        <v>120</v>
      </c>
      <c r="AD92" t="s">
        <v>120</v>
      </c>
      <c r="AE92" t="s">
        <v>120</v>
      </c>
      <c r="AF92" t="s">
        <v>120</v>
      </c>
      <c r="AG92" t="s">
        <v>120</v>
      </c>
      <c r="AH92" t="s">
        <v>120</v>
      </c>
      <c r="AJ92">
        <v>0</v>
      </c>
      <c r="AK92">
        <v>7</v>
      </c>
      <c r="AL92">
        <v>0</v>
      </c>
      <c r="AM92">
        <v>0</v>
      </c>
      <c r="AN92">
        <v>7</v>
      </c>
      <c r="AO92">
        <v>6500</v>
      </c>
      <c r="AP92">
        <v>0</v>
      </c>
      <c r="AQ92">
        <v>767.81250000000011</v>
      </c>
      <c r="AR92">
        <v>109.68750000000001</v>
      </c>
      <c r="AS92">
        <v>0</v>
      </c>
    </row>
    <row r="93" spans="1:45" x14ac:dyDescent="0.25">
      <c r="A93" t="s">
        <v>362</v>
      </c>
      <c r="B93" t="s">
        <v>363</v>
      </c>
      <c r="C93" t="s">
        <v>279</v>
      </c>
      <c r="D93" t="s">
        <v>347</v>
      </c>
      <c r="E93" t="s">
        <v>120</v>
      </c>
      <c r="F93" t="s">
        <v>120</v>
      </c>
      <c r="G93" t="s">
        <v>120</v>
      </c>
      <c r="H93" t="s">
        <v>120</v>
      </c>
      <c r="I93" t="s">
        <v>120</v>
      </c>
      <c r="J93" t="s">
        <v>120</v>
      </c>
      <c r="K93" t="s">
        <v>120</v>
      </c>
      <c r="L93" t="s">
        <v>120</v>
      </c>
      <c r="M93" t="s">
        <v>120</v>
      </c>
      <c r="N93" t="s">
        <v>120</v>
      </c>
      <c r="O93" t="s">
        <v>120</v>
      </c>
      <c r="P93" t="s">
        <v>120</v>
      </c>
      <c r="Q93" t="s">
        <v>120</v>
      </c>
      <c r="R93" t="s">
        <v>120</v>
      </c>
      <c r="S93" t="s">
        <v>120</v>
      </c>
      <c r="T93" t="s">
        <v>120</v>
      </c>
      <c r="U93" t="s">
        <v>120</v>
      </c>
      <c r="V93" t="s">
        <v>120</v>
      </c>
      <c r="W93" t="s">
        <v>120</v>
      </c>
      <c r="X93" t="s">
        <v>120</v>
      </c>
      <c r="Y93" t="s">
        <v>120</v>
      </c>
      <c r="Z93" t="s">
        <v>120</v>
      </c>
      <c r="AA93" t="s">
        <v>120</v>
      </c>
      <c r="AB93" t="s">
        <v>120</v>
      </c>
      <c r="AC93" t="s">
        <v>120</v>
      </c>
      <c r="AD93" t="s">
        <v>120</v>
      </c>
      <c r="AE93" t="s">
        <v>120</v>
      </c>
      <c r="AF93" t="s">
        <v>120</v>
      </c>
      <c r="AG93" t="s">
        <v>120</v>
      </c>
      <c r="AH93" t="s">
        <v>120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6500</v>
      </c>
      <c r="AP93">
        <v>0</v>
      </c>
      <c r="AQ93">
        <v>0</v>
      </c>
      <c r="AR93">
        <v>109.68750000000001</v>
      </c>
      <c r="AS93">
        <v>0</v>
      </c>
    </row>
    <row r="94" spans="1:45" x14ac:dyDescent="0.25">
      <c r="A94" t="s">
        <v>364</v>
      </c>
      <c r="B94" t="s">
        <v>365</v>
      </c>
      <c r="C94" t="s">
        <v>279</v>
      </c>
      <c r="D94" t="s">
        <v>347</v>
      </c>
      <c r="E94" t="s">
        <v>120</v>
      </c>
      <c r="F94" t="s">
        <v>120</v>
      </c>
      <c r="G94" t="s">
        <v>120</v>
      </c>
      <c r="H94" t="s">
        <v>120</v>
      </c>
      <c r="I94" t="s">
        <v>120</v>
      </c>
      <c r="J94" t="s">
        <v>120</v>
      </c>
      <c r="K94" t="s">
        <v>120</v>
      </c>
      <c r="L94" t="s">
        <v>120</v>
      </c>
      <c r="M94" t="s">
        <v>120</v>
      </c>
      <c r="N94" t="s">
        <v>120</v>
      </c>
      <c r="O94" t="s">
        <v>120</v>
      </c>
      <c r="P94" t="s">
        <v>120</v>
      </c>
      <c r="Q94" t="s">
        <v>120</v>
      </c>
      <c r="R94" t="s">
        <v>120</v>
      </c>
      <c r="S94" t="s">
        <v>120</v>
      </c>
      <c r="T94" t="s">
        <v>285</v>
      </c>
      <c r="U94" t="s">
        <v>120</v>
      </c>
      <c r="V94" t="s">
        <v>120</v>
      </c>
      <c r="W94" t="s">
        <v>120</v>
      </c>
      <c r="X94" t="s">
        <v>120</v>
      </c>
      <c r="Y94" t="s">
        <v>120</v>
      </c>
      <c r="Z94" t="s">
        <v>120</v>
      </c>
      <c r="AA94" t="s">
        <v>120</v>
      </c>
      <c r="AB94" t="s">
        <v>120</v>
      </c>
      <c r="AC94" t="s">
        <v>120</v>
      </c>
      <c r="AD94" t="s">
        <v>120</v>
      </c>
      <c r="AE94" t="s">
        <v>285</v>
      </c>
      <c r="AF94" t="s">
        <v>141</v>
      </c>
      <c r="AG94" t="s">
        <v>141</v>
      </c>
      <c r="AH94" t="s">
        <v>120</v>
      </c>
      <c r="AJ94">
        <v>0</v>
      </c>
      <c r="AK94">
        <v>30</v>
      </c>
      <c r="AL94">
        <v>16</v>
      </c>
      <c r="AM94">
        <v>0</v>
      </c>
      <c r="AN94">
        <v>14</v>
      </c>
      <c r="AO94">
        <v>6500</v>
      </c>
      <c r="AP94">
        <v>16</v>
      </c>
      <c r="AQ94">
        <v>1535.6250000000002</v>
      </c>
      <c r="AR94">
        <v>109.68750000000001</v>
      </c>
      <c r="AS94">
        <v>1300</v>
      </c>
    </row>
    <row r="95" spans="1:45" x14ac:dyDescent="0.25">
      <c r="A95" t="s">
        <v>366</v>
      </c>
      <c r="B95" t="s">
        <v>367</v>
      </c>
      <c r="C95" t="s">
        <v>368</v>
      </c>
      <c r="D95" t="s">
        <v>347</v>
      </c>
      <c r="E95" t="s">
        <v>120</v>
      </c>
      <c r="F95" t="s">
        <v>285</v>
      </c>
      <c r="G95" t="s">
        <v>120</v>
      </c>
      <c r="H95" t="s">
        <v>285</v>
      </c>
      <c r="I95" t="s">
        <v>120</v>
      </c>
      <c r="J95" t="s">
        <v>120</v>
      </c>
      <c r="K95" t="s">
        <v>120</v>
      </c>
      <c r="L95" t="s">
        <v>120</v>
      </c>
      <c r="M95" t="s">
        <v>120</v>
      </c>
      <c r="N95" t="s">
        <v>120</v>
      </c>
      <c r="O95" t="s">
        <v>120</v>
      </c>
      <c r="P95" t="s">
        <v>120</v>
      </c>
      <c r="Q95" t="s">
        <v>120</v>
      </c>
      <c r="R95" t="s">
        <v>120</v>
      </c>
      <c r="S95" t="s">
        <v>120</v>
      </c>
      <c r="T95" t="s">
        <v>120</v>
      </c>
      <c r="U95" t="s">
        <v>120</v>
      </c>
      <c r="V95" t="s">
        <v>120</v>
      </c>
      <c r="W95" t="s">
        <v>120</v>
      </c>
      <c r="X95" t="s">
        <v>120</v>
      </c>
      <c r="Y95" t="s">
        <v>120</v>
      </c>
      <c r="Z95" t="s">
        <v>120</v>
      </c>
      <c r="AA95" t="s">
        <v>120</v>
      </c>
      <c r="AB95" t="s">
        <v>120</v>
      </c>
      <c r="AC95" t="s">
        <v>120</v>
      </c>
      <c r="AD95" t="s">
        <v>120</v>
      </c>
      <c r="AE95" t="s">
        <v>285</v>
      </c>
      <c r="AF95" t="s">
        <v>120</v>
      </c>
      <c r="AG95" t="s">
        <v>120</v>
      </c>
      <c r="AH95" t="s">
        <v>120</v>
      </c>
      <c r="AJ95">
        <v>0</v>
      </c>
      <c r="AK95">
        <v>21</v>
      </c>
      <c r="AL95">
        <v>0</v>
      </c>
      <c r="AM95">
        <v>0</v>
      </c>
      <c r="AN95">
        <v>21</v>
      </c>
      <c r="AO95">
        <v>8000</v>
      </c>
      <c r="AP95">
        <v>0</v>
      </c>
      <c r="AQ95">
        <v>2835</v>
      </c>
      <c r="AR95">
        <v>135</v>
      </c>
      <c r="AS95">
        <v>0</v>
      </c>
    </row>
    <row r="96" spans="1:45" x14ac:dyDescent="0.25">
      <c r="A96" t="s">
        <v>369</v>
      </c>
      <c r="B96" t="s">
        <v>370</v>
      </c>
      <c r="C96" t="s">
        <v>279</v>
      </c>
      <c r="D96" t="s">
        <v>347</v>
      </c>
      <c r="E96" t="s">
        <v>120</v>
      </c>
      <c r="F96" t="s">
        <v>120</v>
      </c>
      <c r="G96" t="s">
        <v>120</v>
      </c>
      <c r="H96" t="s">
        <v>120</v>
      </c>
      <c r="I96" t="s">
        <v>120</v>
      </c>
      <c r="J96" t="s">
        <v>120</v>
      </c>
      <c r="K96" t="s">
        <v>120</v>
      </c>
      <c r="L96" t="s">
        <v>120</v>
      </c>
      <c r="M96" t="s">
        <v>120</v>
      </c>
      <c r="N96" t="s">
        <v>120</v>
      </c>
      <c r="O96" t="s">
        <v>120</v>
      </c>
      <c r="P96" t="s">
        <v>120</v>
      </c>
      <c r="Q96" t="s">
        <v>120</v>
      </c>
      <c r="R96" t="s">
        <v>120</v>
      </c>
      <c r="S96" t="s">
        <v>120</v>
      </c>
      <c r="T96" t="s">
        <v>120</v>
      </c>
      <c r="U96" t="s">
        <v>120</v>
      </c>
      <c r="V96" t="s">
        <v>120</v>
      </c>
      <c r="W96" t="s">
        <v>120</v>
      </c>
      <c r="X96" t="s">
        <v>120</v>
      </c>
      <c r="Y96" t="s">
        <v>120</v>
      </c>
      <c r="Z96" t="s">
        <v>120</v>
      </c>
      <c r="AA96" t="s">
        <v>120</v>
      </c>
      <c r="AB96" t="s">
        <v>120</v>
      </c>
      <c r="AC96" t="s">
        <v>120</v>
      </c>
      <c r="AD96" t="s">
        <v>120</v>
      </c>
      <c r="AE96" t="s">
        <v>141</v>
      </c>
      <c r="AG96" t="s">
        <v>120</v>
      </c>
      <c r="AH96" t="s">
        <v>120</v>
      </c>
      <c r="AJ96">
        <v>0</v>
      </c>
      <c r="AK96">
        <v>8</v>
      </c>
      <c r="AL96">
        <v>8</v>
      </c>
      <c r="AM96">
        <v>0</v>
      </c>
      <c r="AN96">
        <v>0</v>
      </c>
      <c r="AO96">
        <v>7500</v>
      </c>
      <c r="AP96">
        <v>8</v>
      </c>
      <c r="AQ96">
        <v>0</v>
      </c>
      <c r="AR96">
        <v>126.56250000000001</v>
      </c>
      <c r="AS96">
        <v>750</v>
      </c>
    </row>
    <row r="97" spans="1:45" x14ac:dyDescent="0.25">
      <c r="A97" t="s">
        <v>371</v>
      </c>
      <c r="B97" t="s">
        <v>372</v>
      </c>
      <c r="C97" t="s">
        <v>368</v>
      </c>
      <c r="D97" t="s">
        <v>347</v>
      </c>
      <c r="E97" t="s">
        <v>120</v>
      </c>
      <c r="F97" t="s">
        <v>120</v>
      </c>
      <c r="G97" t="s">
        <v>120</v>
      </c>
      <c r="H97" t="s">
        <v>120</v>
      </c>
      <c r="I97" t="s">
        <v>120</v>
      </c>
      <c r="J97" t="s">
        <v>120</v>
      </c>
      <c r="K97" t="s">
        <v>120</v>
      </c>
      <c r="L97" t="s">
        <v>120</v>
      </c>
      <c r="M97" t="s">
        <v>120</v>
      </c>
      <c r="N97" t="s">
        <v>120</v>
      </c>
      <c r="O97" t="s">
        <v>120</v>
      </c>
      <c r="P97" t="s">
        <v>120</v>
      </c>
      <c r="Q97" t="s">
        <v>120</v>
      </c>
      <c r="R97" t="s">
        <v>120</v>
      </c>
      <c r="S97" t="s">
        <v>120</v>
      </c>
      <c r="T97" t="s">
        <v>120</v>
      </c>
      <c r="U97" t="s">
        <v>120</v>
      </c>
      <c r="V97" t="s">
        <v>120</v>
      </c>
      <c r="W97" t="s">
        <v>120</v>
      </c>
      <c r="X97" t="s">
        <v>120</v>
      </c>
      <c r="Y97" t="s">
        <v>120</v>
      </c>
      <c r="Z97" t="s">
        <v>120</v>
      </c>
      <c r="AA97" t="s">
        <v>120</v>
      </c>
      <c r="AB97" t="s">
        <v>120</v>
      </c>
      <c r="AC97" t="s">
        <v>120</v>
      </c>
      <c r="AD97" t="s">
        <v>120</v>
      </c>
      <c r="AE97" t="s">
        <v>120</v>
      </c>
      <c r="AF97" t="s">
        <v>120</v>
      </c>
      <c r="AG97" t="s">
        <v>120</v>
      </c>
      <c r="AH97" t="s">
        <v>120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8000</v>
      </c>
      <c r="AP97">
        <v>0</v>
      </c>
      <c r="AQ97">
        <v>0</v>
      </c>
      <c r="AR97">
        <v>135</v>
      </c>
      <c r="AS97">
        <v>0</v>
      </c>
    </row>
    <row r="98" spans="1:45" x14ac:dyDescent="0.25">
      <c r="A98" t="s">
        <v>373</v>
      </c>
      <c r="B98" t="s">
        <v>374</v>
      </c>
      <c r="C98" t="s">
        <v>279</v>
      </c>
      <c r="D98" t="s">
        <v>347</v>
      </c>
      <c r="E98" t="s">
        <v>120</v>
      </c>
      <c r="F98" t="s">
        <v>120</v>
      </c>
      <c r="G98" t="s">
        <v>120</v>
      </c>
      <c r="H98" t="s">
        <v>120</v>
      </c>
      <c r="I98" t="s">
        <v>120</v>
      </c>
      <c r="J98" t="s">
        <v>120</v>
      </c>
      <c r="K98" t="s">
        <v>120</v>
      </c>
      <c r="L98" t="s">
        <v>120</v>
      </c>
      <c r="M98" t="s">
        <v>120</v>
      </c>
      <c r="N98" t="s">
        <v>120</v>
      </c>
      <c r="O98" t="s">
        <v>120</v>
      </c>
      <c r="P98" t="s">
        <v>120</v>
      </c>
      <c r="Q98" t="s">
        <v>120</v>
      </c>
      <c r="R98" t="s">
        <v>120</v>
      </c>
      <c r="S98" t="s">
        <v>120</v>
      </c>
      <c r="T98" t="s">
        <v>120</v>
      </c>
      <c r="U98" t="s">
        <v>120</v>
      </c>
      <c r="V98" t="s">
        <v>120</v>
      </c>
      <c r="W98" t="s">
        <v>120</v>
      </c>
      <c r="X98" t="s">
        <v>120</v>
      </c>
      <c r="Y98" t="s">
        <v>120</v>
      </c>
      <c r="Z98" t="s">
        <v>120</v>
      </c>
      <c r="AA98" t="s">
        <v>120</v>
      </c>
      <c r="AB98" t="s">
        <v>120</v>
      </c>
      <c r="AC98" t="s">
        <v>120</v>
      </c>
      <c r="AD98" t="s">
        <v>120</v>
      </c>
      <c r="AE98" t="s">
        <v>120</v>
      </c>
      <c r="AF98" t="s">
        <v>120</v>
      </c>
      <c r="AG98" t="s">
        <v>120</v>
      </c>
      <c r="AH98" t="s">
        <v>120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6500</v>
      </c>
      <c r="AP98">
        <v>0</v>
      </c>
      <c r="AQ98">
        <v>0</v>
      </c>
      <c r="AR98">
        <v>109.68750000000001</v>
      </c>
      <c r="AS98">
        <v>0</v>
      </c>
    </row>
    <row r="99" spans="1:45" x14ac:dyDescent="0.25">
      <c r="A99" t="s">
        <v>375</v>
      </c>
      <c r="B99" t="s">
        <v>376</v>
      </c>
      <c r="C99" t="s">
        <v>279</v>
      </c>
      <c r="D99" t="s">
        <v>347</v>
      </c>
      <c r="E99" t="s">
        <v>120</v>
      </c>
      <c r="F99" t="s">
        <v>120</v>
      </c>
      <c r="G99" t="s">
        <v>120</v>
      </c>
      <c r="H99" t="s">
        <v>120</v>
      </c>
      <c r="I99" t="s">
        <v>120</v>
      </c>
      <c r="J99" t="s">
        <v>120</v>
      </c>
      <c r="K99" t="s">
        <v>120</v>
      </c>
      <c r="L99" t="s">
        <v>120</v>
      </c>
      <c r="M99" t="s">
        <v>120</v>
      </c>
      <c r="N99" t="s">
        <v>120</v>
      </c>
      <c r="O99" t="s">
        <v>120</v>
      </c>
      <c r="P99" t="s">
        <v>120</v>
      </c>
      <c r="Q99" t="s">
        <v>120</v>
      </c>
      <c r="R99" t="s">
        <v>120</v>
      </c>
      <c r="S99" t="s">
        <v>120</v>
      </c>
      <c r="T99" t="s">
        <v>120</v>
      </c>
      <c r="U99" t="s">
        <v>120</v>
      </c>
      <c r="V99" t="s">
        <v>120</v>
      </c>
      <c r="W99" t="s">
        <v>120</v>
      </c>
      <c r="X99" t="s">
        <v>120</v>
      </c>
      <c r="Y99" t="s">
        <v>120</v>
      </c>
      <c r="Z99" t="s">
        <v>120</v>
      </c>
      <c r="AA99" t="s">
        <v>120</v>
      </c>
      <c r="AB99" t="s">
        <v>120</v>
      </c>
      <c r="AC99" t="s">
        <v>120</v>
      </c>
      <c r="AD99" t="s">
        <v>120</v>
      </c>
      <c r="AE99" t="s">
        <v>120</v>
      </c>
      <c r="AF99" t="s">
        <v>120</v>
      </c>
      <c r="AG99" t="s">
        <v>120</v>
      </c>
      <c r="AH99" t="s">
        <v>120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6500</v>
      </c>
      <c r="AP99">
        <v>0</v>
      </c>
      <c r="AQ99">
        <v>0</v>
      </c>
      <c r="AR99">
        <v>109.68750000000001</v>
      </c>
      <c r="AS99">
        <v>0</v>
      </c>
    </row>
    <row r="100" spans="1:45" x14ac:dyDescent="0.25">
      <c r="A100" t="s">
        <v>377</v>
      </c>
      <c r="B100" t="s">
        <v>378</v>
      </c>
      <c r="C100" t="s">
        <v>379</v>
      </c>
      <c r="D100" t="s">
        <v>347</v>
      </c>
      <c r="E100" t="s">
        <v>120</v>
      </c>
      <c r="F100" t="s">
        <v>120</v>
      </c>
      <c r="G100" t="s">
        <v>120</v>
      </c>
      <c r="H100" t="s">
        <v>120</v>
      </c>
      <c r="I100" t="s">
        <v>120</v>
      </c>
      <c r="J100" t="s">
        <v>120</v>
      </c>
      <c r="K100" t="s">
        <v>120</v>
      </c>
      <c r="L100" t="s">
        <v>120</v>
      </c>
      <c r="M100" t="s">
        <v>120</v>
      </c>
      <c r="N100" t="s">
        <v>120</v>
      </c>
      <c r="O100" t="s">
        <v>120</v>
      </c>
      <c r="P100" t="s">
        <v>120</v>
      </c>
      <c r="Q100" t="s">
        <v>120</v>
      </c>
      <c r="R100" t="s">
        <v>120</v>
      </c>
      <c r="S100" t="s">
        <v>120</v>
      </c>
      <c r="T100" t="s">
        <v>120</v>
      </c>
      <c r="U100" t="s">
        <v>120</v>
      </c>
      <c r="V100" t="s">
        <v>120</v>
      </c>
      <c r="W100" t="s">
        <v>120</v>
      </c>
      <c r="X100" t="s">
        <v>120</v>
      </c>
      <c r="Y100" t="s">
        <v>120</v>
      </c>
      <c r="Z100" t="s">
        <v>120</v>
      </c>
      <c r="AA100" t="s">
        <v>120</v>
      </c>
      <c r="AB100" t="s">
        <v>120</v>
      </c>
      <c r="AC100" t="s">
        <v>120</v>
      </c>
      <c r="AD100" t="s">
        <v>120</v>
      </c>
      <c r="AE100" t="s">
        <v>120</v>
      </c>
      <c r="AF100" t="s">
        <v>120</v>
      </c>
      <c r="AG100" t="s">
        <v>120</v>
      </c>
      <c r="AH100" t="s">
        <v>120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6500</v>
      </c>
      <c r="AP100">
        <v>0</v>
      </c>
      <c r="AQ100">
        <v>0</v>
      </c>
      <c r="AR100">
        <v>109.68750000000001</v>
      </c>
      <c r="AS100">
        <v>0</v>
      </c>
    </row>
    <row r="101" spans="1:45" x14ac:dyDescent="0.25">
      <c r="A101" t="s">
        <v>380</v>
      </c>
      <c r="B101" t="s">
        <v>381</v>
      </c>
      <c r="C101" t="s">
        <v>354</v>
      </c>
      <c r="D101" t="s">
        <v>347</v>
      </c>
      <c r="E101" t="s">
        <v>120</v>
      </c>
      <c r="F101" t="s">
        <v>120</v>
      </c>
      <c r="G101" t="s">
        <v>120</v>
      </c>
      <c r="H101" t="s">
        <v>120</v>
      </c>
      <c r="I101" t="s">
        <v>120</v>
      </c>
      <c r="J101" t="s">
        <v>120</v>
      </c>
      <c r="K101" t="s">
        <v>120</v>
      </c>
      <c r="L101" t="s">
        <v>120</v>
      </c>
      <c r="M101" t="s">
        <v>120</v>
      </c>
      <c r="N101" t="s">
        <v>120</v>
      </c>
      <c r="O101" t="s">
        <v>120</v>
      </c>
      <c r="P101" t="s">
        <v>120</v>
      </c>
      <c r="Q101" t="s">
        <v>120</v>
      </c>
      <c r="R101" t="s">
        <v>120</v>
      </c>
      <c r="S101" t="s">
        <v>120</v>
      </c>
      <c r="T101" t="s">
        <v>120</v>
      </c>
      <c r="U101" t="s">
        <v>120</v>
      </c>
      <c r="V101" t="s">
        <v>120</v>
      </c>
      <c r="W101" t="s">
        <v>120</v>
      </c>
      <c r="X101" t="s">
        <v>120</v>
      </c>
      <c r="Y101" t="s">
        <v>120</v>
      </c>
      <c r="Z101" t="s">
        <v>120</v>
      </c>
      <c r="AA101" t="s">
        <v>120</v>
      </c>
      <c r="AB101" t="s">
        <v>120</v>
      </c>
      <c r="AC101" t="s">
        <v>120</v>
      </c>
      <c r="AD101" t="s">
        <v>120</v>
      </c>
      <c r="AE101" t="s">
        <v>120</v>
      </c>
      <c r="AF101" t="s">
        <v>120</v>
      </c>
      <c r="AG101" t="s">
        <v>120</v>
      </c>
      <c r="AH101" t="s">
        <v>120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6500</v>
      </c>
      <c r="AP101">
        <v>0</v>
      </c>
      <c r="AQ101">
        <v>0</v>
      </c>
      <c r="AR101">
        <v>109.68750000000001</v>
      </c>
      <c r="AS101">
        <v>0</v>
      </c>
    </row>
    <row r="102" spans="1:45" x14ac:dyDescent="0.25">
      <c r="A102" t="s">
        <v>382</v>
      </c>
      <c r="B102" t="s">
        <v>383</v>
      </c>
      <c r="C102" t="s">
        <v>279</v>
      </c>
      <c r="D102" t="s">
        <v>347</v>
      </c>
      <c r="E102" t="s">
        <v>120</v>
      </c>
      <c r="F102" t="s">
        <v>120</v>
      </c>
      <c r="G102" t="s">
        <v>120</v>
      </c>
      <c r="H102" t="s">
        <v>120</v>
      </c>
      <c r="I102" t="s">
        <v>120</v>
      </c>
      <c r="J102" t="s">
        <v>120</v>
      </c>
      <c r="K102" t="s">
        <v>120</v>
      </c>
      <c r="L102" t="s">
        <v>120</v>
      </c>
      <c r="M102" t="s">
        <v>120</v>
      </c>
      <c r="N102" t="s">
        <v>120</v>
      </c>
      <c r="O102" t="s">
        <v>120</v>
      </c>
      <c r="P102" t="s">
        <v>120</v>
      </c>
      <c r="Q102" t="s">
        <v>120</v>
      </c>
      <c r="R102" t="s">
        <v>120</v>
      </c>
      <c r="S102" t="s">
        <v>120</v>
      </c>
      <c r="T102" t="s">
        <v>120</v>
      </c>
      <c r="U102" t="s">
        <v>120</v>
      </c>
      <c r="V102" t="s">
        <v>120</v>
      </c>
      <c r="W102" t="s">
        <v>120</v>
      </c>
      <c r="X102" t="s">
        <v>120</v>
      </c>
      <c r="Y102" t="s">
        <v>120</v>
      </c>
      <c r="Z102" t="s">
        <v>120</v>
      </c>
      <c r="AA102" t="s">
        <v>120</v>
      </c>
      <c r="AB102" t="s">
        <v>120</v>
      </c>
      <c r="AC102" t="s">
        <v>120</v>
      </c>
      <c r="AD102" t="s">
        <v>120</v>
      </c>
      <c r="AE102" t="s">
        <v>120</v>
      </c>
      <c r="AF102" t="s">
        <v>120</v>
      </c>
      <c r="AG102" t="s">
        <v>120</v>
      </c>
      <c r="AH102" t="s">
        <v>120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6500</v>
      </c>
      <c r="AP102">
        <v>0</v>
      </c>
      <c r="AQ102">
        <v>0</v>
      </c>
      <c r="AR102">
        <v>109.68750000000001</v>
      </c>
      <c r="AS102">
        <v>0</v>
      </c>
    </row>
    <row r="103" spans="1:45" x14ac:dyDescent="0.25">
      <c r="A103" t="s">
        <v>384</v>
      </c>
      <c r="B103" t="s">
        <v>385</v>
      </c>
      <c r="C103" t="s">
        <v>279</v>
      </c>
      <c r="D103" t="s">
        <v>347</v>
      </c>
      <c r="E103" t="s">
        <v>120</v>
      </c>
      <c r="F103" t="s">
        <v>120</v>
      </c>
      <c r="G103" t="s">
        <v>120</v>
      </c>
      <c r="H103" t="s">
        <v>120</v>
      </c>
      <c r="I103" t="s">
        <v>120</v>
      </c>
      <c r="J103" t="s">
        <v>120</v>
      </c>
      <c r="K103" t="s">
        <v>120</v>
      </c>
      <c r="L103" t="s">
        <v>120</v>
      </c>
      <c r="M103" t="s">
        <v>120</v>
      </c>
      <c r="N103" t="s">
        <v>120</v>
      </c>
      <c r="O103" t="s">
        <v>120</v>
      </c>
      <c r="P103" t="s">
        <v>120</v>
      </c>
      <c r="Q103" t="s">
        <v>120</v>
      </c>
      <c r="R103" t="s">
        <v>120</v>
      </c>
      <c r="S103" t="s">
        <v>120</v>
      </c>
      <c r="T103" t="s">
        <v>120</v>
      </c>
      <c r="U103" t="s">
        <v>120</v>
      </c>
      <c r="V103" t="s">
        <v>120</v>
      </c>
      <c r="W103" t="s">
        <v>120</v>
      </c>
      <c r="X103" t="s">
        <v>120</v>
      </c>
      <c r="Y103" t="s">
        <v>120</v>
      </c>
      <c r="Z103" t="s">
        <v>120</v>
      </c>
      <c r="AA103" t="s">
        <v>120</v>
      </c>
      <c r="AB103" t="s">
        <v>120</v>
      </c>
      <c r="AC103" t="s">
        <v>120</v>
      </c>
      <c r="AD103" t="s">
        <v>120</v>
      </c>
      <c r="AE103" t="s">
        <v>120</v>
      </c>
      <c r="AF103" t="s">
        <v>120</v>
      </c>
      <c r="AG103" t="s">
        <v>120</v>
      </c>
      <c r="AH103" t="s">
        <v>120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6500</v>
      </c>
      <c r="AP103">
        <v>0</v>
      </c>
      <c r="AQ103">
        <v>0</v>
      </c>
      <c r="AR103">
        <v>109.68750000000001</v>
      </c>
      <c r="AS103">
        <v>0</v>
      </c>
    </row>
    <row r="104" spans="1:45" x14ac:dyDescent="0.25">
      <c r="A104" t="s">
        <v>386</v>
      </c>
      <c r="B104" t="s">
        <v>387</v>
      </c>
      <c r="C104" t="s">
        <v>279</v>
      </c>
      <c r="D104" t="s">
        <v>347</v>
      </c>
      <c r="E104" t="s">
        <v>120</v>
      </c>
      <c r="F104" t="s">
        <v>120</v>
      </c>
      <c r="G104" t="s">
        <v>120</v>
      </c>
      <c r="H104" t="s">
        <v>120</v>
      </c>
      <c r="I104" t="s">
        <v>120</v>
      </c>
      <c r="J104" t="s">
        <v>120</v>
      </c>
      <c r="K104" t="s">
        <v>120</v>
      </c>
      <c r="L104" t="s">
        <v>120</v>
      </c>
      <c r="M104" t="s">
        <v>120</v>
      </c>
      <c r="N104" t="s">
        <v>120</v>
      </c>
      <c r="O104" t="s">
        <v>120</v>
      </c>
      <c r="P104" t="s">
        <v>120</v>
      </c>
      <c r="Q104" t="s">
        <v>120</v>
      </c>
      <c r="R104" t="s">
        <v>120</v>
      </c>
      <c r="S104" t="s">
        <v>120</v>
      </c>
      <c r="T104" t="s">
        <v>120</v>
      </c>
      <c r="U104" t="s">
        <v>120</v>
      </c>
      <c r="V104" t="s">
        <v>120</v>
      </c>
      <c r="W104" t="s">
        <v>120</v>
      </c>
      <c r="X104" t="s">
        <v>120</v>
      </c>
      <c r="Y104" t="s">
        <v>120</v>
      </c>
      <c r="Z104" t="s">
        <v>120</v>
      </c>
      <c r="AA104" t="s">
        <v>120</v>
      </c>
      <c r="AB104" t="s">
        <v>120</v>
      </c>
      <c r="AC104" t="s">
        <v>120</v>
      </c>
      <c r="AD104" t="s">
        <v>120</v>
      </c>
      <c r="AE104" t="s">
        <v>120</v>
      </c>
      <c r="AF104" t="s">
        <v>120</v>
      </c>
      <c r="AG104" t="s">
        <v>120</v>
      </c>
      <c r="AH104" t="s">
        <v>120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6500</v>
      </c>
      <c r="AP104">
        <v>0</v>
      </c>
      <c r="AQ104">
        <v>0</v>
      </c>
      <c r="AR104">
        <v>109.68750000000001</v>
      </c>
      <c r="AS104">
        <v>0</v>
      </c>
    </row>
    <row r="105" spans="1:45" x14ac:dyDescent="0.25">
      <c r="A105" t="s">
        <v>388</v>
      </c>
      <c r="B105" t="s">
        <v>389</v>
      </c>
      <c r="C105" t="s">
        <v>354</v>
      </c>
      <c r="D105" t="s">
        <v>347</v>
      </c>
      <c r="E105" t="s">
        <v>120</v>
      </c>
      <c r="F105" t="s">
        <v>120</v>
      </c>
      <c r="G105" t="s">
        <v>120</v>
      </c>
      <c r="H105" t="s">
        <v>120</v>
      </c>
      <c r="I105" t="s">
        <v>120</v>
      </c>
      <c r="J105" t="s">
        <v>120</v>
      </c>
      <c r="K105" t="s">
        <v>120</v>
      </c>
      <c r="L105" t="s">
        <v>120</v>
      </c>
      <c r="M105" t="s">
        <v>120</v>
      </c>
      <c r="N105" t="s">
        <v>120</v>
      </c>
      <c r="O105" t="s">
        <v>120</v>
      </c>
      <c r="P105" t="s">
        <v>120</v>
      </c>
      <c r="Q105" t="s">
        <v>120</v>
      </c>
      <c r="R105" t="s">
        <v>120</v>
      </c>
      <c r="S105" t="s">
        <v>120</v>
      </c>
      <c r="T105" t="s">
        <v>120</v>
      </c>
      <c r="U105" t="s">
        <v>120</v>
      </c>
      <c r="V105" t="s">
        <v>120</v>
      </c>
      <c r="W105" t="s">
        <v>120</v>
      </c>
      <c r="X105" t="s">
        <v>120</v>
      </c>
      <c r="Y105" t="s">
        <v>120</v>
      </c>
      <c r="Z105" t="s">
        <v>120</v>
      </c>
      <c r="AA105" t="s">
        <v>120</v>
      </c>
      <c r="AB105" t="s">
        <v>120</v>
      </c>
      <c r="AC105" t="s">
        <v>120</v>
      </c>
      <c r="AD105" t="s">
        <v>120</v>
      </c>
      <c r="AE105" t="s">
        <v>120</v>
      </c>
      <c r="AF105" t="s">
        <v>120</v>
      </c>
      <c r="AG105" t="s">
        <v>120</v>
      </c>
      <c r="AH105" t="s">
        <v>120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6500</v>
      </c>
      <c r="AP105">
        <v>0</v>
      </c>
      <c r="AQ105">
        <v>0</v>
      </c>
      <c r="AR105">
        <v>109.68750000000001</v>
      </c>
      <c r="AS105">
        <v>0</v>
      </c>
    </row>
    <row r="106" spans="1:45" x14ac:dyDescent="0.25">
      <c r="A106" t="s">
        <v>390</v>
      </c>
      <c r="B106" t="s">
        <v>391</v>
      </c>
      <c r="C106" t="s">
        <v>279</v>
      </c>
      <c r="D106" t="s">
        <v>347</v>
      </c>
      <c r="E106" t="s">
        <v>120</v>
      </c>
      <c r="F106" t="s">
        <v>120</v>
      </c>
      <c r="G106" t="s">
        <v>120</v>
      </c>
      <c r="H106" t="s">
        <v>120</v>
      </c>
      <c r="I106" t="s">
        <v>120</v>
      </c>
      <c r="J106" t="s">
        <v>120</v>
      </c>
      <c r="K106" t="s">
        <v>120</v>
      </c>
      <c r="L106" t="s">
        <v>120</v>
      </c>
      <c r="M106" t="s">
        <v>120</v>
      </c>
      <c r="N106" t="s">
        <v>120</v>
      </c>
      <c r="O106" t="s">
        <v>120</v>
      </c>
      <c r="P106" t="s">
        <v>120</v>
      </c>
      <c r="Q106" t="s">
        <v>120</v>
      </c>
      <c r="R106" t="s">
        <v>120</v>
      </c>
      <c r="S106" t="s">
        <v>120</v>
      </c>
      <c r="T106" t="s">
        <v>120</v>
      </c>
      <c r="U106" t="s">
        <v>120</v>
      </c>
      <c r="V106" t="s">
        <v>120</v>
      </c>
      <c r="W106" t="s">
        <v>120</v>
      </c>
      <c r="X106" t="s">
        <v>120</v>
      </c>
      <c r="Y106" t="s">
        <v>120</v>
      </c>
      <c r="Z106" t="s">
        <v>120</v>
      </c>
      <c r="AA106" t="s">
        <v>120</v>
      </c>
      <c r="AB106" t="s">
        <v>120</v>
      </c>
      <c r="AC106" t="s">
        <v>120</v>
      </c>
      <c r="AD106" t="s">
        <v>120</v>
      </c>
      <c r="AE106" t="s">
        <v>120</v>
      </c>
      <c r="AF106" t="s">
        <v>120</v>
      </c>
      <c r="AG106" t="s">
        <v>120</v>
      </c>
      <c r="AH106" t="s">
        <v>120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6500</v>
      </c>
      <c r="AP106">
        <v>0</v>
      </c>
      <c r="AQ106">
        <v>0</v>
      </c>
      <c r="AR106">
        <v>109.68750000000001</v>
      </c>
      <c r="AS106">
        <v>0</v>
      </c>
    </row>
    <row r="107" spans="1:45" x14ac:dyDescent="0.25">
      <c r="A107" t="s">
        <v>392</v>
      </c>
      <c r="B107" t="s">
        <v>393</v>
      </c>
      <c r="C107" t="s">
        <v>279</v>
      </c>
      <c r="D107" t="s">
        <v>347</v>
      </c>
      <c r="E107" t="s">
        <v>120</v>
      </c>
      <c r="F107" t="s">
        <v>120</v>
      </c>
      <c r="G107" t="s">
        <v>120</v>
      </c>
      <c r="H107" t="s">
        <v>120</v>
      </c>
      <c r="I107" t="s">
        <v>120</v>
      </c>
      <c r="J107" t="s">
        <v>120</v>
      </c>
      <c r="K107" t="s">
        <v>120</v>
      </c>
      <c r="L107" t="s">
        <v>120</v>
      </c>
      <c r="M107" t="s">
        <v>120</v>
      </c>
      <c r="N107" t="s">
        <v>120</v>
      </c>
      <c r="O107" t="s">
        <v>120</v>
      </c>
      <c r="P107" t="s">
        <v>120</v>
      </c>
      <c r="Q107" t="s">
        <v>120</v>
      </c>
      <c r="R107" t="s">
        <v>120</v>
      </c>
      <c r="S107" t="s">
        <v>120</v>
      </c>
      <c r="T107" t="s">
        <v>120</v>
      </c>
      <c r="U107" t="s">
        <v>120</v>
      </c>
      <c r="V107" t="s">
        <v>120</v>
      </c>
      <c r="W107" t="s">
        <v>120</v>
      </c>
      <c r="X107" t="s">
        <v>120</v>
      </c>
      <c r="Y107" t="s">
        <v>120</v>
      </c>
      <c r="Z107" t="s">
        <v>120</v>
      </c>
      <c r="AA107" t="s">
        <v>120</v>
      </c>
      <c r="AB107" t="s">
        <v>120</v>
      </c>
      <c r="AC107" t="s">
        <v>120</v>
      </c>
      <c r="AD107" t="s">
        <v>120</v>
      </c>
      <c r="AE107" t="s">
        <v>120</v>
      </c>
      <c r="AF107" t="s">
        <v>120</v>
      </c>
      <c r="AG107" t="s">
        <v>120</v>
      </c>
      <c r="AH107" t="s">
        <v>120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6500</v>
      </c>
      <c r="AP107">
        <v>0</v>
      </c>
      <c r="AQ107">
        <v>0</v>
      </c>
      <c r="AR107">
        <v>109.68750000000001</v>
      </c>
      <c r="AS107">
        <v>0</v>
      </c>
    </row>
    <row r="108" spans="1:45" x14ac:dyDescent="0.25">
      <c r="A108" t="s">
        <v>394</v>
      </c>
      <c r="B108" t="s">
        <v>395</v>
      </c>
      <c r="C108" t="s">
        <v>279</v>
      </c>
      <c r="D108" t="s">
        <v>347</v>
      </c>
      <c r="E108" t="s">
        <v>120</v>
      </c>
      <c r="F108" t="s">
        <v>120</v>
      </c>
      <c r="G108" t="s">
        <v>120</v>
      </c>
      <c r="H108" t="s">
        <v>120</v>
      </c>
      <c r="I108" t="s">
        <v>120</v>
      </c>
      <c r="J108" t="s">
        <v>120</v>
      </c>
      <c r="K108" t="s">
        <v>120</v>
      </c>
      <c r="L108" t="s">
        <v>120</v>
      </c>
      <c r="M108" t="s">
        <v>120</v>
      </c>
      <c r="N108" t="s">
        <v>120</v>
      </c>
      <c r="O108" t="s">
        <v>120</v>
      </c>
      <c r="P108" t="s">
        <v>120</v>
      </c>
      <c r="Q108" t="s">
        <v>120</v>
      </c>
      <c r="R108" t="s">
        <v>120</v>
      </c>
      <c r="S108" t="s">
        <v>120</v>
      </c>
      <c r="T108" t="s">
        <v>120</v>
      </c>
      <c r="U108" t="s">
        <v>120</v>
      </c>
      <c r="V108" t="s">
        <v>120</v>
      </c>
      <c r="W108" t="s">
        <v>120</v>
      </c>
      <c r="X108" t="s">
        <v>120</v>
      </c>
      <c r="Y108" t="s">
        <v>120</v>
      </c>
      <c r="Z108" t="s">
        <v>120</v>
      </c>
      <c r="AA108" t="s">
        <v>120</v>
      </c>
      <c r="AB108" t="s">
        <v>120</v>
      </c>
      <c r="AC108" t="s">
        <v>120</v>
      </c>
      <c r="AD108" t="s">
        <v>120</v>
      </c>
      <c r="AE108" t="s">
        <v>120</v>
      </c>
      <c r="AF108" t="s">
        <v>120</v>
      </c>
      <c r="AG108" t="s">
        <v>120</v>
      </c>
      <c r="AH108" t="s">
        <v>120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5300</v>
      </c>
      <c r="AP108">
        <v>0</v>
      </c>
      <c r="AQ108">
        <v>0</v>
      </c>
      <c r="AR108">
        <v>89.4375</v>
      </c>
      <c r="AS108">
        <v>0</v>
      </c>
    </row>
    <row r="109" spans="1:45" x14ac:dyDescent="0.25">
      <c r="A109" t="s">
        <v>396</v>
      </c>
      <c r="B109" t="s">
        <v>397</v>
      </c>
      <c r="C109" t="s">
        <v>279</v>
      </c>
      <c r="D109" t="s">
        <v>347</v>
      </c>
      <c r="E109" t="s">
        <v>120</v>
      </c>
      <c r="F109" t="s">
        <v>120</v>
      </c>
      <c r="G109" t="s">
        <v>120</v>
      </c>
      <c r="H109" t="s">
        <v>120</v>
      </c>
      <c r="I109" t="s">
        <v>120</v>
      </c>
      <c r="J109" t="s">
        <v>120</v>
      </c>
      <c r="K109" t="s">
        <v>120</v>
      </c>
      <c r="L109" t="s">
        <v>120</v>
      </c>
      <c r="M109" t="s">
        <v>120</v>
      </c>
      <c r="N109" t="s">
        <v>120</v>
      </c>
      <c r="O109" t="s">
        <v>120</v>
      </c>
      <c r="P109" t="s">
        <v>120</v>
      </c>
      <c r="Q109" t="s">
        <v>120</v>
      </c>
      <c r="R109" t="s">
        <v>120</v>
      </c>
      <c r="S109" t="s">
        <v>120</v>
      </c>
      <c r="T109" t="s">
        <v>120</v>
      </c>
      <c r="U109" t="s">
        <v>120</v>
      </c>
      <c r="V109" t="s">
        <v>120</v>
      </c>
      <c r="W109" t="s">
        <v>120</v>
      </c>
      <c r="X109" t="s">
        <v>120</v>
      </c>
      <c r="Y109" t="s">
        <v>120</v>
      </c>
      <c r="Z109" t="s">
        <v>120</v>
      </c>
      <c r="AA109" t="s">
        <v>120</v>
      </c>
      <c r="AB109" t="s">
        <v>120</v>
      </c>
      <c r="AC109" t="s">
        <v>120</v>
      </c>
      <c r="AD109" t="s">
        <v>120</v>
      </c>
      <c r="AE109" t="s">
        <v>120</v>
      </c>
      <c r="AF109" t="s">
        <v>120</v>
      </c>
      <c r="AG109" t="s">
        <v>120</v>
      </c>
      <c r="AH109" t="s">
        <v>120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6500</v>
      </c>
      <c r="AP109">
        <v>0</v>
      </c>
      <c r="AQ109">
        <v>0</v>
      </c>
      <c r="AR109">
        <v>109.68750000000001</v>
      </c>
      <c r="AS109">
        <v>0</v>
      </c>
    </row>
    <row r="110" spans="1:45" x14ac:dyDescent="0.25">
      <c r="A110" t="s">
        <v>398</v>
      </c>
      <c r="B110" t="s">
        <v>399</v>
      </c>
      <c r="C110" t="s">
        <v>279</v>
      </c>
      <c r="D110" t="s">
        <v>347</v>
      </c>
      <c r="E110" t="s">
        <v>120</v>
      </c>
      <c r="F110" t="s">
        <v>120</v>
      </c>
      <c r="G110" t="s">
        <v>120</v>
      </c>
      <c r="H110" t="s">
        <v>120</v>
      </c>
      <c r="I110" t="s">
        <v>120</v>
      </c>
      <c r="J110" t="s">
        <v>120</v>
      </c>
      <c r="K110" t="s">
        <v>120</v>
      </c>
      <c r="L110" t="s">
        <v>120</v>
      </c>
      <c r="M110" t="s">
        <v>120</v>
      </c>
      <c r="N110" t="s">
        <v>120</v>
      </c>
      <c r="O110" t="s">
        <v>120</v>
      </c>
      <c r="P110" t="s">
        <v>120</v>
      </c>
      <c r="Q110" t="s">
        <v>120</v>
      </c>
      <c r="R110" t="s">
        <v>120</v>
      </c>
      <c r="S110" t="s">
        <v>120</v>
      </c>
      <c r="T110" t="s">
        <v>120</v>
      </c>
      <c r="U110" t="s">
        <v>120</v>
      </c>
      <c r="V110" t="s">
        <v>120</v>
      </c>
      <c r="W110" t="s">
        <v>120</v>
      </c>
      <c r="X110" t="s">
        <v>120</v>
      </c>
      <c r="Y110" t="s">
        <v>120</v>
      </c>
      <c r="Z110" t="s">
        <v>120</v>
      </c>
      <c r="AA110" t="s">
        <v>120</v>
      </c>
      <c r="AB110" t="s">
        <v>120</v>
      </c>
      <c r="AC110" t="s">
        <v>120</v>
      </c>
      <c r="AD110" t="s">
        <v>120</v>
      </c>
      <c r="AE110" t="s">
        <v>120</v>
      </c>
      <c r="AF110" t="s">
        <v>120</v>
      </c>
      <c r="AG110" t="s">
        <v>120</v>
      </c>
      <c r="AH110" t="s">
        <v>120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6500</v>
      </c>
      <c r="AP110">
        <v>0</v>
      </c>
      <c r="AQ110">
        <v>0</v>
      </c>
      <c r="AR110">
        <v>109.68750000000001</v>
      </c>
      <c r="AS110">
        <v>0</v>
      </c>
    </row>
    <row r="111" spans="1:45" x14ac:dyDescent="0.25">
      <c r="A111" t="s">
        <v>400</v>
      </c>
      <c r="B111" t="s">
        <v>401</v>
      </c>
      <c r="C111" t="s">
        <v>279</v>
      </c>
      <c r="D111" t="s">
        <v>347</v>
      </c>
      <c r="E111" t="s">
        <v>120</v>
      </c>
      <c r="F111" t="s">
        <v>120</v>
      </c>
      <c r="G111" t="s">
        <v>120</v>
      </c>
      <c r="H111" t="s">
        <v>120</v>
      </c>
      <c r="I111" t="s">
        <v>120</v>
      </c>
      <c r="J111" t="s">
        <v>120</v>
      </c>
      <c r="K111" t="s">
        <v>120</v>
      </c>
      <c r="L111" t="s">
        <v>120</v>
      </c>
      <c r="M111" t="s">
        <v>120</v>
      </c>
      <c r="N111" t="s">
        <v>120</v>
      </c>
      <c r="O111" t="s">
        <v>120</v>
      </c>
      <c r="P111" t="s">
        <v>120</v>
      </c>
      <c r="Q111" t="s">
        <v>120</v>
      </c>
      <c r="R111" t="s">
        <v>120</v>
      </c>
      <c r="S111" t="s">
        <v>120</v>
      </c>
      <c r="T111" t="s">
        <v>120</v>
      </c>
      <c r="U111" t="s">
        <v>120</v>
      </c>
      <c r="V111" t="s">
        <v>120</v>
      </c>
      <c r="W111" t="s">
        <v>120</v>
      </c>
      <c r="X111" t="s">
        <v>120</v>
      </c>
      <c r="Y111" t="s">
        <v>120</v>
      </c>
      <c r="Z111" t="s">
        <v>120</v>
      </c>
      <c r="AA111" t="s">
        <v>120</v>
      </c>
      <c r="AB111" t="s">
        <v>120</v>
      </c>
      <c r="AC111" t="s">
        <v>120</v>
      </c>
      <c r="AD111" t="s">
        <v>120</v>
      </c>
      <c r="AE111" t="s">
        <v>120</v>
      </c>
      <c r="AF111" t="s">
        <v>120</v>
      </c>
      <c r="AG111" t="s">
        <v>120</v>
      </c>
      <c r="AH111" t="s">
        <v>120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6500</v>
      </c>
      <c r="AP111">
        <v>0</v>
      </c>
      <c r="AQ111">
        <v>0</v>
      </c>
      <c r="AR111">
        <v>109.68750000000001</v>
      </c>
      <c r="AS111">
        <v>0</v>
      </c>
    </row>
    <row r="112" spans="1:45" x14ac:dyDescent="0.25">
      <c r="A112" t="s">
        <v>402</v>
      </c>
      <c r="B112" t="s">
        <v>403</v>
      </c>
      <c r="C112" t="s">
        <v>288</v>
      </c>
      <c r="D112" t="s">
        <v>347</v>
      </c>
      <c r="E112" t="s">
        <v>120</v>
      </c>
      <c r="F112" t="s">
        <v>120</v>
      </c>
      <c r="G112" t="s">
        <v>120</v>
      </c>
      <c r="H112" t="s">
        <v>120</v>
      </c>
      <c r="I112" t="s">
        <v>120</v>
      </c>
      <c r="J112" t="s">
        <v>120</v>
      </c>
      <c r="K112" t="s">
        <v>120</v>
      </c>
      <c r="L112" t="s">
        <v>120</v>
      </c>
      <c r="M112" t="s">
        <v>120</v>
      </c>
      <c r="N112" t="s">
        <v>120</v>
      </c>
      <c r="O112" t="s">
        <v>120</v>
      </c>
      <c r="P112" t="s">
        <v>120</v>
      </c>
      <c r="Q112" t="s">
        <v>120</v>
      </c>
      <c r="R112" t="s">
        <v>120</v>
      </c>
      <c r="S112" t="s">
        <v>120</v>
      </c>
      <c r="T112" t="s">
        <v>120</v>
      </c>
      <c r="U112" t="s">
        <v>120</v>
      </c>
      <c r="V112" t="s">
        <v>120</v>
      </c>
      <c r="W112" t="s">
        <v>120</v>
      </c>
      <c r="X112" t="s">
        <v>120</v>
      </c>
      <c r="Y112" t="s">
        <v>120</v>
      </c>
      <c r="Z112" t="s">
        <v>120</v>
      </c>
      <c r="AA112" t="s">
        <v>120</v>
      </c>
      <c r="AB112" t="s">
        <v>120</v>
      </c>
      <c r="AC112" t="s">
        <v>120</v>
      </c>
      <c r="AD112" t="s">
        <v>120</v>
      </c>
      <c r="AE112" t="s">
        <v>120</v>
      </c>
      <c r="AF112" t="s">
        <v>120</v>
      </c>
      <c r="AG112" t="s">
        <v>120</v>
      </c>
      <c r="AH112" t="s">
        <v>120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6500</v>
      </c>
      <c r="AP112">
        <v>0</v>
      </c>
      <c r="AQ112">
        <v>0</v>
      </c>
      <c r="AR112">
        <v>109.68750000000001</v>
      </c>
      <c r="AS112">
        <v>0</v>
      </c>
    </row>
    <row r="113" spans="1:45" x14ac:dyDescent="0.25">
      <c r="A113" t="s">
        <v>404</v>
      </c>
      <c r="B113" t="s">
        <v>405</v>
      </c>
      <c r="C113" t="s">
        <v>279</v>
      </c>
      <c r="D113" t="s">
        <v>347</v>
      </c>
      <c r="E113" t="s">
        <v>120</v>
      </c>
      <c r="F113" t="s">
        <v>120</v>
      </c>
      <c r="G113" t="s">
        <v>120</v>
      </c>
      <c r="H113" t="s">
        <v>120</v>
      </c>
      <c r="I113" t="s">
        <v>120</v>
      </c>
      <c r="J113" t="s">
        <v>120</v>
      </c>
      <c r="K113" t="s">
        <v>120</v>
      </c>
      <c r="L113" t="s">
        <v>120</v>
      </c>
      <c r="M113" t="s">
        <v>120</v>
      </c>
      <c r="N113" t="s">
        <v>120</v>
      </c>
      <c r="O113" t="s">
        <v>120</v>
      </c>
      <c r="P113" t="s">
        <v>120</v>
      </c>
      <c r="Q113" t="s">
        <v>120</v>
      </c>
      <c r="R113" t="s">
        <v>120</v>
      </c>
      <c r="S113" t="s">
        <v>120</v>
      </c>
      <c r="T113" t="s">
        <v>120</v>
      </c>
      <c r="U113" t="s">
        <v>120</v>
      </c>
      <c r="V113" t="s">
        <v>120</v>
      </c>
      <c r="W113" t="s">
        <v>120</v>
      </c>
      <c r="X113" t="s">
        <v>120</v>
      </c>
      <c r="Y113" t="s">
        <v>120</v>
      </c>
      <c r="Z113" t="s">
        <v>120</v>
      </c>
      <c r="AA113" t="s">
        <v>120</v>
      </c>
      <c r="AB113" t="s">
        <v>120</v>
      </c>
      <c r="AC113" t="s">
        <v>120</v>
      </c>
      <c r="AD113" t="s">
        <v>120</v>
      </c>
      <c r="AE113" t="s">
        <v>120</v>
      </c>
      <c r="AF113" t="s">
        <v>120</v>
      </c>
      <c r="AG113" t="s">
        <v>120</v>
      </c>
      <c r="AH113" t="s">
        <v>120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6500</v>
      </c>
      <c r="AP113">
        <v>0</v>
      </c>
      <c r="AQ113">
        <v>0</v>
      </c>
      <c r="AR113">
        <v>109.68750000000001</v>
      </c>
      <c r="AS113">
        <v>0</v>
      </c>
    </row>
    <row r="114" spans="1:45" x14ac:dyDescent="0.25">
      <c r="A114" t="s">
        <v>406</v>
      </c>
      <c r="B114" t="s">
        <v>407</v>
      </c>
      <c r="C114" t="s">
        <v>279</v>
      </c>
      <c r="D114" t="s">
        <v>347</v>
      </c>
      <c r="E114" t="s">
        <v>120</v>
      </c>
      <c r="F114" t="s">
        <v>120</v>
      </c>
      <c r="G114" t="s">
        <v>120</v>
      </c>
      <c r="H114" t="s">
        <v>120</v>
      </c>
      <c r="I114" t="s">
        <v>120</v>
      </c>
      <c r="J114" t="s">
        <v>120</v>
      </c>
      <c r="K114" t="s">
        <v>120</v>
      </c>
      <c r="L114" t="s">
        <v>120</v>
      </c>
      <c r="M114" t="s">
        <v>120</v>
      </c>
      <c r="N114" t="s">
        <v>120</v>
      </c>
      <c r="O114" t="s">
        <v>120</v>
      </c>
      <c r="P114" t="s">
        <v>120</v>
      </c>
      <c r="Q114" t="s">
        <v>120</v>
      </c>
      <c r="R114" t="s">
        <v>120</v>
      </c>
      <c r="S114" t="s">
        <v>120</v>
      </c>
      <c r="T114" t="s">
        <v>120</v>
      </c>
      <c r="U114" t="s">
        <v>120</v>
      </c>
      <c r="V114" t="s">
        <v>120</v>
      </c>
      <c r="W114" t="s">
        <v>120</v>
      </c>
      <c r="X114" t="s">
        <v>120</v>
      </c>
      <c r="Y114" t="s">
        <v>120</v>
      </c>
      <c r="Z114" t="s">
        <v>120</v>
      </c>
      <c r="AA114" t="s">
        <v>120</v>
      </c>
      <c r="AB114" t="s">
        <v>120</v>
      </c>
      <c r="AC114" t="s">
        <v>120</v>
      </c>
      <c r="AD114" t="s">
        <v>120</v>
      </c>
      <c r="AE114" t="s">
        <v>120</v>
      </c>
      <c r="AF114" t="s">
        <v>120</v>
      </c>
      <c r="AG114" t="s">
        <v>120</v>
      </c>
      <c r="AH114" t="s">
        <v>120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6500</v>
      </c>
      <c r="AP114">
        <v>0</v>
      </c>
      <c r="AQ114">
        <v>0</v>
      </c>
      <c r="AR114">
        <v>109.68750000000001</v>
      </c>
      <c r="AS114">
        <v>0</v>
      </c>
    </row>
    <row r="115" spans="1:45" x14ac:dyDescent="0.25">
      <c r="A115" t="s">
        <v>408</v>
      </c>
      <c r="B115" t="s">
        <v>409</v>
      </c>
      <c r="C115" t="s">
        <v>279</v>
      </c>
      <c r="D115" t="s">
        <v>347</v>
      </c>
      <c r="E115" t="s">
        <v>120</v>
      </c>
      <c r="F115" t="s">
        <v>120</v>
      </c>
      <c r="G115" t="s">
        <v>120</v>
      </c>
      <c r="H115" t="s">
        <v>120</v>
      </c>
      <c r="I115" t="s">
        <v>120</v>
      </c>
      <c r="J115" t="s">
        <v>120</v>
      </c>
      <c r="K115" t="s">
        <v>120</v>
      </c>
      <c r="L115" t="s">
        <v>120</v>
      </c>
      <c r="M115" t="s">
        <v>120</v>
      </c>
      <c r="N115" t="s">
        <v>120</v>
      </c>
      <c r="O115" t="s">
        <v>120</v>
      </c>
      <c r="P115" t="s">
        <v>120</v>
      </c>
      <c r="Q115" t="s">
        <v>120</v>
      </c>
      <c r="R115" t="s">
        <v>120</v>
      </c>
      <c r="S115" t="s">
        <v>120</v>
      </c>
      <c r="T115" t="s">
        <v>120</v>
      </c>
      <c r="U115" t="s">
        <v>120</v>
      </c>
      <c r="V115" t="s">
        <v>120</v>
      </c>
      <c r="W115" t="s">
        <v>120</v>
      </c>
      <c r="X115" t="s">
        <v>120</v>
      </c>
      <c r="Y115" t="s">
        <v>120</v>
      </c>
      <c r="Z115" t="s">
        <v>120</v>
      </c>
      <c r="AA115" t="s">
        <v>120</v>
      </c>
      <c r="AB115" t="s">
        <v>120</v>
      </c>
      <c r="AC115" t="s">
        <v>120</v>
      </c>
      <c r="AD115" t="s">
        <v>120</v>
      </c>
      <c r="AE115" t="s">
        <v>326</v>
      </c>
      <c r="AF115" t="s">
        <v>120</v>
      </c>
      <c r="AG115" t="s">
        <v>120</v>
      </c>
      <c r="AH115" t="s">
        <v>120</v>
      </c>
      <c r="AJ115">
        <v>0</v>
      </c>
      <c r="AK115">
        <v>2</v>
      </c>
      <c r="AL115">
        <v>0</v>
      </c>
      <c r="AM115">
        <v>2</v>
      </c>
      <c r="AN115">
        <v>0</v>
      </c>
      <c r="AO115">
        <v>6500</v>
      </c>
      <c r="AP115">
        <v>2</v>
      </c>
      <c r="AQ115">
        <v>0</v>
      </c>
      <c r="AR115">
        <v>109.68750000000001</v>
      </c>
      <c r="AS115">
        <v>162.5</v>
      </c>
    </row>
    <row r="116" spans="1:45" x14ac:dyDescent="0.25">
      <c r="A116" t="s">
        <v>410</v>
      </c>
      <c r="B116" t="s">
        <v>411</v>
      </c>
      <c r="C116" t="s">
        <v>279</v>
      </c>
      <c r="D116" t="s">
        <v>347</v>
      </c>
      <c r="E116" t="s">
        <v>120</v>
      </c>
      <c r="F116" t="s">
        <v>120</v>
      </c>
      <c r="G116" t="s">
        <v>120</v>
      </c>
      <c r="H116" t="s">
        <v>120</v>
      </c>
      <c r="I116" t="s">
        <v>120</v>
      </c>
      <c r="J116" t="s">
        <v>120</v>
      </c>
      <c r="K116" t="s">
        <v>120</v>
      </c>
      <c r="L116" t="s">
        <v>120</v>
      </c>
      <c r="M116" t="s">
        <v>120</v>
      </c>
      <c r="N116" t="s">
        <v>120</v>
      </c>
      <c r="O116" t="s">
        <v>120</v>
      </c>
      <c r="P116" t="s">
        <v>120</v>
      </c>
      <c r="Q116" t="s">
        <v>120</v>
      </c>
      <c r="R116" t="s">
        <v>120</v>
      </c>
      <c r="S116" t="s">
        <v>120</v>
      </c>
      <c r="T116" t="s">
        <v>120</v>
      </c>
      <c r="U116" t="s">
        <v>120</v>
      </c>
      <c r="V116" t="s">
        <v>120</v>
      </c>
      <c r="W116" t="s">
        <v>120</v>
      </c>
      <c r="X116" t="s">
        <v>120</v>
      </c>
      <c r="Y116" t="s">
        <v>120</v>
      </c>
      <c r="Z116" t="s">
        <v>120</v>
      </c>
      <c r="AA116" t="s">
        <v>120</v>
      </c>
      <c r="AB116" t="s">
        <v>120</v>
      </c>
      <c r="AC116" t="s">
        <v>120</v>
      </c>
      <c r="AD116" t="s">
        <v>120</v>
      </c>
      <c r="AE116" t="s">
        <v>120</v>
      </c>
      <c r="AF116" t="s">
        <v>120</v>
      </c>
      <c r="AG116" t="s">
        <v>120</v>
      </c>
      <c r="AH116" t="s">
        <v>120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5300</v>
      </c>
      <c r="AP116">
        <v>0</v>
      </c>
      <c r="AQ116">
        <v>0</v>
      </c>
      <c r="AR116">
        <v>89.4375</v>
      </c>
      <c r="AS116">
        <v>0</v>
      </c>
    </row>
    <row r="117" spans="1:45" x14ac:dyDescent="0.25">
      <c r="A117" t="s">
        <v>412</v>
      </c>
      <c r="B117" t="s">
        <v>413</v>
      </c>
      <c r="C117" t="s">
        <v>279</v>
      </c>
      <c r="D117" t="s">
        <v>347</v>
      </c>
      <c r="E117" t="s">
        <v>120</v>
      </c>
      <c r="F117" t="s">
        <v>120</v>
      </c>
      <c r="G117" t="s">
        <v>120</v>
      </c>
      <c r="H117" t="s">
        <v>120</v>
      </c>
      <c r="I117" t="s">
        <v>120</v>
      </c>
      <c r="J117" t="s">
        <v>120</v>
      </c>
      <c r="K117" t="s">
        <v>120</v>
      </c>
      <c r="L117" t="s">
        <v>120</v>
      </c>
      <c r="M117" t="s">
        <v>120</v>
      </c>
      <c r="N117" t="s">
        <v>120</v>
      </c>
      <c r="O117" t="s">
        <v>120</v>
      </c>
      <c r="P117" t="s">
        <v>120</v>
      </c>
      <c r="Q117" t="s">
        <v>120</v>
      </c>
      <c r="R117" t="s">
        <v>120</v>
      </c>
      <c r="S117" t="s">
        <v>120</v>
      </c>
      <c r="T117" t="s">
        <v>120</v>
      </c>
      <c r="U117" t="s">
        <v>120</v>
      </c>
      <c r="V117" t="s">
        <v>120</v>
      </c>
      <c r="W117" t="s">
        <v>120</v>
      </c>
      <c r="X117" t="s">
        <v>120</v>
      </c>
      <c r="Y117" t="s">
        <v>120</v>
      </c>
      <c r="Z117" t="s">
        <v>120</v>
      </c>
      <c r="AA117" t="s">
        <v>120</v>
      </c>
      <c r="AB117" t="s">
        <v>120</v>
      </c>
      <c r="AC117" t="s">
        <v>120</v>
      </c>
      <c r="AD117" t="s">
        <v>120</v>
      </c>
      <c r="AE117" t="s">
        <v>120</v>
      </c>
      <c r="AF117" t="s">
        <v>120</v>
      </c>
      <c r="AG117" t="s">
        <v>120</v>
      </c>
      <c r="AH117" t="s">
        <v>120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6500</v>
      </c>
      <c r="AP117">
        <v>0</v>
      </c>
      <c r="AQ117">
        <v>0</v>
      </c>
      <c r="AR117">
        <v>109.68750000000001</v>
      </c>
      <c r="AS117">
        <v>0</v>
      </c>
    </row>
    <row r="118" spans="1:45" x14ac:dyDescent="0.25">
      <c r="A118" t="s">
        <v>414</v>
      </c>
      <c r="B118" t="s">
        <v>415</v>
      </c>
      <c r="C118" t="s">
        <v>279</v>
      </c>
      <c r="D118" t="s">
        <v>347</v>
      </c>
      <c r="E118" t="s">
        <v>120</v>
      </c>
      <c r="F118" t="s">
        <v>120</v>
      </c>
      <c r="G118" t="s">
        <v>120</v>
      </c>
      <c r="H118" t="s">
        <v>120</v>
      </c>
      <c r="I118" t="s">
        <v>120</v>
      </c>
      <c r="J118" t="s">
        <v>120</v>
      </c>
      <c r="K118" t="s">
        <v>120</v>
      </c>
      <c r="L118" t="s">
        <v>120</v>
      </c>
      <c r="M118" t="s">
        <v>120</v>
      </c>
      <c r="N118" t="s">
        <v>120</v>
      </c>
      <c r="O118" t="s">
        <v>120</v>
      </c>
      <c r="P118" t="s">
        <v>120</v>
      </c>
      <c r="Q118" t="s">
        <v>120</v>
      </c>
      <c r="R118" t="s">
        <v>120</v>
      </c>
      <c r="S118" t="s">
        <v>120</v>
      </c>
      <c r="T118" t="s">
        <v>120</v>
      </c>
      <c r="U118" t="s">
        <v>120</v>
      </c>
      <c r="V118" t="s">
        <v>120</v>
      </c>
      <c r="W118" t="s">
        <v>120</v>
      </c>
      <c r="X118" t="s">
        <v>120</v>
      </c>
      <c r="Y118" t="s">
        <v>120</v>
      </c>
      <c r="Z118" t="s">
        <v>120</v>
      </c>
      <c r="AA118" t="s">
        <v>120</v>
      </c>
      <c r="AB118" t="s">
        <v>120</v>
      </c>
      <c r="AC118" t="s">
        <v>120</v>
      </c>
      <c r="AD118" t="s">
        <v>120</v>
      </c>
      <c r="AE118" t="s">
        <v>120</v>
      </c>
      <c r="AF118" t="s">
        <v>120</v>
      </c>
      <c r="AG118" t="s">
        <v>120</v>
      </c>
      <c r="AH118" t="s">
        <v>120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6500</v>
      </c>
      <c r="AP118">
        <v>0</v>
      </c>
      <c r="AQ118">
        <v>0</v>
      </c>
      <c r="AR118">
        <v>109.68750000000001</v>
      </c>
      <c r="AS118">
        <v>0</v>
      </c>
    </row>
    <row r="119" spans="1:45" x14ac:dyDescent="0.25">
      <c r="A119" t="s">
        <v>416</v>
      </c>
      <c r="B119" t="s">
        <v>417</v>
      </c>
      <c r="C119" t="s">
        <v>288</v>
      </c>
      <c r="D119" t="s">
        <v>347</v>
      </c>
      <c r="E119" t="s">
        <v>120</v>
      </c>
      <c r="F119" t="s">
        <v>120</v>
      </c>
      <c r="G119" t="s">
        <v>120</v>
      </c>
      <c r="H119" t="s">
        <v>120</v>
      </c>
      <c r="I119" t="s">
        <v>120</v>
      </c>
      <c r="J119" t="s">
        <v>120</v>
      </c>
      <c r="K119" t="s">
        <v>120</v>
      </c>
      <c r="L119" t="s">
        <v>120</v>
      </c>
      <c r="M119" t="s">
        <v>120</v>
      </c>
      <c r="N119" t="s">
        <v>120</v>
      </c>
      <c r="O119" t="s">
        <v>120</v>
      </c>
      <c r="P119" t="s">
        <v>120</v>
      </c>
      <c r="Q119" t="s">
        <v>120</v>
      </c>
      <c r="R119" t="s">
        <v>120</v>
      </c>
      <c r="S119" t="s">
        <v>120</v>
      </c>
      <c r="T119" t="s">
        <v>120</v>
      </c>
      <c r="U119" t="s">
        <v>120</v>
      </c>
      <c r="V119" t="s">
        <v>120</v>
      </c>
      <c r="W119" t="s">
        <v>120</v>
      </c>
      <c r="X119" t="s">
        <v>120</v>
      </c>
      <c r="Y119" t="s">
        <v>120</v>
      </c>
      <c r="Z119" t="s">
        <v>120</v>
      </c>
      <c r="AA119" t="s">
        <v>120</v>
      </c>
      <c r="AB119" t="s">
        <v>120</v>
      </c>
      <c r="AC119" t="s">
        <v>120</v>
      </c>
      <c r="AD119" t="s">
        <v>120</v>
      </c>
      <c r="AE119" t="s">
        <v>120</v>
      </c>
      <c r="AF119" t="s">
        <v>120</v>
      </c>
      <c r="AG119" t="s">
        <v>120</v>
      </c>
      <c r="AH119" t="s">
        <v>120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6500</v>
      </c>
      <c r="AP119">
        <v>0</v>
      </c>
      <c r="AQ119">
        <v>0</v>
      </c>
      <c r="AR119">
        <v>109.68750000000001</v>
      </c>
      <c r="AS119">
        <v>0</v>
      </c>
    </row>
    <row r="120" spans="1:45" x14ac:dyDescent="0.25">
      <c r="A120" t="s">
        <v>418</v>
      </c>
      <c r="B120" t="s">
        <v>419</v>
      </c>
      <c r="C120" t="s">
        <v>279</v>
      </c>
      <c r="D120" t="s">
        <v>347</v>
      </c>
      <c r="E120" t="s">
        <v>120</v>
      </c>
      <c r="F120" t="s">
        <v>120</v>
      </c>
      <c r="G120" t="s">
        <v>120</v>
      </c>
      <c r="H120" t="s">
        <v>120</v>
      </c>
      <c r="I120" t="s">
        <v>120</v>
      </c>
      <c r="J120" t="s">
        <v>120</v>
      </c>
      <c r="K120" t="s">
        <v>120</v>
      </c>
      <c r="L120" t="s">
        <v>120</v>
      </c>
      <c r="M120" t="s">
        <v>120</v>
      </c>
      <c r="N120" t="s">
        <v>120</v>
      </c>
      <c r="O120" t="s">
        <v>120</v>
      </c>
      <c r="P120" t="s">
        <v>120</v>
      </c>
      <c r="Q120" t="s">
        <v>120</v>
      </c>
      <c r="R120" t="s">
        <v>120</v>
      </c>
      <c r="S120" t="s">
        <v>120</v>
      </c>
      <c r="T120" t="s">
        <v>120</v>
      </c>
      <c r="U120" t="s">
        <v>120</v>
      </c>
      <c r="V120" t="s">
        <v>120</v>
      </c>
      <c r="W120" t="s">
        <v>120</v>
      </c>
      <c r="X120" t="s">
        <v>120</v>
      </c>
      <c r="Y120" t="s">
        <v>120</v>
      </c>
      <c r="Z120" t="s">
        <v>120</v>
      </c>
      <c r="AA120" t="s">
        <v>120</v>
      </c>
      <c r="AB120" t="s">
        <v>120</v>
      </c>
      <c r="AC120" t="s">
        <v>120</v>
      </c>
      <c r="AD120" t="s">
        <v>120</v>
      </c>
      <c r="AE120" t="s">
        <v>120</v>
      </c>
      <c r="AF120" t="s">
        <v>120</v>
      </c>
      <c r="AG120" t="s">
        <v>120</v>
      </c>
      <c r="AH120" t="s">
        <v>120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5500</v>
      </c>
      <c r="AP120">
        <v>0</v>
      </c>
      <c r="AQ120">
        <v>0</v>
      </c>
      <c r="AR120">
        <v>92.8125</v>
      </c>
      <c r="AS120">
        <v>0</v>
      </c>
    </row>
    <row r="121" spans="1:45" x14ac:dyDescent="0.25">
      <c r="A121" t="s">
        <v>420</v>
      </c>
      <c r="B121" t="s">
        <v>421</v>
      </c>
      <c r="C121" t="s">
        <v>422</v>
      </c>
      <c r="D121" t="s">
        <v>423</v>
      </c>
      <c r="F121" t="s">
        <v>141</v>
      </c>
      <c r="G121" t="s">
        <v>120</v>
      </c>
      <c r="H121" t="s">
        <v>120</v>
      </c>
      <c r="I121" t="s">
        <v>120</v>
      </c>
      <c r="J121" t="s">
        <v>120</v>
      </c>
      <c r="K121" t="s">
        <v>120</v>
      </c>
      <c r="L121" t="s">
        <v>120</v>
      </c>
      <c r="M121" t="s">
        <v>120</v>
      </c>
      <c r="N121" t="s">
        <v>120</v>
      </c>
      <c r="O121" t="s">
        <v>120</v>
      </c>
      <c r="P121" t="s">
        <v>120</v>
      </c>
      <c r="Q121" t="s">
        <v>120</v>
      </c>
      <c r="R121" t="s">
        <v>120</v>
      </c>
      <c r="S121" t="s">
        <v>120</v>
      </c>
      <c r="T121" t="s">
        <v>120</v>
      </c>
      <c r="U121" t="s">
        <v>120</v>
      </c>
      <c r="V121" t="s">
        <v>120</v>
      </c>
      <c r="W121" t="s">
        <v>120</v>
      </c>
      <c r="X121" t="s">
        <v>120</v>
      </c>
      <c r="Y121" t="s">
        <v>120</v>
      </c>
      <c r="Z121" t="s">
        <v>120</v>
      </c>
      <c r="AA121" t="s">
        <v>120</v>
      </c>
      <c r="AB121" t="s">
        <v>120</v>
      </c>
      <c r="AC121" t="s">
        <v>120</v>
      </c>
      <c r="AD121" t="s">
        <v>120</v>
      </c>
      <c r="AE121" t="s">
        <v>120</v>
      </c>
      <c r="AF121" t="s">
        <v>141</v>
      </c>
      <c r="AG121" t="s">
        <v>120</v>
      </c>
      <c r="AH121" t="s">
        <v>120</v>
      </c>
      <c r="AJ121">
        <v>0</v>
      </c>
      <c r="AK121">
        <v>16</v>
      </c>
      <c r="AL121">
        <v>16</v>
      </c>
      <c r="AM121">
        <v>0</v>
      </c>
      <c r="AN121">
        <v>0</v>
      </c>
      <c r="AO121">
        <v>4900</v>
      </c>
      <c r="AP121">
        <v>16</v>
      </c>
      <c r="AQ121">
        <v>0</v>
      </c>
      <c r="AR121">
        <v>82.6875</v>
      </c>
      <c r="AS121">
        <v>980</v>
      </c>
    </row>
    <row r="122" spans="1:45" x14ac:dyDescent="0.25">
      <c r="A122" t="s">
        <v>424</v>
      </c>
      <c r="B122" t="s">
        <v>425</v>
      </c>
      <c r="C122" t="s">
        <v>426</v>
      </c>
      <c r="D122" t="s">
        <v>423</v>
      </c>
      <c r="E122" t="s">
        <v>120</v>
      </c>
      <c r="F122" t="s">
        <v>120</v>
      </c>
      <c r="G122" t="s">
        <v>120</v>
      </c>
      <c r="H122" t="s">
        <v>120</v>
      </c>
      <c r="I122" t="s">
        <v>120</v>
      </c>
      <c r="J122" t="s">
        <v>120</v>
      </c>
      <c r="K122" t="s">
        <v>120</v>
      </c>
      <c r="L122" t="s">
        <v>120</v>
      </c>
      <c r="M122" t="s">
        <v>120</v>
      </c>
      <c r="N122" t="s">
        <v>120</v>
      </c>
      <c r="O122" t="s">
        <v>120</v>
      </c>
      <c r="P122" t="s">
        <v>120</v>
      </c>
      <c r="Q122" t="s">
        <v>120</v>
      </c>
      <c r="R122" t="s">
        <v>120</v>
      </c>
      <c r="S122" t="s">
        <v>120</v>
      </c>
      <c r="T122" t="s">
        <v>120</v>
      </c>
      <c r="U122" t="s">
        <v>120</v>
      </c>
      <c r="V122" t="s">
        <v>120</v>
      </c>
      <c r="W122" t="s">
        <v>120</v>
      </c>
      <c r="X122" t="s">
        <v>120</v>
      </c>
      <c r="Y122" t="s">
        <v>120</v>
      </c>
      <c r="Z122" t="s">
        <v>120</v>
      </c>
      <c r="AA122" t="s">
        <v>120</v>
      </c>
      <c r="AB122" t="s">
        <v>120</v>
      </c>
      <c r="AC122" t="s">
        <v>120</v>
      </c>
      <c r="AD122" t="s">
        <v>120</v>
      </c>
      <c r="AE122" t="s">
        <v>120</v>
      </c>
      <c r="AF122" t="s">
        <v>120</v>
      </c>
      <c r="AG122" t="s">
        <v>141</v>
      </c>
      <c r="AH122" t="s">
        <v>120</v>
      </c>
      <c r="AJ122">
        <v>0</v>
      </c>
      <c r="AK122">
        <v>8</v>
      </c>
      <c r="AL122">
        <v>8</v>
      </c>
      <c r="AM122">
        <v>0</v>
      </c>
      <c r="AN122">
        <v>0</v>
      </c>
      <c r="AO122">
        <v>5500</v>
      </c>
      <c r="AP122">
        <v>8</v>
      </c>
      <c r="AQ122">
        <v>0</v>
      </c>
      <c r="AR122">
        <v>92.8125</v>
      </c>
      <c r="AS122">
        <v>550</v>
      </c>
    </row>
    <row r="123" spans="1:45" x14ac:dyDescent="0.25">
      <c r="A123" t="s">
        <v>427</v>
      </c>
      <c r="B123" t="s">
        <v>428</v>
      </c>
      <c r="C123" t="s">
        <v>429</v>
      </c>
      <c r="D123" t="s">
        <v>423</v>
      </c>
      <c r="E123" t="s">
        <v>135</v>
      </c>
      <c r="F123" t="s">
        <v>120</v>
      </c>
      <c r="G123" t="s">
        <v>120</v>
      </c>
      <c r="H123" t="s">
        <v>120</v>
      </c>
      <c r="I123" t="s">
        <v>120</v>
      </c>
      <c r="J123" t="s">
        <v>120</v>
      </c>
      <c r="K123" t="s">
        <v>120</v>
      </c>
      <c r="L123" t="s">
        <v>120</v>
      </c>
      <c r="M123" t="s">
        <v>141</v>
      </c>
      <c r="N123" t="s">
        <v>141</v>
      </c>
      <c r="O123" t="s">
        <v>120</v>
      </c>
      <c r="P123" t="s">
        <v>120</v>
      </c>
      <c r="Q123" t="s">
        <v>120</v>
      </c>
      <c r="R123" t="s">
        <v>120</v>
      </c>
      <c r="S123" t="s">
        <v>120</v>
      </c>
      <c r="T123" t="s">
        <v>120</v>
      </c>
      <c r="U123" t="s">
        <v>120</v>
      </c>
      <c r="V123" t="s">
        <v>120</v>
      </c>
      <c r="W123" t="s">
        <v>120</v>
      </c>
      <c r="X123" t="s">
        <v>120</v>
      </c>
      <c r="Y123" t="s">
        <v>120</v>
      </c>
      <c r="Z123" t="s">
        <v>120</v>
      </c>
      <c r="AA123" t="s">
        <v>120</v>
      </c>
      <c r="AB123" t="s">
        <v>120</v>
      </c>
      <c r="AC123" t="s">
        <v>120</v>
      </c>
      <c r="AD123" t="s">
        <v>120</v>
      </c>
      <c r="AE123" t="s">
        <v>120</v>
      </c>
      <c r="AF123" t="s">
        <v>120</v>
      </c>
      <c r="AG123" t="s">
        <v>120</v>
      </c>
      <c r="AH123" t="s">
        <v>120</v>
      </c>
      <c r="AJ123">
        <v>0</v>
      </c>
      <c r="AK123">
        <v>24</v>
      </c>
      <c r="AL123">
        <v>16</v>
      </c>
      <c r="AM123">
        <v>8</v>
      </c>
      <c r="AN123">
        <v>0</v>
      </c>
      <c r="AO123">
        <v>14000</v>
      </c>
      <c r="AP123">
        <v>24</v>
      </c>
      <c r="AQ123">
        <v>0</v>
      </c>
      <c r="AR123">
        <v>236.25000000000003</v>
      </c>
      <c r="AS123">
        <v>4200</v>
      </c>
    </row>
    <row r="124" spans="1:45" x14ac:dyDescent="0.25">
      <c r="A124" t="s">
        <v>430</v>
      </c>
      <c r="B124" t="s">
        <v>431</v>
      </c>
      <c r="C124" t="s">
        <v>432</v>
      </c>
      <c r="D124" t="s">
        <v>423</v>
      </c>
      <c r="E124" t="s">
        <v>120</v>
      </c>
      <c r="F124" t="s">
        <v>141</v>
      </c>
      <c r="G124" t="s">
        <v>120</v>
      </c>
      <c r="H124" t="s">
        <v>120</v>
      </c>
      <c r="I124" t="s">
        <v>120</v>
      </c>
      <c r="J124" t="s">
        <v>120</v>
      </c>
      <c r="K124" t="s">
        <v>120</v>
      </c>
      <c r="L124" t="s">
        <v>120</v>
      </c>
      <c r="M124" t="s">
        <v>135</v>
      </c>
      <c r="N124" t="s">
        <v>120</v>
      </c>
      <c r="O124" t="s">
        <v>120</v>
      </c>
      <c r="P124" t="s">
        <v>120</v>
      </c>
      <c r="Q124" t="s">
        <v>120</v>
      </c>
      <c r="R124" t="s">
        <v>120</v>
      </c>
      <c r="S124" t="s">
        <v>120</v>
      </c>
      <c r="T124" t="s">
        <v>120</v>
      </c>
      <c r="U124" t="s">
        <v>120</v>
      </c>
      <c r="V124" t="s">
        <v>120</v>
      </c>
      <c r="W124" t="s">
        <v>120</v>
      </c>
      <c r="X124" t="s">
        <v>120</v>
      </c>
      <c r="Y124" t="s">
        <v>120</v>
      </c>
      <c r="Z124" t="s">
        <v>120</v>
      </c>
      <c r="AA124" t="s">
        <v>120</v>
      </c>
      <c r="AB124" t="s">
        <v>120</v>
      </c>
      <c r="AC124" t="s">
        <v>120</v>
      </c>
      <c r="AD124" t="s">
        <v>120</v>
      </c>
      <c r="AE124" t="s">
        <v>120</v>
      </c>
      <c r="AF124" t="s">
        <v>120</v>
      </c>
      <c r="AG124" t="s">
        <v>120</v>
      </c>
      <c r="AH124" t="s">
        <v>120</v>
      </c>
      <c r="AJ124">
        <v>0</v>
      </c>
      <c r="AK124">
        <v>16</v>
      </c>
      <c r="AL124">
        <v>8</v>
      </c>
      <c r="AM124">
        <v>8</v>
      </c>
      <c r="AN124">
        <v>0</v>
      </c>
      <c r="AO124">
        <v>9000</v>
      </c>
      <c r="AP124">
        <v>16</v>
      </c>
      <c r="AQ124">
        <v>0</v>
      </c>
      <c r="AR124">
        <v>151.875</v>
      </c>
      <c r="AS124">
        <v>1800</v>
      </c>
    </row>
    <row r="125" spans="1:45" x14ac:dyDescent="0.25">
      <c r="A125" t="s">
        <v>433</v>
      </c>
      <c r="B125" t="s">
        <v>434</v>
      </c>
      <c r="C125" t="s">
        <v>435</v>
      </c>
      <c r="D125" t="s">
        <v>423</v>
      </c>
      <c r="E125" t="s">
        <v>120</v>
      </c>
      <c r="F125" t="s">
        <v>120</v>
      </c>
      <c r="G125" t="s">
        <v>120</v>
      </c>
      <c r="H125" t="s">
        <v>120</v>
      </c>
      <c r="I125" t="s">
        <v>120</v>
      </c>
      <c r="J125" t="s">
        <v>120</v>
      </c>
      <c r="K125" t="s">
        <v>120</v>
      </c>
      <c r="L125" t="s">
        <v>120</v>
      </c>
      <c r="M125" t="s">
        <v>120</v>
      </c>
      <c r="N125" t="s">
        <v>120</v>
      </c>
      <c r="O125" t="s">
        <v>120</v>
      </c>
      <c r="P125" t="s">
        <v>120</v>
      </c>
      <c r="Q125" t="s">
        <v>120</v>
      </c>
      <c r="R125" t="s">
        <v>120</v>
      </c>
      <c r="S125" t="s">
        <v>120</v>
      </c>
      <c r="T125" t="s">
        <v>120</v>
      </c>
      <c r="U125" t="s">
        <v>120</v>
      </c>
      <c r="V125" t="s">
        <v>120</v>
      </c>
      <c r="W125" t="s">
        <v>120</v>
      </c>
      <c r="X125" t="s">
        <v>120</v>
      </c>
      <c r="Y125" t="s">
        <v>120</v>
      </c>
      <c r="Z125" t="s">
        <v>120</v>
      </c>
      <c r="AA125" t="s">
        <v>120</v>
      </c>
      <c r="AB125" t="s">
        <v>120</v>
      </c>
      <c r="AC125" t="s">
        <v>120</v>
      </c>
      <c r="AD125" t="s">
        <v>120</v>
      </c>
      <c r="AE125" t="s">
        <v>120</v>
      </c>
      <c r="AF125" t="s">
        <v>120</v>
      </c>
      <c r="AG125" t="s">
        <v>120</v>
      </c>
      <c r="AH125" t="s">
        <v>120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5500</v>
      </c>
      <c r="AP125">
        <v>0</v>
      </c>
      <c r="AQ125">
        <v>0</v>
      </c>
      <c r="AR125">
        <v>92.8125</v>
      </c>
      <c r="AS125">
        <v>0</v>
      </c>
    </row>
    <row r="126" spans="1:45" x14ac:dyDescent="0.25">
      <c r="A126" t="s">
        <v>436</v>
      </c>
      <c r="B126" t="s">
        <v>437</v>
      </c>
      <c r="C126" t="s">
        <v>422</v>
      </c>
      <c r="D126" t="s">
        <v>423</v>
      </c>
      <c r="E126" t="s">
        <v>326</v>
      </c>
      <c r="F126" t="s">
        <v>141</v>
      </c>
      <c r="G126" t="s">
        <v>120</v>
      </c>
      <c r="H126" t="s">
        <v>120</v>
      </c>
      <c r="I126" t="s">
        <v>120</v>
      </c>
      <c r="J126" t="s">
        <v>120</v>
      </c>
      <c r="K126" t="s">
        <v>120</v>
      </c>
      <c r="L126" t="s">
        <v>120</v>
      </c>
      <c r="M126" t="s">
        <v>120</v>
      </c>
      <c r="N126" t="s">
        <v>120</v>
      </c>
      <c r="O126" t="s">
        <v>120</v>
      </c>
      <c r="P126" t="s">
        <v>120</v>
      </c>
      <c r="Q126" t="s">
        <v>120</v>
      </c>
      <c r="R126" t="s">
        <v>120</v>
      </c>
      <c r="S126" t="s">
        <v>120</v>
      </c>
      <c r="T126" t="s">
        <v>120</v>
      </c>
      <c r="U126" t="s">
        <v>120</v>
      </c>
      <c r="V126" t="s">
        <v>120</v>
      </c>
      <c r="W126" t="s">
        <v>120</v>
      </c>
      <c r="X126" t="s">
        <v>120</v>
      </c>
      <c r="Y126" t="s">
        <v>120</v>
      </c>
      <c r="Z126" t="s">
        <v>120</v>
      </c>
      <c r="AA126" t="s">
        <v>120</v>
      </c>
      <c r="AB126" t="s">
        <v>120</v>
      </c>
      <c r="AC126" t="s">
        <v>120</v>
      </c>
      <c r="AD126" t="s">
        <v>120</v>
      </c>
      <c r="AE126" t="s">
        <v>120</v>
      </c>
      <c r="AF126" t="s">
        <v>141</v>
      </c>
      <c r="AG126" t="s">
        <v>120</v>
      </c>
      <c r="AH126" t="s">
        <v>120</v>
      </c>
      <c r="AJ126">
        <v>0</v>
      </c>
      <c r="AK126">
        <v>18</v>
      </c>
      <c r="AL126">
        <v>16</v>
      </c>
      <c r="AM126">
        <v>2</v>
      </c>
      <c r="AN126">
        <v>0</v>
      </c>
      <c r="AO126">
        <v>4900</v>
      </c>
      <c r="AP126">
        <v>18</v>
      </c>
      <c r="AQ126">
        <v>0</v>
      </c>
      <c r="AR126">
        <v>82.6875</v>
      </c>
      <c r="AS126">
        <v>1102.5</v>
      </c>
    </row>
    <row r="127" spans="1:45" x14ac:dyDescent="0.25">
      <c r="A127" t="s">
        <v>438</v>
      </c>
      <c r="B127" t="s">
        <v>439</v>
      </c>
      <c r="C127" t="s">
        <v>440</v>
      </c>
      <c r="D127" t="s">
        <v>423</v>
      </c>
      <c r="E127" t="s">
        <v>120</v>
      </c>
      <c r="F127" t="s">
        <v>120</v>
      </c>
      <c r="G127" t="s">
        <v>120</v>
      </c>
      <c r="H127" t="s">
        <v>120</v>
      </c>
      <c r="I127" t="s">
        <v>120</v>
      </c>
      <c r="J127" t="s">
        <v>120</v>
      </c>
      <c r="K127" t="s">
        <v>120</v>
      </c>
      <c r="L127" t="s">
        <v>120</v>
      </c>
      <c r="M127" t="s">
        <v>332</v>
      </c>
      <c r="N127" t="s">
        <v>120</v>
      </c>
      <c r="O127" t="s">
        <v>120</v>
      </c>
      <c r="P127" t="s">
        <v>120</v>
      </c>
      <c r="Q127" t="s">
        <v>120</v>
      </c>
      <c r="R127" t="s">
        <v>120</v>
      </c>
      <c r="S127" t="s">
        <v>120</v>
      </c>
      <c r="T127" t="s">
        <v>120</v>
      </c>
      <c r="U127" t="s">
        <v>120</v>
      </c>
      <c r="V127" t="s">
        <v>120</v>
      </c>
      <c r="W127" t="s">
        <v>120</v>
      </c>
      <c r="X127" t="s">
        <v>120</v>
      </c>
      <c r="Y127" t="s">
        <v>120</v>
      </c>
      <c r="Z127" t="s">
        <v>120</v>
      </c>
      <c r="AA127" t="s">
        <v>120</v>
      </c>
      <c r="AB127" t="s">
        <v>120</v>
      </c>
      <c r="AC127" t="s">
        <v>120</v>
      </c>
      <c r="AD127" t="s">
        <v>120</v>
      </c>
      <c r="AE127" t="s">
        <v>120</v>
      </c>
      <c r="AF127" t="s">
        <v>120</v>
      </c>
      <c r="AG127" t="s">
        <v>120</v>
      </c>
      <c r="AH127" t="s">
        <v>120</v>
      </c>
      <c r="AJ127">
        <v>0</v>
      </c>
      <c r="AK127">
        <v>7</v>
      </c>
      <c r="AL127">
        <v>7</v>
      </c>
      <c r="AM127">
        <v>0</v>
      </c>
      <c r="AN127">
        <v>0</v>
      </c>
      <c r="AO127">
        <v>5300</v>
      </c>
      <c r="AP127">
        <v>7</v>
      </c>
      <c r="AQ127">
        <v>0</v>
      </c>
      <c r="AR127">
        <v>89.4375</v>
      </c>
      <c r="AS127">
        <v>463.75</v>
      </c>
    </row>
    <row r="128" spans="1:45" x14ac:dyDescent="0.25">
      <c r="A128" t="s">
        <v>441</v>
      </c>
      <c r="B128" t="s">
        <v>442</v>
      </c>
      <c r="C128" t="s">
        <v>443</v>
      </c>
      <c r="D128" t="s">
        <v>423</v>
      </c>
      <c r="E128" t="s">
        <v>120</v>
      </c>
      <c r="F128" t="s">
        <v>120</v>
      </c>
      <c r="G128" t="s">
        <v>120</v>
      </c>
      <c r="H128" t="s">
        <v>120</v>
      </c>
      <c r="I128" t="s">
        <v>120</v>
      </c>
      <c r="J128" t="s">
        <v>120</v>
      </c>
      <c r="K128" t="s">
        <v>120</v>
      </c>
      <c r="L128" t="s">
        <v>120</v>
      </c>
      <c r="M128" t="s">
        <v>120</v>
      </c>
      <c r="N128" t="s">
        <v>120</v>
      </c>
      <c r="O128" t="s">
        <v>120</v>
      </c>
      <c r="P128" t="s">
        <v>120</v>
      </c>
      <c r="Q128" t="s">
        <v>120</v>
      </c>
      <c r="R128" t="s">
        <v>120</v>
      </c>
      <c r="S128" t="s">
        <v>120</v>
      </c>
      <c r="T128" t="s">
        <v>120</v>
      </c>
      <c r="U128" t="s">
        <v>120</v>
      </c>
      <c r="V128" t="s">
        <v>120</v>
      </c>
      <c r="W128" t="s">
        <v>120</v>
      </c>
      <c r="X128" t="s">
        <v>120</v>
      </c>
      <c r="Y128" t="s">
        <v>120</v>
      </c>
      <c r="Z128" t="s">
        <v>120</v>
      </c>
      <c r="AA128" t="s">
        <v>120</v>
      </c>
      <c r="AB128" t="s">
        <v>120</v>
      </c>
      <c r="AC128" t="s">
        <v>120</v>
      </c>
      <c r="AD128" t="s">
        <v>120</v>
      </c>
      <c r="AE128" t="s">
        <v>120</v>
      </c>
      <c r="AF128" t="s">
        <v>120</v>
      </c>
      <c r="AG128" t="s">
        <v>120</v>
      </c>
      <c r="AH128" t="s">
        <v>120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5500</v>
      </c>
      <c r="AP128">
        <v>0</v>
      </c>
      <c r="AQ128">
        <v>0</v>
      </c>
      <c r="AR128">
        <v>92.8125</v>
      </c>
      <c r="AS128">
        <v>0</v>
      </c>
    </row>
    <row r="129" spans="1:45" x14ac:dyDescent="0.25">
      <c r="A129" t="s">
        <v>444</v>
      </c>
      <c r="B129" t="s">
        <v>445</v>
      </c>
      <c r="C129" t="s">
        <v>422</v>
      </c>
      <c r="D129" t="s">
        <v>423</v>
      </c>
      <c r="E129" t="s">
        <v>326</v>
      </c>
      <c r="F129" t="s">
        <v>141</v>
      </c>
      <c r="G129" t="s">
        <v>120</v>
      </c>
      <c r="H129" t="s">
        <v>120</v>
      </c>
      <c r="I129" t="s">
        <v>120</v>
      </c>
      <c r="J129" t="s">
        <v>120</v>
      </c>
      <c r="K129" t="s">
        <v>120</v>
      </c>
      <c r="L129" t="s">
        <v>120</v>
      </c>
      <c r="M129" t="s">
        <v>120</v>
      </c>
      <c r="N129" t="s">
        <v>120</v>
      </c>
      <c r="O129" t="s">
        <v>120</v>
      </c>
      <c r="P129" t="s">
        <v>120</v>
      </c>
      <c r="Q129" t="s">
        <v>120</v>
      </c>
      <c r="R129" t="s">
        <v>120</v>
      </c>
      <c r="S129" t="s">
        <v>120</v>
      </c>
      <c r="T129" t="s">
        <v>120</v>
      </c>
      <c r="U129" t="s">
        <v>120</v>
      </c>
      <c r="V129" t="s">
        <v>120</v>
      </c>
      <c r="W129" t="s">
        <v>120</v>
      </c>
      <c r="X129" t="s">
        <v>120</v>
      </c>
      <c r="Y129" t="s">
        <v>120</v>
      </c>
      <c r="Z129" t="s">
        <v>120</v>
      </c>
      <c r="AA129" t="s">
        <v>120</v>
      </c>
      <c r="AB129" t="s">
        <v>120</v>
      </c>
      <c r="AC129" t="s">
        <v>120</v>
      </c>
      <c r="AD129" t="s">
        <v>120</v>
      </c>
      <c r="AE129" t="s">
        <v>120</v>
      </c>
      <c r="AF129" t="s">
        <v>141</v>
      </c>
      <c r="AG129" t="s">
        <v>120</v>
      </c>
      <c r="AH129" t="s">
        <v>120</v>
      </c>
      <c r="AJ129">
        <v>0</v>
      </c>
      <c r="AK129">
        <v>18</v>
      </c>
      <c r="AL129">
        <v>16</v>
      </c>
      <c r="AM129">
        <v>2</v>
      </c>
      <c r="AN129">
        <v>0</v>
      </c>
      <c r="AO129">
        <v>4900</v>
      </c>
      <c r="AP129">
        <v>18</v>
      </c>
      <c r="AQ129">
        <v>0</v>
      </c>
      <c r="AR129">
        <v>82.6875</v>
      </c>
      <c r="AS129">
        <v>1102.5</v>
      </c>
    </row>
    <row r="130" spans="1:45" x14ac:dyDescent="0.25">
      <c r="A130" t="s">
        <v>446</v>
      </c>
      <c r="B130" t="s">
        <v>447</v>
      </c>
      <c r="C130" t="s">
        <v>448</v>
      </c>
      <c r="D130" t="s">
        <v>423</v>
      </c>
      <c r="E130" t="s">
        <v>326</v>
      </c>
      <c r="F130" t="s">
        <v>120</v>
      </c>
      <c r="G130" t="s">
        <v>120</v>
      </c>
      <c r="H130" t="s">
        <v>120</v>
      </c>
      <c r="I130" t="s">
        <v>120</v>
      </c>
      <c r="J130" t="s">
        <v>120</v>
      </c>
      <c r="K130" t="s">
        <v>120</v>
      </c>
      <c r="L130" t="s">
        <v>120</v>
      </c>
      <c r="M130" t="s">
        <v>120</v>
      </c>
      <c r="N130" t="s">
        <v>120</v>
      </c>
      <c r="O130" t="s">
        <v>120</v>
      </c>
      <c r="P130" t="s">
        <v>120</v>
      </c>
      <c r="Q130" t="s">
        <v>120</v>
      </c>
      <c r="R130" t="s">
        <v>120</v>
      </c>
      <c r="S130" t="s">
        <v>120</v>
      </c>
      <c r="T130" t="s">
        <v>120</v>
      </c>
      <c r="U130" t="s">
        <v>120</v>
      </c>
      <c r="V130" t="s">
        <v>120</v>
      </c>
      <c r="W130" t="s">
        <v>120</v>
      </c>
      <c r="X130" t="s">
        <v>120</v>
      </c>
      <c r="Y130" t="s">
        <v>120</v>
      </c>
      <c r="Z130" t="s">
        <v>120</v>
      </c>
      <c r="AA130" t="s">
        <v>120</v>
      </c>
      <c r="AB130" t="s">
        <v>120</v>
      </c>
      <c r="AC130" t="s">
        <v>120</v>
      </c>
      <c r="AD130" t="s">
        <v>120</v>
      </c>
      <c r="AE130" t="s">
        <v>120</v>
      </c>
      <c r="AF130" t="s">
        <v>120</v>
      </c>
      <c r="AG130" t="s">
        <v>120</v>
      </c>
      <c r="AH130" t="s">
        <v>120</v>
      </c>
      <c r="AJ130">
        <v>0</v>
      </c>
      <c r="AK130">
        <v>2</v>
      </c>
      <c r="AL130">
        <v>0</v>
      </c>
      <c r="AM130">
        <v>2</v>
      </c>
      <c r="AN130">
        <v>0</v>
      </c>
      <c r="AO130">
        <v>7500</v>
      </c>
      <c r="AP130">
        <v>2</v>
      </c>
      <c r="AQ130">
        <v>0</v>
      </c>
      <c r="AR130">
        <v>126.56250000000001</v>
      </c>
      <c r="AS130">
        <v>187.5</v>
      </c>
    </row>
    <row r="131" spans="1:45" x14ac:dyDescent="0.25">
      <c r="A131" t="s">
        <v>449</v>
      </c>
      <c r="B131" t="s">
        <v>450</v>
      </c>
      <c r="C131" t="s">
        <v>123</v>
      </c>
      <c r="D131" t="s">
        <v>423</v>
      </c>
      <c r="E131" t="s">
        <v>120</v>
      </c>
      <c r="F131" t="s">
        <v>120</v>
      </c>
      <c r="G131" t="s">
        <v>120</v>
      </c>
      <c r="H131" t="s">
        <v>120</v>
      </c>
      <c r="I131" t="s">
        <v>120</v>
      </c>
      <c r="J131" t="s">
        <v>120</v>
      </c>
      <c r="K131" t="s">
        <v>120</v>
      </c>
      <c r="L131" t="s">
        <v>120</v>
      </c>
      <c r="M131" t="s">
        <v>285</v>
      </c>
      <c r="N131" t="s">
        <v>120</v>
      </c>
      <c r="O131" t="s">
        <v>120</v>
      </c>
      <c r="P131" t="s">
        <v>120</v>
      </c>
      <c r="Q131" t="s">
        <v>120</v>
      </c>
      <c r="R131" t="s">
        <v>120</v>
      </c>
      <c r="S131" t="s">
        <v>120</v>
      </c>
      <c r="T131" t="s">
        <v>120</v>
      </c>
      <c r="U131" t="s">
        <v>120</v>
      </c>
      <c r="V131" t="s">
        <v>120</v>
      </c>
      <c r="W131" t="s">
        <v>120</v>
      </c>
      <c r="X131" t="s">
        <v>120</v>
      </c>
      <c r="Y131" t="s">
        <v>120</v>
      </c>
      <c r="Z131" t="s">
        <v>120</v>
      </c>
      <c r="AA131" t="s">
        <v>120</v>
      </c>
      <c r="AB131" t="s">
        <v>120</v>
      </c>
      <c r="AC131" t="s">
        <v>120</v>
      </c>
      <c r="AD131" t="s">
        <v>120</v>
      </c>
      <c r="AE131" t="s">
        <v>120</v>
      </c>
      <c r="AF131" t="s">
        <v>120</v>
      </c>
      <c r="AG131" t="s">
        <v>120</v>
      </c>
      <c r="AH131" t="s">
        <v>120</v>
      </c>
      <c r="AJ131">
        <v>0</v>
      </c>
      <c r="AK131">
        <v>7</v>
      </c>
      <c r="AL131">
        <v>0</v>
      </c>
      <c r="AM131">
        <v>0</v>
      </c>
      <c r="AN131">
        <v>7</v>
      </c>
      <c r="AO131">
        <v>5500</v>
      </c>
      <c r="AP131">
        <v>0</v>
      </c>
      <c r="AQ131">
        <v>649.6875</v>
      </c>
      <c r="AR131">
        <v>92.8125</v>
      </c>
      <c r="AS131">
        <v>0</v>
      </c>
    </row>
    <row r="132" spans="1:45" x14ac:dyDescent="0.25">
      <c r="A132" t="s">
        <v>451</v>
      </c>
      <c r="B132" t="s">
        <v>452</v>
      </c>
      <c r="C132" t="s">
        <v>123</v>
      </c>
      <c r="D132" t="s">
        <v>423</v>
      </c>
      <c r="E132" t="s">
        <v>120</v>
      </c>
      <c r="F132" t="s">
        <v>120</v>
      </c>
      <c r="G132" t="s">
        <v>120</v>
      </c>
      <c r="H132" t="s">
        <v>120</v>
      </c>
      <c r="I132" t="s">
        <v>120</v>
      </c>
      <c r="J132" t="s">
        <v>120</v>
      </c>
      <c r="K132" t="s">
        <v>120</v>
      </c>
      <c r="L132" t="s">
        <v>120</v>
      </c>
      <c r="M132" t="s">
        <v>120</v>
      </c>
      <c r="N132" t="s">
        <v>120</v>
      </c>
      <c r="O132" t="s">
        <v>120</v>
      </c>
      <c r="P132" t="s">
        <v>120</v>
      </c>
      <c r="Q132" t="s">
        <v>120</v>
      </c>
      <c r="R132" t="s">
        <v>120</v>
      </c>
      <c r="S132" t="s">
        <v>120</v>
      </c>
      <c r="T132" t="s">
        <v>120</v>
      </c>
      <c r="U132" t="s">
        <v>120</v>
      </c>
      <c r="V132" t="s">
        <v>120</v>
      </c>
      <c r="W132" t="s">
        <v>120</v>
      </c>
      <c r="X132" t="s">
        <v>120</v>
      </c>
      <c r="Y132" t="s">
        <v>120</v>
      </c>
      <c r="Z132" t="s">
        <v>120</v>
      </c>
      <c r="AA132" t="s">
        <v>120</v>
      </c>
      <c r="AB132" t="s">
        <v>120</v>
      </c>
      <c r="AC132" t="s">
        <v>120</v>
      </c>
      <c r="AD132" t="s">
        <v>120</v>
      </c>
      <c r="AE132" t="s">
        <v>120</v>
      </c>
      <c r="AF132" t="s">
        <v>120</v>
      </c>
      <c r="AG132" t="s">
        <v>120</v>
      </c>
      <c r="AH132" t="s">
        <v>120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5500</v>
      </c>
      <c r="AP132">
        <v>0</v>
      </c>
      <c r="AQ132">
        <v>0</v>
      </c>
      <c r="AR132">
        <v>92.8125</v>
      </c>
      <c r="AS132">
        <v>0</v>
      </c>
    </row>
    <row r="133" spans="1:45" x14ac:dyDescent="0.25">
      <c r="A133" t="s">
        <v>453</v>
      </c>
      <c r="B133" t="s">
        <v>454</v>
      </c>
      <c r="C133" t="s">
        <v>123</v>
      </c>
      <c r="D133" t="s">
        <v>423</v>
      </c>
      <c r="E133" t="s">
        <v>120</v>
      </c>
      <c r="F133" t="s">
        <v>120</v>
      </c>
      <c r="G133" t="s">
        <v>120</v>
      </c>
      <c r="H133" t="s">
        <v>120</v>
      </c>
      <c r="J133" t="s">
        <v>120</v>
      </c>
      <c r="K133" t="s">
        <v>120</v>
      </c>
      <c r="L133" t="s">
        <v>120</v>
      </c>
      <c r="M133" t="s">
        <v>120</v>
      </c>
      <c r="N133" t="s">
        <v>120</v>
      </c>
      <c r="O133" t="s">
        <v>120</v>
      </c>
      <c r="P133" t="s">
        <v>120</v>
      </c>
      <c r="Q133" t="s">
        <v>120</v>
      </c>
      <c r="R133" t="s">
        <v>120</v>
      </c>
      <c r="S133" t="s">
        <v>120</v>
      </c>
      <c r="T133" t="s">
        <v>120</v>
      </c>
      <c r="U133" t="s">
        <v>120</v>
      </c>
      <c r="V133" t="s">
        <v>120</v>
      </c>
      <c r="W133" t="s">
        <v>120</v>
      </c>
      <c r="X133" t="s">
        <v>120</v>
      </c>
      <c r="Y133" t="s">
        <v>120</v>
      </c>
      <c r="Z133" t="s">
        <v>120</v>
      </c>
      <c r="AA133" t="s">
        <v>120</v>
      </c>
      <c r="AB133" t="s">
        <v>120</v>
      </c>
      <c r="AD133" t="s">
        <v>120</v>
      </c>
      <c r="AE133" t="s">
        <v>120</v>
      </c>
      <c r="AF133" t="s">
        <v>120</v>
      </c>
      <c r="AG133" t="s">
        <v>120</v>
      </c>
      <c r="AH133" t="s">
        <v>120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5500</v>
      </c>
      <c r="AP133">
        <v>0</v>
      </c>
      <c r="AQ133">
        <v>0</v>
      </c>
      <c r="AR133">
        <v>92.8125</v>
      </c>
      <c r="AS133">
        <v>0</v>
      </c>
    </row>
    <row r="134" spans="1:45" x14ac:dyDescent="0.25">
      <c r="A134" t="s">
        <v>455</v>
      </c>
      <c r="B134" t="s">
        <v>456</v>
      </c>
      <c r="C134" t="s">
        <v>123</v>
      </c>
      <c r="D134" t="s">
        <v>423</v>
      </c>
      <c r="E134" t="s">
        <v>120</v>
      </c>
      <c r="F134" t="s">
        <v>120</v>
      </c>
      <c r="G134" t="s">
        <v>120</v>
      </c>
      <c r="H134" t="s">
        <v>120</v>
      </c>
      <c r="I134" t="s">
        <v>120</v>
      </c>
      <c r="J134" t="s">
        <v>120</v>
      </c>
      <c r="K134" t="s">
        <v>120</v>
      </c>
      <c r="L134" t="s">
        <v>120</v>
      </c>
      <c r="M134" t="s">
        <v>120</v>
      </c>
      <c r="N134" t="s">
        <v>120</v>
      </c>
      <c r="O134" t="s">
        <v>120</v>
      </c>
      <c r="P134" t="s">
        <v>120</v>
      </c>
      <c r="Q134" t="s">
        <v>120</v>
      </c>
      <c r="R134" t="s">
        <v>120</v>
      </c>
      <c r="S134" t="s">
        <v>120</v>
      </c>
      <c r="T134" t="s">
        <v>120</v>
      </c>
      <c r="U134" t="s">
        <v>120</v>
      </c>
      <c r="V134" t="s">
        <v>120</v>
      </c>
      <c r="W134" t="s">
        <v>120</v>
      </c>
      <c r="X134" t="s">
        <v>120</v>
      </c>
      <c r="Y134" t="s">
        <v>120</v>
      </c>
      <c r="Z134" t="s">
        <v>120</v>
      </c>
      <c r="AA134" t="s">
        <v>120</v>
      </c>
      <c r="AB134" t="s">
        <v>120</v>
      </c>
      <c r="AC134" t="s">
        <v>120</v>
      </c>
      <c r="AD134" t="s">
        <v>120</v>
      </c>
      <c r="AE134" t="s">
        <v>120</v>
      </c>
      <c r="AF134" t="s">
        <v>120</v>
      </c>
      <c r="AG134" t="s">
        <v>120</v>
      </c>
      <c r="AH134" t="s">
        <v>120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5500</v>
      </c>
      <c r="AP134">
        <v>0</v>
      </c>
      <c r="AQ134">
        <v>0</v>
      </c>
      <c r="AR134">
        <v>92.8125</v>
      </c>
      <c r="AS134">
        <v>0</v>
      </c>
    </row>
    <row r="135" spans="1:45" x14ac:dyDescent="0.25">
      <c r="A135" t="s">
        <v>457</v>
      </c>
      <c r="B135" t="s">
        <v>458</v>
      </c>
      <c r="C135" t="s">
        <v>123</v>
      </c>
      <c r="D135" t="s">
        <v>423</v>
      </c>
      <c r="E135" t="s">
        <v>120</v>
      </c>
      <c r="F135" t="s">
        <v>120</v>
      </c>
      <c r="G135" t="s">
        <v>120</v>
      </c>
      <c r="H135" t="s">
        <v>120</v>
      </c>
      <c r="I135" t="s">
        <v>120</v>
      </c>
      <c r="J135" t="s">
        <v>120</v>
      </c>
      <c r="K135" t="s">
        <v>120</v>
      </c>
      <c r="L135" t="s">
        <v>120</v>
      </c>
      <c r="M135" t="s">
        <v>120</v>
      </c>
      <c r="N135" t="s">
        <v>120</v>
      </c>
      <c r="O135" t="s">
        <v>120</v>
      </c>
      <c r="P135" t="s">
        <v>120</v>
      </c>
      <c r="Q135" t="s">
        <v>120</v>
      </c>
      <c r="R135" t="s">
        <v>120</v>
      </c>
      <c r="S135" t="s">
        <v>120</v>
      </c>
      <c r="T135" t="s">
        <v>120</v>
      </c>
      <c r="U135" t="s">
        <v>120</v>
      </c>
      <c r="V135" t="s">
        <v>120</v>
      </c>
      <c r="W135" t="s">
        <v>120</v>
      </c>
      <c r="X135" t="s">
        <v>120</v>
      </c>
      <c r="Y135" t="s">
        <v>120</v>
      </c>
      <c r="Z135" t="s">
        <v>120</v>
      </c>
      <c r="AA135" t="s">
        <v>120</v>
      </c>
      <c r="AB135" t="s">
        <v>120</v>
      </c>
      <c r="AC135" t="s">
        <v>120</v>
      </c>
      <c r="AD135" t="s">
        <v>120</v>
      </c>
      <c r="AE135" t="s">
        <v>120</v>
      </c>
      <c r="AF135" t="s">
        <v>120</v>
      </c>
      <c r="AG135" t="s">
        <v>120</v>
      </c>
      <c r="AH135" t="s">
        <v>120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5500</v>
      </c>
      <c r="AP135">
        <v>0</v>
      </c>
      <c r="AQ135">
        <v>0</v>
      </c>
      <c r="AR135">
        <v>92.8125</v>
      </c>
      <c r="AS135">
        <v>0</v>
      </c>
    </row>
    <row r="136" spans="1:45" x14ac:dyDescent="0.25">
      <c r="A136" t="s">
        <v>459</v>
      </c>
      <c r="B136" t="s">
        <v>460</v>
      </c>
      <c r="C136" t="s">
        <v>123</v>
      </c>
      <c r="D136" t="s">
        <v>423</v>
      </c>
      <c r="E136" t="s">
        <v>120</v>
      </c>
      <c r="F136" t="s">
        <v>120</v>
      </c>
      <c r="G136" t="s">
        <v>120</v>
      </c>
      <c r="H136" t="s">
        <v>120</v>
      </c>
      <c r="I136" t="s">
        <v>120</v>
      </c>
      <c r="J136" t="s">
        <v>120</v>
      </c>
      <c r="K136" t="s">
        <v>120</v>
      </c>
      <c r="L136" t="s">
        <v>120</v>
      </c>
      <c r="M136" t="s">
        <v>120</v>
      </c>
      <c r="N136" t="s">
        <v>120</v>
      </c>
      <c r="O136" t="s">
        <v>120</v>
      </c>
      <c r="P136" t="s">
        <v>120</v>
      </c>
      <c r="Q136" t="s">
        <v>120</v>
      </c>
      <c r="R136" t="s">
        <v>120</v>
      </c>
      <c r="S136" t="s">
        <v>120</v>
      </c>
      <c r="T136" t="s">
        <v>120</v>
      </c>
      <c r="U136" t="s">
        <v>120</v>
      </c>
      <c r="V136" t="s">
        <v>120</v>
      </c>
      <c r="W136" t="s">
        <v>120</v>
      </c>
      <c r="X136" t="s">
        <v>120</v>
      </c>
      <c r="Y136" t="s">
        <v>120</v>
      </c>
      <c r="Z136" t="s">
        <v>120</v>
      </c>
      <c r="AA136" t="s">
        <v>120</v>
      </c>
      <c r="AB136" t="s">
        <v>120</v>
      </c>
      <c r="AC136" t="s">
        <v>120</v>
      </c>
      <c r="AD136" t="s">
        <v>120</v>
      </c>
      <c r="AE136" t="s">
        <v>120</v>
      </c>
      <c r="AF136" t="s">
        <v>120</v>
      </c>
      <c r="AG136" t="s">
        <v>120</v>
      </c>
      <c r="AH136" t="s">
        <v>120</v>
      </c>
      <c r="AJ136">
        <v>20</v>
      </c>
      <c r="AK136">
        <v>20</v>
      </c>
      <c r="AL136">
        <v>0</v>
      </c>
      <c r="AM136">
        <v>0</v>
      </c>
      <c r="AN136">
        <v>0</v>
      </c>
      <c r="AO136">
        <v>5500</v>
      </c>
      <c r="AP136">
        <v>20</v>
      </c>
      <c r="AQ136">
        <v>0</v>
      </c>
      <c r="AR136">
        <v>92.8125</v>
      </c>
      <c r="AS136">
        <v>1375</v>
      </c>
    </row>
    <row r="137" spans="1:45" x14ac:dyDescent="0.25">
      <c r="A137" t="s">
        <v>461</v>
      </c>
      <c r="B137" t="s">
        <v>462</v>
      </c>
      <c r="C137" t="s">
        <v>123</v>
      </c>
      <c r="D137" t="s">
        <v>423</v>
      </c>
      <c r="E137" t="s">
        <v>120</v>
      </c>
      <c r="F137" t="s">
        <v>120</v>
      </c>
      <c r="G137" t="s">
        <v>120</v>
      </c>
      <c r="H137" t="s">
        <v>120</v>
      </c>
      <c r="I137" t="s">
        <v>120</v>
      </c>
      <c r="J137" t="s">
        <v>120</v>
      </c>
      <c r="K137" t="s">
        <v>120</v>
      </c>
      <c r="L137" t="s">
        <v>120</v>
      </c>
      <c r="M137" t="s">
        <v>285</v>
      </c>
      <c r="N137" t="s">
        <v>120</v>
      </c>
      <c r="O137" t="s">
        <v>120</v>
      </c>
      <c r="P137" t="s">
        <v>120</v>
      </c>
      <c r="Q137" t="s">
        <v>120</v>
      </c>
      <c r="R137" t="s">
        <v>120</v>
      </c>
      <c r="S137" t="s">
        <v>120</v>
      </c>
      <c r="T137" t="s">
        <v>120</v>
      </c>
      <c r="U137" t="s">
        <v>120</v>
      </c>
      <c r="V137" t="s">
        <v>120</v>
      </c>
      <c r="W137" t="s">
        <v>120</v>
      </c>
      <c r="X137" t="s">
        <v>120</v>
      </c>
      <c r="Y137" t="s">
        <v>120</v>
      </c>
      <c r="Z137" t="s">
        <v>120</v>
      </c>
      <c r="AA137" t="s">
        <v>120</v>
      </c>
      <c r="AB137" t="s">
        <v>120</v>
      </c>
      <c r="AC137" t="s">
        <v>120</v>
      </c>
      <c r="AD137" t="s">
        <v>120</v>
      </c>
      <c r="AE137" t="s">
        <v>120</v>
      </c>
      <c r="AF137" t="s">
        <v>120</v>
      </c>
      <c r="AG137" t="s">
        <v>120</v>
      </c>
      <c r="AH137" t="s">
        <v>135</v>
      </c>
      <c r="AJ137">
        <v>0</v>
      </c>
      <c r="AK137">
        <v>15</v>
      </c>
      <c r="AL137">
        <v>0</v>
      </c>
      <c r="AM137">
        <v>8</v>
      </c>
      <c r="AN137">
        <v>7</v>
      </c>
      <c r="AO137">
        <v>5500</v>
      </c>
      <c r="AP137">
        <v>8</v>
      </c>
      <c r="AQ137">
        <v>649.6875</v>
      </c>
      <c r="AR137">
        <v>92.8125</v>
      </c>
      <c r="AS137">
        <v>550</v>
      </c>
    </row>
    <row r="138" spans="1:45" x14ac:dyDescent="0.25">
      <c r="A138" t="s">
        <v>463</v>
      </c>
      <c r="B138" t="s">
        <v>464</v>
      </c>
      <c r="C138" t="s">
        <v>123</v>
      </c>
      <c r="D138" t="s">
        <v>423</v>
      </c>
      <c r="G138" t="s">
        <v>120</v>
      </c>
      <c r="I138" t="s">
        <v>120</v>
      </c>
      <c r="K138" t="s">
        <v>120</v>
      </c>
      <c r="M138" t="s">
        <v>120</v>
      </c>
      <c r="N138" t="s">
        <v>120</v>
      </c>
      <c r="U138" t="s">
        <v>120</v>
      </c>
      <c r="Y138" t="s">
        <v>120</v>
      </c>
      <c r="AA138" t="s">
        <v>120</v>
      </c>
      <c r="AB138" t="s">
        <v>120</v>
      </c>
      <c r="AC138" t="s">
        <v>120</v>
      </c>
      <c r="AD138" t="s">
        <v>120</v>
      </c>
      <c r="AE138" t="s">
        <v>120</v>
      </c>
      <c r="AG138" t="s">
        <v>120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5500</v>
      </c>
      <c r="AP138">
        <v>0</v>
      </c>
      <c r="AQ138">
        <v>0</v>
      </c>
      <c r="AR138">
        <v>92.8125</v>
      </c>
      <c r="AS138">
        <v>0</v>
      </c>
    </row>
    <row r="139" spans="1:45" x14ac:dyDescent="0.25">
      <c r="A139" t="s">
        <v>465</v>
      </c>
      <c r="B139" t="s">
        <v>466</v>
      </c>
      <c r="C139" t="s">
        <v>467</v>
      </c>
      <c r="D139" t="s">
        <v>423</v>
      </c>
      <c r="F139" t="s">
        <v>120</v>
      </c>
      <c r="G139" t="s">
        <v>141</v>
      </c>
      <c r="H139" t="s">
        <v>120</v>
      </c>
      <c r="I139" t="s">
        <v>120</v>
      </c>
      <c r="J139" t="s">
        <v>120</v>
      </c>
      <c r="K139" t="s">
        <v>120</v>
      </c>
      <c r="N139" t="s">
        <v>120</v>
      </c>
      <c r="P139" t="s">
        <v>120</v>
      </c>
      <c r="Q139" t="s">
        <v>120</v>
      </c>
      <c r="R139" t="s">
        <v>120</v>
      </c>
      <c r="S139" t="s">
        <v>120</v>
      </c>
      <c r="T139" t="s">
        <v>120</v>
      </c>
      <c r="V139" t="s">
        <v>120</v>
      </c>
      <c r="X139" t="s">
        <v>120</v>
      </c>
      <c r="Y139" t="s">
        <v>120</v>
      </c>
      <c r="Z139" t="s">
        <v>120</v>
      </c>
      <c r="AC139" t="s">
        <v>120</v>
      </c>
      <c r="AD139" t="s">
        <v>120</v>
      </c>
      <c r="AE139" t="s">
        <v>120</v>
      </c>
      <c r="AF139" t="s">
        <v>120</v>
      </c>
      <c r="AJ139">
        <v>0</v>
      </c>
      <c r="AK139">
        <v>8</v>
      </c>
      <c r="AL139">
        <v>8</v>
      </c>
      <c r="AM139">
        <v>0</v>
      </c>
      <c r="AN139">
        <v>0</v>
      </c>
      <c r="AO139">
        <v>4800</v>
      </c>
      <c r="AP139">
        <v>8</v>
      </c>
      <c r="AQ139">
        <v>0</v>
      </c>
      <c r="AR139">
        <v>81</v>
      </c>
      <c r="AS139">
        <v>480</v>
      </c>
    </row>
    <row r="140" spans="1:45" x14ac:dyDescent="0.25">
      <c r="A140" t="s">
        <v>468</v>
      </c>
      <c r="B140" t="s">
        <v>469</v>
      </c>
      <c r="C140" t="s">
        <v>123</v>
      </c>
      <c r="D140" t="s">
        <v>423</v>
      </c>
      <c r="E140" t="s">
        <v>120</v>
      </c>
      <c r="F140" t="s">
        <v>120</v>
      </c>
      <c r="I140" t="s">
        <v>120</v>
      </c>
      <c r="J140" t="s">
        <v>120</v>
      </c>
      <c r="Y140" t="s">
        <v>120</v>
      </c>
      <c r="AB140" t="s">
        <v>120</v>
      </c>
      <c r="AF140" t="s">
        <v>120</v>
      </c>
      <c r="AG140" t="s">
        <v>120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5500</v>
      </c>
      <c r="AP140">
        <v>0</v>
      </c>
      <c r="AQ140">
        <v>0</v>
      </c>
      <c r="AR140">
        <v>92.8125</v>
      </c>
      <c r="AS140">
        <v>0</v>
      </c>
    </row>
    <row r="141" spans="1:45" x14ac:dyDescent="0.25">
      <c r="A141" t="s">
        <v>470</v>
      </c>
      <c r="B141" t="s">
        <v>471</v>
      </c>
      <c r="C141" t="s">
        <v>123</v>
      </c>
      <c r="D141" t="s">
        <v>423</v>
      </c>
      <c r="E141" t="s">
        <v>120</v>
      </c>
      <c r="F141" t="s">
        <v>120</v>
      </c>
      <c r="G141" t="s">
        <v>120</v>
      </c>
      <c r="H141" t="s">
        <v>120</v>
      </c>
      <c r="I141" t="s">
        <v>120</v>
      </c>
      <c r="J141" t="s">
        <v>120</v>
      </c>
      <c r="K141" t="s">
        <v>120</v>
      </c>
      <c r="L141" t="s">
        <v>120</v>
      </c>
      <c r="M141" t="s">
        <v>120</v>
      </c>
      <c r="N141" t="s">
        <v>120</v>
      </c>
      <c r="O141" t="s">
        <v>120</v>
      </c>
      <c r="P141" t="s">
        <v>120</v>
      </c>
      <c r="Q141" t="s">
        <v>120</v>
      </c>
      <c r="R141" t="s">
        <v>120</v>
      </c>
      <c r="S141" t="s">
        <v>120</v>
      </c>
      <c r="T141" t="s">
        <v>120</v>
      </c>
      <c r="U141" t="s">
        <v>120</v>
      </c>
      <c r="V141" t="s">
        <v>120</v>
      </c>
      <c r="W141" t="s">
        <v>120</v>
      </c>
      <c r="X141" t="s">
        <v>120</v>
      </c>
      <c r="Y141" t="s">
        <v>120</v>
      </c>
      <c r="Z141" t="s">
        <v>120</v>
      </c>
      <c r="AA141" t="s">
        <v>120</v>
      </c>
      <c r="AB141" t="s">
        <v>120</v>
      </c>
      <c r="AC141" t="s">
        <v>120</v>
      </c>
      <c r="AD141" t="s">
        <v>120</v>
      </c>
      <c r="AE141" t="s">
        <v>120</v>
      </c>
      <c r="AF141" t="s">
        <v>120</v>
      </c>
      <c r="AG141" t="s">
        <v>120</v>
      </c>
      <c r="AH141" t="s">
        <v>120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5500</v>
      </c>
      <c r="AP141">
        <v>0</v>
      </c>
      <c r="AQ141">
        <v>0</v>
      </c>
      <c r="AR141">
        <v>92.8125</v>
      </c>
      <c r="AS141">
        <v>0</v>
      </c>
    </row>
    <row r="142" spans="1:45" x14ac:dyDescent="0.25">
      <c r="A142" t="s">
        <v>472</v>
      </c>
      <c r="B142" t="s">
        <v>473</v>
      </c>
      <c r="C142" t="s">
        <v>474</v>
      </c>
      <c r="D142" t="s">
        <v>423</v>
      </c>
      <c r="E142" t="s">
        <v>120</v>
      </c>
      <c r="F142" t="s">
        <v>120</v>
      </c>
      <c r="G142" t="s">
        <v>120</v>
      </c>
      <c r="H142" t="s">
        <v>120</v>
      </c>
      <c r="I142" t="s">
        <v>120</v>
      </c>
      <c r="J142" t="s">
        <v>120</v>
      </c>
      <c r="K142" t="s">
        <v>120</v>
      </c>
      <c r="L142" t="s">
        <v>120</v>
      </c>
      <c r="M142" t="s">
        <v>120</v>
      </c>
      <c r="N142" t="s">
        <v>120</v>
      </c>
      <c r="O142" t="s">
        <v>120</v>
      </c>
      <c r="P142" t="s">
        <v>120</v>
      </c>
      <c r="Q142" t="s">
        <v>120</v>
      </c>
      <c r="R142" t="s">
        <v>120</v>
      </c>
      <c r="S142" t="s">
        <v>120</v>
      </c>
      <c r="T142" t="s">
        <v>120</v>
      </c>
      <c r="U142" t="s">
        <v>120</v>
      </c>
      <c r="V142" t="s">
        <v>120</v>
      </c>
      <c r="W142" t="s">
        <v>120</v>
      </c>
      <c r="X142" t="s">
        <v>120</v>
      </c>
      <c r="Y142" t="s">
        <v>120</v>
      </c>
      <c r="Z142" t="s">
        <v>120</v>
      </c>
      <c r="AA142" t="s">
        <v>120</v>
      </c>
      <c r="AB142" t="s">
        <v>120</v>
      </c>
      <c r="AC142" t="s">
        <v>120</v>
      </c>
      <c r="AD142" t="s">
        <v>120</v>
      </c>
      <c r="AE142" t="s">
        <v>120</v>
      </c>
      <c r="AF142" t="s">
        <v>120</v>
      </c>
      <c r="AG142" t="s">
        <v>120</v>
      </c>
      <c r="AH142" t="s">
        <v>120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5500</v>
      </c>
      <c r="AP142">
        <v>0</v>
      </c>
      <c r="AQ142">
        <v>0</v>
      </c>
      <c r="AR142">
        <v>92.8125</v>
      </c>
      <c r="AS142">
        <v>0</v>
      </c>
    </row>
    <row r="143" spans="1:45" x14ac:dyDescent="0.25">
      <c r="A143" t="s">
        <v>475</v>
      </c>
      <c r="B143" t="s">
        <v>476</v>
      </c>
      <c r="C143" t="s">
        <v>474</v>
      </c>
      <c r="D143" t="s">
        <v>423</v>
      </c>
      <c r="E143" t="s">
        <v>120</v>
      </c>
      <c r="F143" t="s">
        <v>120</v>
      </c>
      <c r="G143" t="s">
        <v>120</v>
      </c>
      <c r="H143" t="s">
        <v>120</v>
      </c>
      <c r="I143" t="s">
        <v>120</v>
      </c>
      <c r="J143" t="s">
        <v>120</v>
      </c>
      <c r="K143" t="s">
        <v>120</v>
      </c>
      <c r="L143" t="s">
        <v>120</v>
      </c>
      <c r="M143" t="s">
        <v>120</v>
      </c>
      <c r="N143" t="s">
        <v>120</v>
      </c>
      <c r="O143" t="s">
        <v>120</v>
      </c>
      <c r="P143" t="s">
        <v>120</v>
      </c>
      <c r="Q143" t="s">
        <v>120</v>
      </c>
      <c r="R143" t="s">
        <v>120</v>
      </c>
      <c r="S143" t="s">
        <v>120</v>
      </c>
      <c r="T143" t="s">
        <v>120</v>
      </c>
      <c r="U143" t="s">
        <v>120</v>
      </c>
      <c r="V143" t="s">
        <v>120</v>
      </c>
      <c r="W143" t="s">
        <v>120</v>
      </c>
      <c r="X143" t="s">
        <v>120</v>
      </c>
      <c r="Y143" t="s">
        <v>120</v>
      </c>
      <c r="Z143" t="s">
        <v>120</v>
      </c>
      <c r="AA143" t="s">
        <v>120</v>
      </c>
      <c r="AB143" t="s">
        <v>120</v>
      </c>
      <c r="AC143" t="s">
        <v>120</v>
      </c>
      <c r="AD143" t="s">
        <v>120</v>
      </c>
      <c r="AE143" t="s">
        <v>120</v>
      </c>
      <c r="AF143" t="s">
        <v>120</v>
      </c>
      <c r="AG143" t="s">
        <v>120</v>
      </c>
      <c r="AH143" t="s">
        <v>120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5500</v>
      </c>
      <c r="AP143">
        <v>0</v>
      </c>
      <c r="AQ143">
        <v>0</v>
      </c>
      <c r="AR143">
        <v>92.8125</v>
      </c>
      <c r="AS143">
        <v>0</v>
      </c>
    </row>
    <row r="144" spans="1:45" x14ac:dyDescent="0.25">
      <c r="A144" t="s">
        <v>477</v>
      </c>
      <c r="B144" t="s">
        <v>478</v>
      </c>
      <c r="C144" t="s">
        <v>123</v>
      </c>
      <c r="D144" t="s">
        <v>423</v>
      </c>
      <c r="E144" t="s">
        <v>120</v>
      </c>
      <c r="F144" t="s">
        <v>120</v>
      </c>
      <c r="G144" t="s">
        <v>120</v>
      </c>
      <c r="H144" t="s">
        <v>120</v>
      </c>
      <c r="I144" t="s">
        <v>120</v>
      </c>
      <c r="J144" t="s">
        <v>120</v>
      </c>
      <c r="K144" t="s">
        <v>120</v>
      </c>
      <c r="L144" t="s">
        <v>120</v>
      </c>
      <c r="M144" t="s">
        <v>120</v>
      </c>
      <c r="N144" t="s">
        <v>120</v>
      </c>
      <c r="O144" t="s">
        <v>120</v>
      </c>
      <c r="P144" t="s">
        <v>120</v>
      </c>
      <c r="Q144" t="s">
        <v>120</v>
      </c>
      <c r="R144" t="s">
        <v>120</v>
      </c>
      <c r="S144" t="s">
        <v>120</v>
      </c>
      <c r="T144" t="s">
        <v>120</v>
      </c>
      <c r="U144" t="s">
        <v>120</v>
      </c>
      <c r="V144" t="s">
        <v>120</v>
      </c>
      <c r="W144" t="s">
        <v>120</v>
      </c>
      <c r="X144" t="s">
        <v>120</v>
      </c>
      <c r="Y144" t="s">
        <v>120</v>
      </c>
      <c r="Z144" t="s">
        <v>120</v>
      </c>
      <c r="AA144" t="s">
        <v>120</v>
      </c>
      <c r="AB144" t="s">
        <v>120</v>
      </c>
      <c r="AC144" t="s">
        <v>120</v>
      </c>
      <c r="AD144" t="s">
        <v>120</v>
      </c>
      <c r="AE144" t="s">
        <v>285</v>
      </c>
      <c r="AF144" t="s">
        <v>120</v>
      </c>
      <c r="AG144" t="s">
        <v>285</v>
      </c>
      <c r="AH144" t="s">
        <v>120</v>
      </c>
      <c r="AJ144">
        <v>0</v>
      </c>
      <c r="AK144">
        <v>14</v>
      </c>
      <c r="AL144">
        <v>0</v>
      </c>
      <c r="AM144">
        <v>0</v>
      </c>
      <c r="AN144">
        <v>14</v>
      </c>
      <c r="AO144">
        <v>5500</v>
      </c>
      <c r="AP144">
        <v>0</v>
      </c>
      <c r="AQ144">
        <v>1299.375</v>
      </c>
      <c r="AR144">
        <v>92.8125</v>
      </c>
      <c r="AS144">
        <v>0</v>
      </c>
    </row>
    <row r="145" spans="1:45" x14ac:dyDescent="0.25">
      <c r="A145" t="s">
        <v>479</v>
      </c>
      <c r="B145" t="s">
        <v>480</v>
      </c>
      <c r="C145" t="s">
        <v>123</v>
      </c>
      <c r="D145" t="s">
        <v>423</v>
      </c>
      <c r="E145" t="s">
        <v>120</v>
      </c>
      <c r="F145" t="s">
        <v>120</v>
      </c>
      <c r="G145" t="s">
        <v>120</v>
      </c>
      <c r="H145" t="s">
        <v>120</v>
      </c>
      <c r="I145" t="s">
        <v>120</v>
      </c>
      <c r="J145" t="s">
        <v>120</v>
      </c>
      <c r="K145" t="s">
        <v>120</v>
      </c>
      <c r="L145" t="s">
        <v>120</v>
      </c>
      <c r="M145" t="s">
        <v>120</v>
      </c>
      <c r="N145" t="s">
        <v>120</v>
      </c>
      <c r="O145" t="s">
        <v>120</v>
      </c>
      <c r="P145" t="s">
        <v>120</v>
      </c>
      <c r="Q145" t="s">
        <v>120</v>
      </c>
      <c r="R145" t="s">
        <v>120</v>
      </c>
      <c r="S145" t="s">
        <v>120</v>
      </c>
      <c r="T145" t="s">
        <v>120</v>
      </c>
      <c r="U145" t="s">
        <v>120</v>
      </c>
      <c r="V145" t="s">
        <v>120</v>
      </c>
      <c r="W145" t="s">
        <v>120</v>
      </c>
      <c r="X145" t="s">
        <v>120</v>
      </c>
      <c r="Y145" t="s">
        <v>120</v>
      </c>
      <c r="Z145" t="s">
        <v>120</v>
      </c>
      <c r="AA145" t="s">
        <v>120</v>
      </c>
      <c r="AB145" t="s">
        <v>120</v>
      </c>
      <c r="AC145" t="s">
        <v>120</v>
      </c>
      <c r="AD145" t="s">
        <v>120</v>
      </c>
      <c r="AE145" t="s">
        <v>120</v>
      </c>
      <c r="AF145" t="s">
        <v>120</v>
      </c>
      <c r="AG145" t="s">
        <v>120</v>
      </c>
      <c r="AH145" t="s">
        <v>120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5500</v>
      </c>
      <c r="AP145">
        <v>0</v>
      </c>
      <c r="AQ145">
        <v>0</v>
      </c>
      <c r="AR145">
        <v>92.8125</v>
      </c>
      <c r="AS145">
        <v>0</v>
      </c>
    </row>
    <row r="146" spans="1:45" x14ac:dyDescent="0.25">
      <c r="A146" t="s">
        <v>481</v>
      </c>
      <c r="B146" t="s">
        <v>482</v>
      </c>
      <c r="C146" t="s">
        <v>123</v>
      </c>
      <c r="D146" t="s">
        <v>423</v>
      </c>
      <c r="E146" t="s">
        <v>120</v>
      </c>
      <c r="F146" t="s">
        <v>120</v>
      </c>
      <c r="G146" t="s">
        <v>120</v>
      </c>
      <c r="H146" t="s">
        <v>120</v>
      </c>
      <c r="I146" t="s">
        <v>120</v>
      </c>
      <c r="J146" t="s">
        <v>120</v>
      </c>
      <c r="K146" t="s">
        <v>120</v>
      </c>
      <c r="L146" t="s">
        <v>120</v>
      </c>
      <c r="M146" t="s">
        <v>120</v>
      </c>
      <c r="N146" t="s">
        <v>120</v>
      </c>
      <c r="O146" t="s">
        <v>120</v>
      </c>
      <c r="P146" t="s">
        <v>120</v>
      </c>
      <c r="Q146" t="s">
        <v>120</v>
      </c>
      <c r="R146" t="s">
        <v>120</v>
      </c>
      <c r="S146" t="s">
        <v>120</v>
      </c>
      <c r="T146" t="s">
        <v>120</v>
      </c>
      <c r="U146" t="s">
        <v>120</v>
      </c>
      <c r="V146" t="s">
        <v>120</v>
      </c>
      <c r="W146" t="s">
        <v>120</v>
      </c>
      <c r="X146" t="s">
        <v>120</v>
      </c>
      <c r="Y146" t="s">
        <v>120</v>
      </c>
      <c r="Z146" t="s">
        <v>120</v>
      </c>
      <c r="AA146" t="s">
        <v>120</v>
      </c>
      <c r="AC146" t="s">
        <v>120</v>
      </c>
      <c r="AD146" t="s">
        <v>120</v>
      </c>
      <c r="AE146" t="s">
        <v>285</v>
      </c>
      <c r="AF146" t="s">
        <v>120</v>
      </c>
      <c r="AG146" t="s">
        <v>120</v>
      </c>
      <c r="AH146" t="s">
        <v>120</v>
      </c>
      <c r="AJ146">
        <v>0</v>
      </c>
      <c r="AK146">
        <v>7</v>
      </c>
      <c r="AL146">
        <v>0</v>
      </c>
      <c r="AM146">
        <v>0</v>
      </c>
      <c r="AN146">
        <v>7</v>
      </c>
      <c r="AO146">
        <v>5500</v>
      </c>
      <c r="AP146">
        <v>0</v>
      </c>
      <c r="AQ146">
        <v>649.6875</v>
      </c>
      <c r="AR146">
        <v>92.8125</v>
      </c>
      <c r="AS146">
        <v>0</v>
      </c>
    </row>
    <row r="147" spans="1:45" x14ac:dyDescent="0.25">
      <c r="A147" t="s">
        <v>483</v>
      </c>
      <c r="B147" t="s">
        <v>484</v>
      </c>
      <c r="C147" t="s">
        <v>123</v>
      </c>
      <c r="D147" t="s">
        <v>423</v>
      </c>
      <c r="E147" t="s">
        <v>120</v>
      </c>
      <c r="F147" t="s">
        <v>120</v>
      </c>
      <c r="G147" t="s">
        <v>120</v>
      </c>
      <c r="H147" t="s">
        <v>120</v>
      </c>
      <c r="I147" t="s">
        <v>120</v>
      </c>
      <c r="J147" t="s">
        <v>120</v>
      </c>
      <c r="K147" t="s">
        <v>120</v>
      </c>
      <c r="L147" t="s">
        <v>120</v>
      </c>
      <c r="M147" t="s">
        <v>120</v>
      </c>
      <c r="N147" t="s">
        <v>120</v>
      </c>
      <c r="O147" t="s">
        <v>120</v>
      </c>
      <c r="P147" t="s">
        <v>120</v>
      </c>
      <c r="Q147" t="s">
        <v>120</v>
      </c>
      <c r="R147" t="s">
        <v>120</v>
      </c>
      <c r="S147" t="s">
        <v>120</v>
      </c>
      <c r="T147" t="s">
        <v>120</v>
      </c>
      <c r="U147" t="s">
        <v>120</v>
      </c>
      <c r="V147" t="s">
        <v>120</v>
      </c>
      <c r="W147" t="s">
        <v>120</v>
      </c>
      <c r="X147" t="s">
        <v>120</v>
      </c>
      <c r="Y147" t="s">
        <v>120</v>
      </c>
      <c r="Z147" t="s">
        <v>120</v>
      </c>
      <c r="AA147" t="s">
        <v>120</v>
      </c>
      <c r="AB147" t="s">
        <v>120</v>
      </c>
      <c r="AC147" t="s">
        <v>120</v>
      </c>
      <c r="AD147" t="s">
        <v>120</v>
      </c>
      <c r="AE147" t="s">
        <v>120</v>
      </c>
      <c r="AF147" t="s">
        <v>120</v>
      </c>
      <c r="AG147" t="s">
        <v>120</v>
      </c>
      <c r="AH147" t="s">
        <v>120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5500</v>
      </c>
      <c r="AP147">
        <v>0</v>
      </c>
      <c r="AQ147">
        <v>0</v>
      </c>
      <c r="AR147">
        <v>92.8125</v>
      </c>
      <c r="AS147">
        <v>0</v>
      </c>
    </row>
    <row r="148" spans="1:45" x14ac:dyDescent="0.25">
      <c r="A148" t="s">
        <v>485</v>
      </c>
      <c r="B148" t="s">
        <v>486</v>
      </c>
      <c r="C148" t="s">
        <v>123</v>
      </c>
      <c r="D148" t="s">
        <v>423</v>
      </c>
      <c r="E148" t="s">
        <v>120</v>
      </c>
      <c r="F148" t="s">
        <v>120</v>
      </c>
      <c r="G148" t="s">
        <v>120</v>
      </c>
      <c r="H148" t="s">
        <v>120</v>
      </c>
      <c r="I148" t="s">
        <v>120</v>
      </c>
      <c r="J148" t="s">
        <v>120</v>
      </c>
      <c r="K148" t="s">
        <v>120</v>
      </c>
      <c r="L148" t="s">
        <v>120</v>
      </c>
      <c r="M148" t="s">
        <v>120</v>
      </c>
      <c r="N148" t="s">
        <v>120</v>
      </c>
      <c r="O148" t="s">
        <v>120</v>
      </c>
      <c r="P148" t="s">
        <v>120</v>
      </c>
      <c r="Q148" t="s">
        <v>120</v>
      </c>
      <c r="R148" t="s">
        <v>120</v>
      </c>
      <c r="S148" t="s">
        <v>120</v>
      </c>
      <c r="T148" t="s">
        <v>120</v>
      </c>
      <c r="U148" t="s">
        <v>120</v>
      </c>
      <c r="V148" t="s">
        <v>120</v>
      </c>
      <c r="W148" t="s">
        <v>120</v>
      </c>
      <c r="X148" t="s">
        <v>120</v>
      </c>
      <c r="Y148" t="s">
        <v>120</v>
      </c>
      <c r="Z148" t="s">
        <v>341</v>
      </c>
      <c r="AA148" t="s">
        <v>120</v>
      </c>
      <c r="AB148" t="s">
        <v>120</v>
      </c>
      <c r="AC148" t="s">
        <v>120</v>
      </c>
      <c r="AD148" t="s">
        <v>120</v>
      </c>
      <c r="AE148" t="s">
        <v>120</v>
      </c>
      <c r="AF148" t="s">
        <v>120</v>
      </c>
      <c r="AG148" t="s">
        <v>120</v>
      </c>
      <c r="AH148" t="s">
        <v>120</v>
      </c>
      <c r="AJ148">
        <v>0</v>
      </c>
      <c r="AK148">
        <v>4</v>
      </c>
      <c r="AL148">
        <v>4</v>
      </c>
      <c r="AM148">
        <v>0</v>
      </c>
      <c r="AN148">
        <v>0</v>
      </c>
      <c r="AO148">
        <v>5500</v>
      </c>
      <c r="AP148">
        <v>4</v>
      </c>
      <c r="AQ148">
        <v>0</v>
      </c>
      <c r="AR148">
        <v>92.8125</v>
      </c>
      <c r="AS148">
        <v>275</v>
      </c>
    </row>
    <row r="149" spans="1:45" x14ac:dyDescent="0.25">
      <c r="A149" t="s">
        <v>487</v>
      </c>
      <c r="B149" t="s">
        <v>488</v>
      </c>
      <c r="C149" t="s">
        <v>489</v>
      </c>
      <c r="D149" t="s">
        <v>423</v>
      </c>
      <c r="E149" t="s">
        <v>120</v>
      </c>
      <c r="F149" t="s">
        <v>120</v>
      </c>
      <c r="G149" t="s">
        <v>120</v>
      </c>
      <c r="H149" t="s">
        <v>120</v>
      </c>
      <c r="I149" t="s">
        <v>120</v>
      </c>
      <c r="J149" t="s">
        <v>120</v>
      </c>
      <c r="K149" t="s">
        <v>120</v>
      </c>
      <c r="L149" t="s">
        <v>120</v>
      </c>
      <c r="M149" t="s">
        <v>120</v>
      </c>
      <c r="N149" t="s">
        <v>120</v>
      </c>
      <c r="O149" t="s">
        <v>120</v>
      </c>
      <c r="P149" t="s">
        <v>120</v>
      </c>
      <c r="Q149" t="s">
        <v>120</v>
      </c>
      <c r="R149" t="s">
        <v>120</v>
      </c>
      <c r="S149" t="s">
        <v>120</v>
      </c>
      <c r="T149" t="s">
        <v>120</v>
      </c>
      <c r="U149" t="s">
        <v>120</v>
      </c>
      <c r="V149" t="s">
        <v>120</v>
      </c>
      <c r="W149" t="s">
        <v>120</v>
      </c>
      <c r="X149" t="s">
        <v>120</v>
      </c>
      <c r="Y149" t="s">
        <v>120</v>
      </c>
      <c r="Z149" t="s">
        <v>120</v>
      </c>
      <c r="AA149" t="s">
        <v>120</v>
      </c>
      <c r="AB149" t="s">
        <v>120</v>
      </c>
      <c r="AC149" t="s">
        <v>120</v>
      </c>
      <c r="AD149" t="s">
        <v>120</v>
      </c>
      <c r="AE149" t="s">
        <v>120</v>
      </c>
      <c r="AF149" t="s">
        <v>120</v>
      </c>
      <c r="AG149" t="s">
        <v>120</v>
      </c>
      <c r="AH149" t="s">
        <v>120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4800</v>
      </c>
      <c r="AP149">
        <v>0</v>
      </c>
      <c r="AQ149">
        <v>0</v>
      </c>
      <c r="AR149">
        <v>81</v>
      </c>
      <c r="AS149">
        <v>0</v>
      </c>
    </row>
    <row r="150" spans="1:45" x14ac:dyDescent="0.25">
      <c r="A150" t="s">
        <v>490</v>
      </c>
      <c r="B150" t="s">
        <v>491</v>
      </c>
      <c r="C150" t="s">
        <v>474</v>
      </c>
      <c r="D150" t="s">
        <v>423</v>
      </c>
      <c r="E150" t="s">
        <v>120</v>
      </c>
      <c r="F150" t="s">
        <v>285</v>
      </c>
      <c r="G150" t="s">
        <v>120</v>
      </c>
      <c r="H150" t="s">
        <v>120</v>
      </c>
      <c r="I150" t="s">
        <v>120</v>
      </c>
      <c r="J150" t="s">
        <v>120</v>
      </c>
      <c r="K150" t="s">
        <v>120</v>
      </c>
      <c r="L150" t="s">
        <v>120</v>
      </c>
      <c r="M150" t="s">
        <v>120</v>
      </c>
      <c r="N150" t="s">
        <v>120</v>
      </c>
      <c r="O150" t="s">
        <v>120</v>
      </c>
      <c r="P150" t="s">
        <v>120</v>
      </c>
      <c r="Q150" t="s">
        <v>120</v>
      </c>
      <c r="R150" t="s">
        <v>120</v>
      </c>
      <c r="S150" t="s">
        <v>120</v>
      </c>
      <c r="T150" t="s">
        <v>120</v>
      </c>
      <c r="U150" t="s">
        <v>120</v>
      </c>
      <c r="V150" t="s">
        <v>120</v>
      </c>
      <c r="W150" t="s">
        <v>120</v>
      </c>
      <c r="X150" t="s">
        <v>120</v>
      </c>
      <c r="Y150" t="s">
        <v>120</v>
      </c>
      <c r="Z150" t="s">
        <v>120</v>
      </c>
      <c r="AA150" t="s">
        <v>120</v>
      </c>
      <c r="AB150" t="s">
        <v>120</v>
      </c>
      <c r="AC150" t="s">
        <v>120</v>
      </c>
      <c r="AD150" t="s">
        <v>120</v>
      </c>
      <c r="AE150" t="s">
        <v>120</v>
      </c>
      <c r="AF150" t="s">
        <v>120</v>
      </c>
      <c r="AG150" t="s">
        <v>120</v>
      </c>
      <c r="AH150" t="s">
        <v>120</v>
      </c>
      <c r="AJ150">
        <v>0</v>
      </c>
      <c r="AK150">
        <v>7</v>
      </c>
      <c r="AL150">
        <v>0</v>
      </c>
      <c r="AM150">
        <v>0</v>
      </c>
      <c r="AN150">
        <v>7</v>
      </c>
      <c r="AO150">
        <v>5500</v>
      </c>
      <c r="AP150">
        <v>0</v>
      </c>
      <c r="AQ150">
        <v>649.6875</v>
      </c>
      <c r="AR150">
        <v>92.8125</v>
      </c>
      <c r="AS150">
        <v>0</v>
      </c>
    </row>
    <row r="151" spans="1:45" x14ac:dyDescent="0.25">
      <c r="A151" t="s">
        <v>492</v>
      </c>
      <c r="B151" t="s">
        <v>493</v>
      </c>
      <c r="C151" t="s">
        <v>123</v>
      </c>
      <c r="D151" t="s">
        <v>423</v>
      </c>
      <c r="E151" t="s">
        <v>120</v>
      </c>
      <c r="F151" t="s">
        <v>285</v>
      </c>
      <c r="G151" t="s">
        <v>120</v>
      </c>
      <c r="H151" t="s">
        <v>285</v>
      </c>
      <c r="I151" t="s">
        <v>120</v>
      </c>
      <c r="J151" t="s">
        <v>120</v>
      </c>
      <c r="K151" t="s">
        <v>120</v>
      </c>
      <c r="L151" t="s">
        <v>120</v>
      </c>
      <c r="M151" t="s">
        <v>120</v>
      </c>
      <c r="N151" t="s">
        <v>120</v>
      </c>
      <c r="O151" t="s">
        <v>120</v>
      </c>
      <c r="P151" t="s">
        <v>120</v>
      </c>
      <c r="Q151" t="s">
        <v>120</v>
      </c>
      <c r="R151" t="s">
        <v>285</v>
      </c>
      <c r="S151" t="s">
        <v>120</v>
      </c>
      <c r="T151" t="s">
        <v>120</v>
      </c>
      <c r="U151" t="s">
        <v>120</v>
      </c>
      <c r="V151" t="s">
        <v>120</v>
      </c>
      <c r="W151" t="s">
        <v>120</v>
      </c>
      <c r="X151" t="s">
        <v>120</v>
      </c>
      <c r="Y151" t="s">
        <v>120</v>
      </c>
      <c r="Z151" t="s">
        <v>120</v>
      </c>
      <c r="AA151" t="s">
        <v>120</v>
      </c>
      <c r="AB151" t="s">
        <v>120</v>
      </c>
      <c r="AC151" t="s">
        <v>120</v>
      </c>
      <c r="AD151" t="s">
        <v>120</v>
      </c>
      <c r="AE151" t="s">
        <v>120</v>
      </c>
      <c r="AF151" t="s">
        <v>120</v>
      </c>
      <c r="AG151" t="s">
        <v>120</v>
      </c>
      <c r="AH151" t="s">
        <v>120</v>
      </c>
      <c r="AJ151">
        <v>0</v>
      </c>
      <c r="AK151">
        <v>21</v>
      </c>
      <c r="AL151">
        <v>0</v>
      </c>
      <c r="AM151">
        <v>0</v>
      </c>
      <c r="AN151">
        <v>21</v>
      </c>
      <c r="AO151">
        <v>5500</v>
      </c>
      <c r="AP151">
        <v>0</v>
      </c>
      <c r="AQ151">
        <v>1949.0625</v>
      </c>
      <c r="AR151">
        <v>92.8125</v>
      </c>
      <c r="AS151">
        <v>0</v>
      </c>
    </row>
    <row r="152" spans="1:45" x14ac:dyDescent="0.25">
      <c r="A152" t="s">
        <v>494</v>
      </c>
      <c r="B152" t="s">
        <v>495</v>
      </c>
      <c r="C152" t="s">
        <v>123</v>
      </c>
      <c r="D152" t="s">
        <v>423</v>
      </c>
      <c r="E152" t="s">
        <v>120</v>
      </c>
      <c r="F152" t="s">
        <v>120</v>
      </c>
      <c r="G152" t="s">
        <v>120</v>
      </c>
      <c r="H152" t="s">
        <v>120</v>
      </c>
      <c r="I152" t="s">
        <v>120</v>
      </c>
      <c r="J152" t="s">
        <v>120</v>
      </c>
      <c r="K152" t="s">
        <v>120</v>
      </c>
      <c r="L152" t="s">
        <v>120</v>
      </c>
      <c r="M152" t="s">
        <v>120</v>
      </c>
      <c r="N152" t="s">
        <v>120</v>
      </c>
      <c r="O152" t="s">
        <v>120</v>
      </c>
      <c r="P152" t="s">
        <v>120</v>
      </c>
      <c r="Q152" t="s">
        <v>120</v>
      </c>
      <c r="R152" t="s">
        <v>120</v>
      </c>
      <c r="S152" t="s">
        <v>120</v>
      </c>
      <c r="T152" t="s">
        <v>120</v>
      </c>
      <c r="U152" t="s">
        <v>120</v>
      </c>
      <c r="V152" t="s">
        <v>120</v>
      </c>
      <c r="W152" t="s">
        <v>120</v>
      </c>
      <c r="X152" t="s">
        <v>120</v>
      </c>
      <c r="Y152" t="s">
        <v>120</v>
      </c>
      <c r="Z152" t="s">
        <v>120</v>
      </c>
      <c r="AA152" t="s">
        <v>120</v>
      </c>
      <c r="AB152" t="s">
        <v>120</v>
      </c>
      <c r="AC152" t="s">
        <v>120</v>
      </c>
      <c r="AD152" t="s">
        <v>120</v>
      </c>
      <c r="AE152" t="s">
        <v>120</v>
      </c>
      <c r="AF152" t="s">
        <v>120</v>
      </c>
      <c r="AG152" t="s">
        <v>120</v>
      </c>
      <c r="AH152" t="s">
        <v>120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5500</v>
      </c>
      <c r="AP152">
        <v>0</v>
      </c>
      <c r="AQ152">
        <v>0</v>
      </c>
      <c r="AR152">
        <v>92.8125</v>
      </c>
      <c r="AS152">
        <v>0</v>
      </c>
    </row>
    <row r="153" spans="1:45" x14ac:dyDescent="0.25">
      <c r="A153" t="s">
        <v>496</v>
      </c>
      <c r="B153" t="s">
        <v>497</v>
      </c>
      <c r="C153" t="s">
        <v>123</v>
      </c>
      <c r="D153" t="s">
        <v>423</v>
      </c>
      <c r="E153" t="s">
        <v>120</v>
      </c>
      <c r="F153" t="s">
        <v>120</v>
      </c>
      <c r="G153" t="s">
        <v>120</v>
      </c>
      <c r="H153" t="s">
        <v>120</v>
      </c>
      <c r="I153" t="s">
        <v>120</v>
      </c>
      <c r="J153" t="s">
        <v>120</v>
      </c>
      <c r="K153" t="s">
        <v>120</v>
      </c>
      <c r="L153" t="s">
        <v>120</v>
      </c>
      <c r="M153" t="s">
        <v>120</v>
      </c>
      <c r="N153" t="s">
        <v>120</v>
      </c>
      <c r="O153" t="s">
        <v>120</v>
      </c>
      <c r="P153" t="s">
        <v>120</v>
      </c>
      <c r="Q153" t="s">
        <v>120</v>
      </c>
      <c r="R153" t="s">
        <v>120</v>
      </c>
      <c r="S153" t="s">
        <v>120</v>
      </c>
      <c r="T153" t="s">
        <v>120</v>
      </c>
      <c r="U153" t="s">
        <v>120</v>
      </c>
      <c r="V153" t="s">
        <v>120</v>
      </c>
      <c r="W153" t="s">
        <v>120</v>
      </c>
      <c r="X153" t="s">
        <v>120</v>
      </c>
      <c r="Y153" t="s">
        <v>120</v>
      </c>
      <c r="Z153" t="s">
        <v>120</v>
      </c>
      <c r="AA153" t="s">
        <v>120</v>
      </c>
      <c r="AB153" t="s">
        <v>120</v>
      </c>
      <c r="AC153" t="s">
        <v>120</v>
      </c>
      <c r="AD153" t="s">
        <v>120</v>
      </c>
      <c r="AE153" t="s">
        <v>120</v>
      </c>
      <c r="AF153" t="s">
        <v>120</v>
      </c>
      <c r="AG153" t="s">
        <v>120</v>
      </c>
      <c r="AH153" t="s">
        <v>120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5500</v>
      </c>
      <c r="AP153">
        <v>0</v>
      </c>
      <c r="AQ153">
        <v>0</v>
      </c>
      <c r="AR153">
        <v>92.8125</v>
      </c>
      <c r="AS153">
        <v>0</v>
      </c>
    </row>
    <row r="154" spans="1:45" x14ac:dyDescent="0.25">
      <c r="A154" t="s">
        <v>498</v>
      </c>
      <c r="B154" t="s">
        <v>499</v>
      </c>
      <c r="C154" t="s">
        <v>123</v>
      </c>
      <c r="D154" t="s">
        <v>423</v>
      </c>
      <c r="E154" t="s">
        <v>120</v>
      </c>
      <c r="F154" t="s">
        <v>120</v>
      </c>
      <c r="G154" t="s">
        <v>120</v>
      </c>
      <c r="H154" t="s">
        <v>120</v>
      </c>
      <c r="I154" t="s">
        <v>120</v>
      </c>
      <c r="J154" t="s">
        <v>120</v>
      </c>
      <c r="K154" t="s">
        <v>120</v>
      </c>
      <c r="L154" t="s">
        <v>120</v>
      </c>
      <c r="M154" t="s">
        <v>120</v>
      </c>
      <c r="N154" t="s">
        <v>120</v>
      </c>
      <c r="O154" t="s">
        <v>120</v>
      </c>
      <c r="P154" t="s">
        <v>120</v>
      </c>
      <c r="Q154" t="s">
        <v>120</v>
      </c>
      <c r="R154" t="s">
        <v>120</v>
      </c>
      <c r="S154" t="s">
        <v>120</v>
      </c>
      <c r="T154" t="s">
        <v>120</v>
      </c>
      <c r="U154" t="s">
        <v>120</v>
      </c>
      <c r="V154" t="s">
        <v>120</v>
      </c>
      <c r="W154" t="s">
        <v>120</v>
      </c>
      <c r="X154" t="s">
        <v>120</v>
      </c>
      <c r="Y154" t="s">
        <v>120</v>
      </c>
      <c r="Z154" t="s">
        <v>120</v>
      </c>
      <c r="AA154" t="s">
        <v>120</v>
      </c>
      <c r="AB154" t="s">
        <v>120</v>
      </c>
      <c r="AC154" t="s">
        <v>120</v>
      </c>
      <c r="AD154" t="s">
        <v>120</v>
      </c>
      <c r="AE154" t="s">
        <v>120</v>
      </c>
      <c r="AF154" t="s">
        <v>120</v>
      </c>
      <c r="AG154" t="s">
        <v>120</v>
      </c>
      <c r="AH154" t="s">
        <v>120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5500</v>
      </c>
      <c r="AP154">
        <v>0</v>
      </c>
      <c r="AQ154">
        <v>0</v>
      </c>
      <c r="AR154">
        <v>92.8125</v>
      </c>
      <c r="AS154">
        <v>0</v>
      </c>
    </row>
    <row r="155" spans="1:45" x14ac:dyDescent="0.25">
      <c r="A155" t="s">
        <v>500</v>
      </c>
      <c r="B155" t="s">
        <v>501</v>
      </c>
      <c r="C155" t="s">
        <v>123</v>
      </c>
      <c r="D155" t="s">
        <v>423</v>
      </c>
      <c r="E155" t="s">
        <v>120</v>
      </c>
      <c r="F155" t="s">
        <v>120</v>
      </c>
      <c r="G155" t="s">
        <v>120</v>
      </c>
      <c r="H155" t="s">
        <v>120</v>
      </c>
      <c r="I155" t="s">
        <v>120</v>
      </c>
      <c r="J155" t="s">
        <v>120</v>
      </c>
      <c r="K155" t="s">
        <v>120</v>
      </c>
      <c r="L155" t="s">
        <v>120</v>
      </c>
      <c r="M155" t="s">
        <v>120</v>
      </c>
      <c r="N155" t="s">
        <v>120</v>
      </c>
      <c r="O155" t="s">
        <v>120</v>
      </c>
      <c r="P155" t="s">
        <v>120</v>
      </c>
      <c r="Q155" t="s">
        <v>120</v>
      </c>
      <c r="R155" t="s">
        <v>120</v>
      </c>
      <c r="S155" t="s">
        <v>120</v>
      </c>
      <c r="T155" t="s">
        <v>120</v>
      </c>
      <c r="U155" t="s">
        <v>120</v>
      </c>
      <c r="V155" t="s">
        <v>120</v>
      </c>
      <c r="W155" t="s">
        <v>120</v>
      </c>
      <c r="X155" t="s">
        <v>120</v>
      </c>
      <c r="Y155" t="s">
        <v>120</v>
      </c>
      <c r="Z155" t="s">
        <v>120</v>
      </c>
      <c r="AA155" t="s">
        <v>120</v>
      </c>
      <c r="AB155" t="s">
        <v>120</v>
      </c>
      <c r="AC155" t="s">
        <v>120</v>
      </c>
      <c r="AD155" t="s">
        <v>120</v>
      </c>
      <c r="AE155" t="s">
        <v>120</v>
      </c>
      <c r="AF155" t="s">
        <v>120</v>
      </c>
      <c r="AG155" t="s">
        <v>120</v>
      </c>
      <c r="AH155" t="s">
        <v>120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5500</v>
      </c>
      <c r="AP155">
        <v>0</v>
      </c>
      <c r="AQ155">
        <v>0</v>
      </c>
      <c r="AR155">
        <v>92.8125</v>
      </c>
      <c r="AS155">
        <v>0</v>
      </c>
    </row>
    <row r="156" spans="1:45" x14ac:dyDescent="0.25">
      <c r="A156" t="s">
        <v>502</v>
      </c>
      <c r="B156" t="s">
        <v>503</v>
      </c>
      <c r="C156" t="s">
        <v>123</v>
      </c>
      <c r="D156" t="s">
        <v>423</v>
      </c>
      <c r="E156" t="s">
        <v>120</v>
      </c>
      <c r="F156" t="s">
        <v>120</v>
      </c>
      <c r="G156" t="s">
        <v>120</v>
      </c>
      <c r="H156" t="s">
        <v>120</v>
      </c>
      <c r="I156" t="s">
        <v>120</v>
      </c>
      <c r="J156" t="s">
        <v>120</v>
      </c>
      <c r="K156" t="s">
        <v>120</v>
      </c>
      <c r="L156" t="s">
        <v>120</v>
      </c>
      <c r="M156" t="s">
        <v>120</v>
      </c>
      <c r="N156" t="s">
        <v>120</v>
      </c>
      <c r="O156" t="s">
        <v>120</v>
      </c>
      <c r="P156" t="s">
        <v>120</v>
      </c>
      <c r="Q156" t="s">
        <v>120</v>
      </c>
      <c r="R156" t="s">
        <v>120</v>
      </c>
      <c r="S156" t="s">
        <v>120</v>
      </c>
      <c r="T156" t="s">
        <v>120</v>
      </c>
      <c r="U156" t="s">
        <v>120</v>
      </c>
      <c r="V156" t="s">
        <v>120</v>
      </c>
      <c r="W156" t="s">
        <v>120</v>
      </c>
      <c r="X156" t="s">
        <v>120</v>
      </c>
      <c r="Y156" t="s">
        <v>120</v>
      </c>
      <c r="Z156" t="s">
        <v>120</v>
      </c>
      <c r="AA156" t="s">
        <v>120</v>
      </c>
      <c r="AB156" t="s">
        <v>120</v>
      </c>
      <c r="AC156" t="s">
        <v>120</v>
      </c>
      <c r="AD156" t="s">
        <v>120</v>
      </c>
      <c r="AE156" t="s">
        <v>120</v>
      </c>
      <c r="AF156" t="s">
        <v>120</v>
      </c>
      <c r="AG156" t="s">
        <v>120</v>
      </c>
      <c r="AH156" t="s">
        <v>120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5500</v>
      </c>
      <c r="AP156">
        <v>0</v>
      </c>
      <c r="AQ156">
        <v>0</v>
      </c>
      <c r="AR156">
        <v>92.8125</v>
      </c>
      <c r="AS156">
        <v>0</v>
      </c>
    </row>
    <row r="157" spans="1:45" x14ac:dyDescent="0.25">
      <c r="A157" t="s">
        <v>504</v>
      </c>
      <c r="B157" t="s">
        <v>505</v>
      </c>
      <c r="C157" t="s">
        <v>123</v>
      </c>
      <c r="D157" t="s">
        <v>423</v>
      </c>
      <c r="E157" t="s">
        <v>120</v>
      </c>
      <c r="F157" t="s">
        <v>120</v>
      </c>
      <c r="G157" t="s">
        <v>120</v>
      </c>
      <c r="H157" t="s">
        <v>120</v>
      </c>
      <c r="I157" t="s">
        <v>120</v>
      </c>
      <c r="J157" t="s">
        <v>120</v>
      </c>
      <c r="K157" t="s">
        <v>120</v>
      </c>
      <c r="L157" t="s">
        <v>120</v>
      </c>
      <c r="M157" t="s">
        <v>120</v>
      </c>
      <c r="N157" t="s">
        <v>120</v>
      </c>
      <c r="O157" t="s">
        <v>120</v>
      </c>
      <c r="P157" t="s">
        <v>120</v>
      </c>
      <c r="Q157" t="s">
        <v>120</v>
      </c>
      <c r="R157" t="s">
        <v>120</v>
      </c>
      <c r="S157" t="s">
        <v>120</v>
      </c>
      <c r="T157" t="s">
        <v>120</v>
      </c>
      <c r="U157" t="s">
        <v>120</v>
      </c>
      <c r="V157" t="s">
        <v>120</v>
      </c>
      <c r="W157" t="s">
        <v>120</v>
      </c>
      <c r="X157" t="s">
        <v>120</v>
      </c>
      <c r="Y157" t="s">
        <v>120</v>
      </c>
      <c r="Z157" t="s">
        <v>120</v>
      </c>
      <c r="AA157" t="s">
        <v>120</v>
      </c>
      <c r="AB157" t="s">
        <v>120</v>
      </c>
      <c r="AC157" t="s">
        <v>120</v>
      </c>
      <c r="AD157" t="s">
        <v>120</v>
      </c>
      <c r="AE157" t="s">
        <v>120</v>
      </c>
      <c r="AF157" t="s">
        <v>120</v>
      </c>
      <c r="AG157" t="s">
        <v>120</v>
      </c>
      <c r="AH157" t="s">
        <v>120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5500</v>
      </c>
      <c r="AP157">
        <v>0</v>
      </c>
      <c r="AQ157">
        <v>0</v>
      </c>
      <c r="AR157">
        <v>92.8125</v>
      </c>
      <c r="AS157">
        <v>0</v>
      </c>
    </row>
    <row r="158" spans="1:45" x14ac:dyDescent="0.25">
      <c r="A158" t="s">
        <v>506</v>
      </c>
      <c r="B158" t="s">
        <v>507</v>
      </c>
      <c r="C158" t="s">
        <v>118</v>
      </c>
      <c r="D158" t="s">
        <v>119</v>
      </c>
      <c r="E158" t="s">
        <v>120</v>
      </c>
      <c r="F158" t="s">
        <v>120</v>
      </c>
      <c r="G158" t="s">
        <v>120</v>
      </c>
      <c r="H158" t="s">
        <v>120</v>
      </c>
      <c r="I158" t="s">
        <v>120</v>
      </c>
      <c r="J158" t="s">
        <v>120</v>
      </c>
      <c r="K158" t="s">
        <v>120</v>
      </c>
      <c r="L158" t="s">
        <v>120</v>
      </c>
      <c r="M158" t="s">
        <v>120</v>
      </c>
      <c r="N158" t="s">
        <v>120</v>
      </c>
      <c r="O158" t="s">
        <v>120</v>
      </c>
      <c r="P158" t="s">
        <v>120</v>
      </c>
      <c r="Q158" t="s">
        <v>120</v>
      </c>
      <c r="R158" t="s">
        <v>120</v>
      </c>
      <c r="S158" t="s">
        <v>120</v>
      </c>
      <c r="T158" t="s">
        <v>120</v>
      </c>
      <c r="U158" t="s">
        <v>120</v>
      </c>
      <c r="V158" t="s">
        <v>120</v>
      </c>
      <c r="W158" t="s">
        <v>120</v>
      </c>
      <c r="X158" t="s">
        <v>120</v>
      </c>
      <c r="Y158" t="s">
        <v>120</v>
      </c>
      <c r="Z158" t="s">
        <v>120</v>
      </c>
      <c r="AA158" t="s">
        <v>120</v>
      </c>
      <c r="AB158" t="s">
        <v>120</v>
      </c>
      <c r="AC158" t="s">
        <v>120</v>
      </c>
      <c r="AD158" t="s">
        <v>120</v>
      </c>
      <c r="AE158" t="s">
        <v>120</v>
      </c>
      <c r="AF158" t="s">
        <v>120</v>
      </c>
      <c r="AG158" t="s">
        <v>120</v>
      </c>
      <c r="AH158" t="s">
        <v>120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4500</v>
      </c>
      <c r="AP158">
        <v>0</v>
      </c>
      <c r="AQ158">
        <v>0</v>
      </c>
      <c r="AR158">
        <v>75.9375</v>
      </c>
      <c r="AS158">
        <v>0</v>
      </c>
    </row>
    <row r="159" spans="1:45" x14ac:dyDescent="0.25">
      <c r="A159" t="s">
        <v>508</v>
      </c>
      <c r="B159" t="s">
        <v>509</v>
      </c>
      <c r="C159" t="s">
        <v>118</v>
      </c>
      <c r="D159" t="s">
        <v>119</v>
      </c>
      <c r="E159" t="s">
        <v>120</v>
      </c>
      <c r="F159" t="s">
        <v>120</v>
      </c>
      <c r="G159" t="s">
        <v>120</v>
      </c>
      <c r="H159" t="s">
        <v>120</v>
      </c>
      <c r="I159" t="s">
        <v>120</v>
      </c>
      <c r="J159" t="s">
        <v>120</v>
      </c>
      <c r="K159" t="s">
        <v>120</v>
      </c>
      <c r="L159" t="s">
        <v>120</v>
      </c>
      <c r="M159" t="s">
        <v>120</v>
      </c>
      <c r="N159" t="s">
        <v>120</v>
      </c>
      <c r="O159" t="s">
        <v>120</v>
      </c>
      <c r="P159" t="s">
        <v>120</v>
      </c>
      <c r="Q159" t="s">
        <v>120</v>
      </c>
      <c r="R159" t="s">
        <v>120</v>
      </c>
      <c r="S159" t="s">
        <v>120</v>
      </c>
      <c r="T159" t="s">
        <v>120</v>
      </c>
      <c r="U159" t="s">
        <v>120</v>
      </c>
      <c r="V159" t="s">
        <v>120</v>
      </c>
      <c r="W159" t="s">
        <v>120</v>
      </c>
      <c r="X159" t="s">
        <v>120</v>
      </c>
      <c r="Y159" t="s">
        <v>120</v>
      </c>
      <c r="Z159" t="s">
        <v>120</v>
      </c>
      <c r="AA159" t="s">
        <v>120</v>
      </c>
      <c r="AB159" t="s">
        <v>120</v>
      </c>
      <c r="AC159" t="s">
        <v>120</v>
      </c>
      <c r="AD159" t="s">
        <v>120</v>
      </c>
      <c r="AE159" t="s">
        <v>120</v>
      </c>
      <c r="AF159" t="s">
        <v>120</v>
      </c>
      <c r="AG159" t="s">
        <v>120</v>
      </c>
      <c r="AH159" t="s">
        <v>120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4500</v>
      </c>
      <c r="AP159">
        <v>0</v>
      </c>
      <c r="AQ159">
        <v>0</v>
      </c>
      <c r="AR159">
        <v>75.9375</v>
      </c>
      <c r="AS159">
        <v>0</v>
      </c>
    </row>
    <row r="160" spans="1:45" x14ac:dyDescent="0.25">
      <c r="A160" t="s">
        <v>510</v>
      </c>
      <c r="B160" t="s">
        <v>511</v>
      </c>
      <c r="C160" t="s">
        <v>118</v>
      </c>
      <c r="D160" t="s">
        <v>119</v>
      </c>
      <c r="E160" t="s">
        <v>120</v>
      </c>
      <c r="F160" t="s">
        <v>120</v>
      </c>
      <c r="G160" t="s">
        <v>120</v>
      </c>
      <c r="H160" t="s">
        <v>120</v>
      </c>
      <c r="I160" t="s">
        <v>120</v>
      </c>
      <c r="J160" t="s">
        <v>120</v>
      </c>
      <c r="K160" t="s">
        <v>120</v>
      </c>
      <c r="L160" t="s">
        <v>120</v>
      </c>
      <c r="M160" t="s">
        <v>120</v>
      </c>
      <c r="N160" t="s">
        <v>120</v>
      </c>
      <c r="O160" t="s">
        <v>120</v>
      </c>
      <c r="P160" t="s">
        <v>120</v>
      </c>
      <c r="Q160" t="s">
        <v>120</v>
      </c>
      <c r="R160" t="s">
        <v>120</v>
      </c>
      <c r="S160" t="s">
        <v>120</v>
      </c>
      <c r="T160" t="s">
        <v>120</v>
      </c>
      <c r="U160" t="s">
        <v>120</v>
      </c>
      <c r="V160" t="s">
        <v>120</v>
      </c>
      <c r="W160" t="s">
        <v>120</v>
      </c>
      <c r="X160" t="s">
        <v>120</v>
      </c>
      <c r="Y160" t="s">
        <v>120</v>
      </c>
      <c r="Z160" t="s">
        <v>120</v>
      </c>
      <c r="AA160" t="s">
        <v>120</v>
      </c>
      <c r="AB160" t="s">
        <v>120</v>
      </c>
      <c r="AC160" t="s">
        <v>120</v>
      </c>
      <c r="AD160" t="s">
        <v>120</v>
      </c>
      <c r="AE160" t="s">
        <v>120</v>
      </c>
      <c r="AF160" t="s">
        <v>120</v>
      </c>
      <c r="AG160" t="s">
        <v>120</v>
      </c>
      <c r="AH160" t="s">
        <v>120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4500</v>
      </c>
      <c r="AP160">
        <v>0</v>
      </c>
      <c r="AQ160">
        <v>0</v>
      </c>
      <c r="AR160">
        <v>75.9375</v>
      </c>
      <c r="AS160">
        <v>0</v>
      </c>
    </row>
    <row r="161" spans="1:45" x14ac:dyDescent="0.25">
      <c r="A161" t="s">
        <v>512</v>
      </c>
      <c r="B161" t="s">
        <v>513</v>
      </c>
      <c r="C161" t="s">
        <v>118</v>
      </c>
      <c r="D161" t="s">
        <v>119</v>
      </c>
      <c r="E161" t="s">
        <v>120</v>
      </c>
      <c r="F161" t="s">
        <v>120</v>
      </c>
      <c r="G161" t="s">
        <v>120</v>
      </c>
      <c r="H161" t="s">
        <v>120</v>
      </c>
      <c r="I161" t="s">
        <v>120</v>
      </c>
      <c r="J161" t="s">
        <v>120</v>
      </c>
      <c r="K161" t="s">
        <v>120</v>
      </c>
      <c r="L161" t="s">
        <v>120</v>
      </c>
      <c r="M161" t="s">
        <v>120</v>
      </c>
      <c r="N161" t="s">
        <v>120</v>
      </c>
      <c r="O161" t="s">
        <v>120</v>
      </c>
      <c r="P161" t="s">
        <v>120</v>
      </c>
      <c r="Q161" t="s">
        <v>120</v>
      </c>
      <c r="R161" t="s">
        <v>120</v>
      </c>
      <c r="S161" t="s">
        <v>120</v>
      </c>
      <c r="T161" t="s">
        <v>120</v>
      </c>
      <c r="U161" t="s">
        <v>120</v>
      </c>
      <c r="V161" t="s">
        <v>120</v>
      </c>
      <c r="W161" t="s">
        <v>120</v>
      </c>
      <c r="X161" t="s">
        <v>120</v>
      </c>
      <c r="Y161" t="s">
        <v>120</v>
      </c>
      <c r="Z161" t="s">
        <v>120</v>
      </c>
      <c r="AA161" t="s">
        <v>120</v>
      </c>
      <c r="AB161" t="s">
        <v>120</v>
      </c>
      <c r="AC161" t="s">
        <v>120</v>
      </c>
      <c r="AD161" t="s">
        <v>120</v>
      </c>
      <c r="AE161" t="s">
        <v>120</v>
      </c>
      <c r="AF161" t="s">
        <v>120</v>
      </c>
      <c r="AG161" t="s">
        <v>120</v>
      </c>
      <c r="AH161" t="s">
        <v>120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4500</v>
      </c>
      <c r="AP161">
        <v>0</v>
      </c>
      <c r="AQ161">
        <v>0</v>
      </c>
      <c r="AR161">
        <v>75.9375</v>
      </c>
      <c r="AS161">
        <v>0</v>
      </c>
    </row>
    <row r="162" spans="1:45" x14ac:dyDescent="0.25">
      <c r="A162" t="s">
        <v>514</v>
      </c>
      <c r="B162" t="s">
        <v>515</v>
      </c>
      <c r="C162" t="s">
        <v>118</v>
      </c>
      <c r="D162" t="s">
        <v>119</v>
      </c>
      <c r="E162" t="s">
        <v>120</v>
      </c>
      <c r="G162" t="s">
        <v>120</v>
      </c>
      <c r="H162" t="s">
        <v>120</v>
      </c>
      <c r="I162" t="s">
        <v>120</v>
      </c>
      <c r="J162" t="s">
        <v>120</v>
      </c>
      <c r="K162" t="s">
        <v>120</v>
      </c>
      <c r="L162" t="s">
        <v>120</v>
      </c>
      <c r="M162" t="s">
        <v>120</v>
      </c>
      <c r="N162" t="s">
        <v>120</v>
      </c>
      <c r="O162" t="s">
        <v>120</v>
      </c>
      <c r="P162" t="s">
        <v>120</v>
      </c>
      <c r="Q162" t="s">
        <v>120</v>
      </c>
      <c r="R162" t="s">
        <v>120</v>
      </c>
      <c r="S162" t="s">
        <v>120</v>
      </c>
      <c r="T162" t="s">
        <v>120</v>
      </c>
      <c r="U162" t="s">
        <v>120</v>
      </c>
      <c r="V162" t="s">
        <v>120</v>
      </c>
      <c r="W162" t="s">
        <v>120</v>
      </c>
      <c r="X162" t="s">
        <v>120</v>
      </c>
      <c r="Y162" t="s">
        <v>120</v>
      </c>
      <c r="Z162" t="s">
        <v>120</v>
      </c>
      <c r="AA162" t="s">
        <v>120</v>
      </c>
      <c r="AB162" t="s">
        <v>120</v>
      </c>
      <c r="AC162" t="s">
        <v>120</v>
      </c>
      <c r="AD162" t="s">
        <v>120</v>
      </c>
      <c r="AE162" t="s">
        <v>120</v>
      </c>
      <c r="AF162" t="s">
        <v>120</v>
      </c>
      <c r="AG162" t="s">
        <v>120</v>
      </c>
      <c r="AH162" t="s">
        <v>120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4500</v>
      </c>
      <c r="AP162">
        <v>0</v>
      </c>
      <c r="AQ162">
        <v>0</v>
      </c>
      <c r="AR162">
        <v>75.9375</v>
      </c>
      <c r="AS162">
        <v>0</v>
      </c>
    </row>
    <row r="163" spans="1:45" x14ac:dyDescent="0.25">
      <c r="A163" t="s">
        <v>516</v>
      </c>
      <c r="B163" t="s">
        <v>517</v>
      </c>
      <c r="C163" t="s">
        <v>118</v>
      </c>
      <c r="D163" t="s">
        <v>119</v>
      </c>
      <c r="E163" t="s">
        <v>120</v>
      </c>
      <c r="F163" t="s">
        <v>120</v>
      </c>
      <c r="G163" t="s">
        <v>120</v>
      </c>
      <c r="H163" t="s">
        <v>120</v>
      </c>
      <c r="I163" t="s">
        <v>120</v>
      </c>
      <c r="J163" t="s">
        <v>120</v>
      </c>
      <c r="K163" t="s">
        <v>120</v>
      </c>
      <c r="L163" t="s">
        <v>120</v>
      </c>
      <c r="M163" t="s">
        <v>120</v>
      </c>
      <c r="N163" t="s">
        <v>120</v>
      </c>
      <c r="O163" t="s">
        <v>120</v>
      </c>
      <c r="P163" t="s">
        <v>120</v>
      </c>
      <c r="Q163" t="s">
        <v>120</v>
      </c>
      <c r="R163" t="s">
        <v>120</v>
      </c>
      <c r="S163" t="s">
        <v>120</v>
      </c>
      <c r="T163" t="s">
        <v>120</v>
      </c>
      <c r="U163" t="s">
        <v>120</v>
      </c>
      <c r="V163" t="s">
        <v>120</v>
      </c>
      <c r="W163" t="s">
        <v>120</v>
      </c>
      <c r="X163" t="s">
        <v>120</v>
      </c>
      <c r="Y163" t="s">
        <v>120</v>
      </c>
      <c r="Z163" t="s">
        <v>120</v>
      </c>
      <c r="AA163" t="s">
        <v>120</v>
      </c>
      <c r="AB163" t="s">
        <v>120</v>
      </c>
      <c r="AC163" t="s">
        <v>120</v>
      </c>
      <c r="AD163" t="s">
        <v>120</v>
      </c>
      <c r="AE163" t="s">
        <v>120</v>
      </c>
      <c r="AF163" t="s">
        <v>120</v>
      </c>
      <c r="AG163" t="s">
        <v>120</v>
      </c>
      <c r="AH163" t="s">
        <v>120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4500</v>
      </c>
      <c r="AP163">
        <v>0</v>
      </c>
      <c r="AQ163">
        <v>0</v>
      </c>
      <c r="AR163">
        <v>75.9375</v>
      </c>
      <c r="AS163">
        <v>0</v>
      </c>
    </row>
    <row r="164" spans="1:45" x14ac:dyDescent="0.25">
      <c r="A164" t="s">
        <v>518</v>
      </c>
      <c r="B164" t="s">
        <v>519</v>
      </c>
      <c r="C164" t="s">
        <v>118</v>
      </c>
      <c r="D164" t="s">
        <v>119</v>
      </c>
      <c r="E164" t="s">
        <v>120</v>
      </c>
      <c r="F164" t="s">
        <v>120</v>
      </c>
      <c r="G164" t="s">
        <v>120</v>
      </c>
      <c r="H164" t="s">
        <v>120</v>
      </c>
      <c r="I164" t="s">
        <v>120</v>
      </c>
      <c r="J164" t="s">
        <v>120</v>
      </c>
      <c r="K164" t="s">
        <v>120</v>
      </c>
      <c r="L164" t="s">
        <v>120</v>
      </c>
      <c r="M164" t="s">
        <v>120</v>
      </c>
      <c r="N164" t="s">
        <v>120</v>
      </c>
      <c r="O164" t="s">
        <v>120</v>
      </c>
      <c r="P164" t="s">
        <v>120</v>
      </c>
      <c r="Q164" t="s">
        <v>120</v>
      </c>
      <c r="R164" t="s">
        <v>120</v>
      </c>
      <c r="S164" t="s">
        <v>120</v>
      </c>
      <c r="T164" t="s">
        <v>120</v>
      </c>
      <c r="U164" t="s">
        <v>120</v>
      </c>
      <c r="V164" t="s">
        <v>120</v>
      </c>
      <c r="W164" t="s">
        <v>120</v>
      </c>
      <c r="X164" t="s">
        <v>120</v>
      </c>
      <c r="Y164" t="s">
        <v>120</v>
      </c>
      <c r="Z164" t="s">
        <v>120</v>
      </c>
      <c r="AA164" t="s">
        <v>120</v>
      </c>
      <c r="AB164" t="s">
        <v>120</v>
      </c>
      <c r="AC164" t="s">
        <v>120</v>
      </c>
      <c r="AD164" t="s">
        <v>120</v>
      </c>
      <c r="AE164" t="s">
        <v>120</v>
      </c>
      <c r="AF164" t="s">
        <v>120</v>
      </c>
      <c r="AG164" t="s">
        <v>120</v>
      </c>
      <c r="AH164" t="s">
        <v>120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4500</v>
      </c>
      <c r="AP164">
        <v>0</v>
      </c>
      <c r="AQ164">
        <v>0</v>
      </c>
      <c r="AR164">
        <v>75.9375</v>
      </c>
      <c r="AS164">
        <v>0</v>
      </c>
    </row>
    <row r="165" spans="1:45" x14ac:dyDescent="0.25">
      <c r="A165" t="s">
        <v>520</v>
      </c>
      <c r="B165" t="s">
        <v>521</v>
      </c>
      <c r="C165" t="s">
        <v>118</v>
      </c>
      <c r="D165" t="s">
        <v>119</v>
      </c>
      <c r="E165" t="s">
        <v>120</v>
      </c>
      <c r="F165" t="s">
        <v>120</v>
      </c>
      <c r="G165" t="s">
        <v>120</v>
      </c>
      <c r="H165" t="s">
        <v>120</v>
      </c>
      <c r="I165" t="s">
        <v>120</v>
      </c>
      <c r="J165" t="s">
        <v>120</v>
      </c>
      <c r="K165" t="s">
        <v>120</v>
      </c>
      <c r="L165" t="s">
        <v>120</v>
      </c>
      <c r="M165" t="s">
        <v>120</v>
      </c>
      <c r="N165" t="s">
        <v>120</v>
      </c>
      <c r="O165" t="s">
        <v>120</v>
      </c>
      <c r="P165" t="s">
        <v>120</v>
      </c>
      <c r="Q165" t="s">
        <v>120</v>
      </c>
      <c r="R165" t="s">
        <v>120</v>
      </c>
      <c r="S165" t="s">
        <v>120</v>
      </c>
      <c r="T165" t="s">
        <v>120</v>
      </c>
      <c r="U165" t="s">
        <v>120</v>
      </c>
      <c r="V165" t="s">
        <v>120</v>
      </c>
      <c r="W165" t="s">
        <v>120</v>
      </c>
      <c r="X165" t="s">
        <v>120</v>
      </c>
      <c r="Y165" t="s">
        <v>120</v>
      </c>
      <c r="Z165" t="s">
        <v>120</v>
      </c>
      <c r="AA165" t="s">
        <v>120</v>
      </c>
      <c r="AB165" t="s">
        <v>120</v>
      </c>
      <c r="AC165" t="s">
        <v>120</v>
      </c>
      <c r="AD165" t="s">
        <v>120</v>
      </c>
      <c r="AE165" t="s">
        <v>120</v>
      </c>
      <c r="AF165" t="s">
        <v>120</v>
      </c>
      <c r="AG165" t="s">
        <v>120</v>
      </c>
      <c r="AH165" t="s">
        <v>120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4500</v>
      </c>
      <c r="AP165">
        <v>0</v>
      </c>
      <c r="AQ165">
        <v>0</v>
      </c>
      <c r="AR165">
        <v>75.9375</v>
      </c>
      <c r="AS165">
        <v>0</v>
      </c>
    </row>
    <row r="166" spans="1:45" x14ac:dyDescent="0.25">
      <c r="A166" t="s">
        <v>522</v>
      </c>
      <c r="B166" t="s">
        <v>523</v>
      </c>
      <c r="C166" t="s">
        <v>118</v>
      </c>
      <c r="D166" t="s">
        <v>119</v>
      </c>
      <c r="E166" t="s">
        <v>120</v>
      </c>
      <c r="F166" t="s">
        <v>120</v>
      </c>
      <c r="G166" t="s">
        <v>120</v>
      </c>
      <c r="H166" t="s">
        <v>120</v>
      </c>
      <c r="I166" t="s">
        <v>120</v>
      </c>
      <c r="J166" t="s">
        <v>120</v>
      </c>
      <c r="K166" t="s">
        <v>120</v>
      </c>
      <c r="L166" t="s">
        <v>120</v>
      </c>
      <c r="M166" t="s">
        <v>120</v>
      </c>
      <c r="N166" t="s">
        <v>120</v>
      </c>
      <c r="O166" t="s">
        <v>120</v>
      </c>
      <c r="P166" t="s">
        <v>120</v>
      </c>
      <c r="Q166" t="s">
        <v>120</v>
      </c>
      <c r="R166" t="s">
        <v>120</v>
      </c>
      <c r="S166" t="s">
        <v>120</v>
      </c>
      <c r="T166" t="s">
        <v>120</v>
      </c>
      <c r="U166" t="s">
        <v>120</v>
      </c>
      <c r="V166" t="s">
        <v>120</v>
      </c>
      <c r="W166" t="s">
        <v>120</v>
      </c>
      <c r="X166" t="s">
        <v>120</v>
      </c>
      <c r="Y166" t="s">
        <v>120</v>
      </c>
      <c r="Z166" t="s">
        <v>120</v>
      </c>
      <c r="AA166" t="s">
        <v>120</v>
      </c>
      <c r="AB166" t="s">
        <v>120</v>
      </c>
      <c r="AC166" t="s">
        <v>120</v>
      </c>
      <c r="AD166" t="s">
        <v>120</v>
      </c>
      <c r="AE166" t="s">
        <v>120</v>
      </c>
      <c r="AF166" t="s">
        <v>120</v>
      </c>
      <c r="AG166" t="s">
        <v>120</v>
      </c>
      <c r="AH166" t="s">
        <v>120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4500</v>
      </c>
      <c r="AP166">
        <v>0</v>
      </c>
      <c r="AQ166">
        <v>0</v>
      </c>
      <c r="AR166">
        <v>75.9375</v>
      </c>
      <c r="AS166">
        <v>0</v>
      </c>
    </row>
    <row r="167" spans="1:45" x14ac:dyDescent="0.25">
      <c r="A167" t="s">
        <v>524</v>
      </c>
      <c r="B167" t="s">
        <v>525</v>
      </c>
      <c r="C167" t="s">
        <v>118</v>
      </c>
      <c r="D167" t="s">
        <v>119</v>
      </c>
      <c r="E167" t="s">
        <v>120</v>
      </c>
      <c r="F167" t="s">
        <v>120</v>
      </c>
      <c r="G167" t="s">
        <v>120</v>
      </c>
      <c r="H167" t="s">
        <v>120</v>
      </c>
      <c r="I167" t="s">
        <v>120</v>
      </c>
      <c r="J167" t="s">
        <v>120</v>
      </c>
      <c r="K167" t="s">
        <v>120</v>
      </c>
      <c r="L167" t="s">
        <v>120</v>
      </c>
      <c r="M167" t="s">
        <v>120</v>
      </c>
      <c r="N167" t="s">
        <v>120</v>
      </c>
      <c r="O167" t="s">
        <v>120</v>
      </c>
      <c r="P167" t="s">
        <v>120</v>
      </c>
      <c r="Q167" t="s">
        <v>120</v>
      </c>
      <c r="R167" t="s">
        <v>120</v>
      </c>
      <c r="S167" t="s">
        <v>120</v>
      </c>
      <c r="T167" t="s">
        <v>120</v>
      </c>
      <c r="U167" t="s">
        <v>120</v>
      </c>
      <c r="V167" t="s">
        <v>120</v>
      </c>
      <c r="W167" t="s">
        <v>120</v>
      </c>
      <c r="X167" t="s">
        <v>120</v>
      </c>
      <c r="Y167" t="s">
        <v>120</v>
      </c>
      <c r="Z167" t="s">
        <v>120</v>
      </c>
      <c r="AA167" t="s">
        <v>120</v>
      </c>
      <c r="AB167" t="s">
        <v>120</v>
      </c>
      <c r="AC167" t="s">
        <v>120</v>
      </c>
      <c r="AD167" t="s">
        <v>120</v>
      </c>
      <c r="AE167" t="s">
        <v>120</v>
      </c>
      <c r="AF167" t="s">
        <v>120</v>
      </c>
      <c r="AG167" t="s">
        <v>120</v>
      </c>
      <c r="AH167" t="s">
        <v>120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4500</v>
      </c>
      <c r="AP167">
        <v>0</v>
      </c>
      <c r="AQ167">
        <v>0</v>
      </c>
      <c r="AR167">
        <v>75.9375</v>
      </c>
      <c r="AS167">
        <v>0</v>
      </c>
    </row>
    <row r="168" spans="1:45" x14ac:dyDescent="0.25">
      <c r="A168" t="s">
        <v>526</v>
      </c>
      <c r="B168" t="s">
        <v>527</v>
      </c>
      <c r="C168" t="s">
        <v>118</v>
      </c>
      <c r="D168" t="s">
        <v>119</v>
      </c>
      <c r="E168" t="s">
        <v>120</v>
      </c>
      <c r="F168" t="s">
        <v>120</v>
      </c>
      <c r="G168" t="s">
        <v>120</v>
      </c>
      <c r="H168" t="s">
        <v>120</v>
      </c>
      <c r="I168" t="s">
        <v>120</v>
      </c>
      <c r="J168" t="s">
        <v>120</v>
      </c>
      <c r="K168" t="s">
        <v>120</v>
      </c>
      <c r="L168" t="s">
        <v>120</v>
      </c>
      <c r="M168" t="s">
        <v>120</v>
      </c>
      <c r="N168" t="s">
        <v>120</v>
      </c>
      <c r="O168" t="s">
        <v>330</v>
      </c>
      <c r="P168" t="s">
        <v>120</v>
      </c>
      <c r="Q168" t="s">
        <v>120</v>
      </c>
      <c r="R168" t="s">
        <v>120</v>
      </c>
      <c r="S168" t="s">
        <v>120</v>
      </c>
      <c r="T168" t="s">
        <v>120</v>
      </c>
      <c r="U168" t="s">
        <v>120</v>
      </c>
      <c r="V168" t="s">
        <v>120</v>
      </c>
      <c r="W168" t="s">
        <v>120</v>
      </c>
      <c r="X168" t="s">
        <v>120</v>
      </c>
      <c r="Y168" t="s">
        <v>120</v>
      </c>
      <c r="Z168" t="s">
        <v>120</v>
      </c>
      <c r="AA168" t="s">
        <v>120</v>
      </c>
      <c r="AB168" t="s">
        <v>120</v>
      </c>
      <c r="AC168" t="s">
        <v>120</v>
      </c>
      <c r="AD168" t="s">
        <v>120</v>
      </c>
      <c r="AE168" t="s">
        <v>120</v>
      </c>
      <c r="AF168" t="s">
        <v>120</v>
      </c>
      <c r="AG168" t="s">
        <v>120</v>
      </c>
      <c r="AH168" t="s">
        <v>120</v>
      </c>
      <c r="AJ168">
        <v>0</v>
      </c>
      <c r="AK168">
        <v>3</v>
      </c>
      <c r="AL168">
        <v>0</v>
      </c>
      <c r="AM168">
        <v>3</v>
      </c>
      <c r="AN168">
        <v>0</v>
      </c>
      <c r="AO168">
        <v>4500</v>
      </c>
      <c r="AP168">
        <v>3</v>
      </c>
      <c r="AQ168">
        <v>0</v>
      </c>
      <c r="AR168">
        <v>75.9375</v>
      </c>
      <c r="AS168">
        <v>168.75</v>
      </c>
    </row>
    <row r="169" spans="1:45" x14ac:dyDescent="0.25">
      <c r="A169" t="s">
        <v>528</v>
      </c>
      <c r="B169" t="s">
        <v>529</v>
      </c>
      <c r="C169" t="s">
        <v>118</v>
      </c>
      <c r="D169" t="s">
        <v>119</v>
      </c>
      <c r="E169" t="s">
        <v>120</v>
      </c>
      <c r="F169" t="s">
        <v>120</v>
      </c>
      <c r="G169" t="s">
        <v>120</v>
      </c>
      <c r="H169" t="s">
        <v>120</v>
      </c>
      <c r="I169" t="s">
        <v>120</v>
      </c>
      <c r="J169" t="s">
        <v>120</v>
      </c>
      <c r="K169" t="s">
        <v>120</v>
      </c>
      <c r="L169" t="s">
        <v>120</v>
      </c>
      <c r="M169" t="s">
        <v>120</v>
      </c>
      <c r="N169" t="s">
        <v>120</v>
      </c>
      <c r="O169" t="s">
        <v>120</v>
      </c>
      <c r="P169" t="s">
        <v>120</v>
      </c>
      <c r="Q169" t="s">
        <v>120</v>
      </c>
      <c r="R169" t="s">
        <v>120</v>
      </c>
      <c r="S169" t="s">
        <v>120</v>
      </c>
      <c r="T169" t="s">
        <v>120</v>
      </c>
      <c r="U169" t="s">
        <v>120</v>
      </c>
      <c r="V169" t="s">
        <v>120</v>
      </c>
      <c r="W169" t="s">
        <v>120</v>
      </c>
      <c r="X169" t="s">
        <v>120</v>
      </c>
      <c r="Y169" t="s">
        <v>120</v>
      </c>
      <c r="Z169" t="s">
        <v>120</v>
      </c>
      <c r="AA169" t="s">
        <v>120</v>
      </c>
      <c r="AB169" t="s">
        <v>120</v>
      </c>
      <c r="AC169" t="s">
        <v>120</v>
      </c>
      <c r="AD169" t="s">
        <v>120</v>
      </c>
      <c r="AE169" t="s">
        <v>120</v>
      </c>
      <c r="AF169" t="s">
        <v>120</v>
      </c>
      <c r="AG169" t="s">
        <v>120</v>
      </c>
      <c r="AH169" t="s">
        <v>120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4500</v>
      </c>
      <c r="AP169">
        <v>0</v>
      </c>
      <c r="AQ169">
        <v>0</v>
      </c>
      <c r="AR169">
        <v>75.9375</v>
      </c>
      <c r="AS169">
        <v>0</v>
      </c>
    </row>
    <row r="170" spans="1:45" x14ac:dyDescent="0.25">
      <c r="A170" t="s">
        <v>530</v>
      </c>
      <c r="B170" t="s">
        <v>531</v>
      </c>
      <c r="C170" t="s">
        <v>118</v>
      </c>
      <c r="D170" t="s">
        <v>119</v>
      </c>
      <c r="E170" t="s">
        <v>120</v>
      </c>
      <c r="F170" t="s">
        <v>120</v>
      </c>
      <c r="G170" t="s">
        <v>120</v>
      </c>
      <c r="H170" t="s">
        <v>120</v>
      </c>
      <c r="I170" t="s">
        <v>120</v>
      </c>
      <c r="J170" t="s">
        <v>120</v>
      </c>
      <c r="K170" t="s">
        <v>120</v>
      </c>
      <c r="L170" t="s">
        <v>120</v>
      </c>
      <c r="M170" t="s">
        <v>120</v>
      </c>
      <c r="N170" t="s">
        <v>120</v>
      </c>
      <c r="O170" t="s">
        <v>120</v>
      </c>
      <c r="P170" t="s">
        <v>120</v>
      </c>
      <c r="Q170" t="s">
        <v>120</v>
      </c>
      <c r="R170" t="s">
        <v>120</v>
      </c>
      <c r="S170" t="s">
        <v>120</v>
      </c>
      <c r="T170" t="s">
        <v>120</v>
      </c>
      <c r="U170" t="s">
        <v>120</v>
      </c>
      <c r="V170" t="s">
        <v>120</v>
      </c>
      <c r="W170" t="s">
        <v>120</v>
      </c>
      <c r="X170" t="s">
        <v>120</v>
      </c>
      <c r="Y170" t="s">
        <v>120</v>
      </c>
      <c r="Z170" t="s">
        <v>120</v>
      </c>
      <c r="AA170" t="s">
        <v>120</v>
      </c>
      <c r="AB170" t="s">
        <v>120</v>
      </c>
      <c r="AC170" t="s">
        <v>120</v>
      </c>
      <c r="AD170" t="s">
        <v>120</v>
      </c>
      <c r="AE170" t="s">
        <v>120</v>
      </c>
      <c r="AF170" t="s">
        <v>120</v>
      </c>
      <c r="AG170" t="s">
        <v>120</v>
      </c>
      <c r="AH170" t="s">
        <v>120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4500</v>
      </c>
      <c r="AP170">
        <v>0</v>
      </c>
      <c r="AQ170">
        <v>0</v>
      </c>
      <c r="AR170">
        <v>75.9375</v>
      </c>
      <c r="AS170">
        <v>0</v>
      </c>
    </row>
    <row r="171" spans="1:45" x14ac:dyDescent="0.25">
      <c r="A171" t="s">
        <v>532</v>
      </c>
      <c r="B171" t="s">
        <v>533</v>
      </c>
      <c r="C171" t="s">
        <v>118</v>
      </c>
      <c r="D171" t="s">
        <v>119</v>
      </c>
      <c r="E171" t="s">
        <v>120</v>
      </c>
      <c r="F171" t="s">
        <v>120</v>
      </c>
      <c r="G171" t="s">
        <v>120</v>
      </c>
      <c r="H171" t="s">
        <v>120</v>
      </c>
      <c r="I171" t="s">
        <v>120</v>
      </c>
      <c r="J171" t="s">
        <v>120</v>
      </c>
      <c r="K171" t="s">
        <v>120</v>
      </c>
      <c r="L171" t="s">
        <v>120</v>
      </c>
      <c r="M171" t="s">
        <v>120</v>
      </c>
      <c r="N171" t="s">
        <v>120</v>
      </c>
      <c r="O171" t="s">
        <v>120</v>
      </c>
      <c r="P171" t="s">
        <v>120</v>
      </c>
      <c r="Q171" t="s">
        <v>120</v>
      </c>
      <c r="R171" t="s">
        <v>120</v>
      </c>
      <c r="S171" t="s">
        <v>120</v>
      </c>
      <c r="T171" t="s">
        <v>120</v>
      </c>
      <c r="U171" t="s">
        <v>120</v>
      </c>
      <c r="V171" t="s">
        <v>120</v>
      </c>
      <c r="W171" t="s">
        <v>120</v>
      </c>
      <c r="X171" t="s">
        <v>120</v>
      </c>
      <c r="Y171" t="s">
        <v>120</v>
      </c>
      <c r="Z171" t="s">
        <v>120</v>
      </c>
      <c r="AA171" t="s">
        <v>120</v>
      </c>
      <c r="AB171" t="s">
        <v>120</v>
      </c>
      <c r="AC171" t="s">
        <v>120</v>
      </c>
      <c r="AD171" t="s">
        <v>120</v>
      </c>
      <c r="AE171" t="s">
        <v>120</v>
      </c>
      <c r="AF171" t="s">
        <v>120</v>
      </c>
      <c r="AG171" t="s">
        <v>120</v>
      </c>
      <c r="AH171" t="s">
        <v>120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4500</v>
      </c>
      <c r="AP171">
        <v>0</v>
      </c>
      <c r="AQ171">
        <v>0</v>
      </c>
      <c r="AR171">
        <v>75.9375</v>
      </c>
      <c r="AS171">
        <v>0</v>
      </c>
    </row>
    <row r="172" spans="1:45" x14ac:dyDescent="0.25">
      <c r="A172" t="s">
        <v>534</v>
      </c>
      <c r="B172" t="s">
        <v>535</v>
      </c>
      <c r="C172" t="s">
        <v>118</v>
      </c>
      <c r="D172" t="s">
        <v>119</v>
      </c>
      <c r="E172" t="s">
        <v>120</v>
      </c>
      <c r="F172" t="s">
        <v>120</v>
      </c>
      <c r="G172" t="s">
        <v>120</v>
      </c>
      <c r="H172" t="s">
        <v>120</v>
      </c>
      <c r="I172" t="s">
        <v>120</v>
      </c>
      <c r="J172" t="s">
        <v>120</v>
      </c>
      <c r="K172" t="s">
        <v>120</v>
      </c>
      <c r="L172" t="s">
        <v>120</v>
      </c>
      <c r="M172" t="s">
        <v>120</v>
      </c>
      <c r="N172" t="s">
        <v>120</v>
      </c>
      <c r="O172" t="s">
        <v>120</v>
      </c>
      <c r="P172" t="s">
        <v>120</v>
      </c>
      <c r="Q172" t="s">
        <v>120</v>
      </c>
      <c r="R172" t="s">
        <v>120</v>
      </c>
      <c r="S172" t="s">
        <v>120</v>
      </c>
      <c r="T172" t="s">
        <v>120</v>
      </c>
      <c r="U172" t="s">
        <v>120</v>
      </c>
      <c r="V172" t="s">
        <v>120</v>
      </c>
      <c r="W172" t="s">
        <v>120</v>
      </c>
      <c r="X172" t="s">
        <v>120</v>
      </c>
      <c r="Y172" t="s">
        <v>120</v>
      </c>
      <c r="Z172" t="s">
        <v>120</v>
      </c>
      <c r="AA172" t="s">
        <v>120</v>
      </c>
      <c r="AB172" t="s">
        <v>120</v>
      </c>
      <c r="AC172" t="s">
        <v>120</v>
      </c>
      <c r="AD172" t="s">
        <v>120</v>
      </c>
      <c r="AE172" t="s">
        <v>120</v>
      </c>
      <c r="AF172" t="s">
        <v>120</v>
      </c>
      <c r="AG172" t="s">
        <v>120</v>
      </c>
      <c r="AH172" t="s">
        <v>120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4500</v>
      </c>
      <c r="AP172">
        <v>0</v>
      </c>
      <c r="AQ172">
        <v>0</v>
      </c>
      <c r="AR172">
        <v>75.9375</v>
      </c>
      <c r="AS172">
        <v>0</v>
      </c>
    </row>
    <row r="173" spans="1:45" x14ac:dyDescent="0.25">
      <c r="A173" t="s">
        <v>536</v>
      </c>
      <c r="B173" t="s">
        <v>537</v>
      </c>
      <c r="C173" t="s">
        <v>118</v>
      </c>
      <c r="D173" t="s">
        <v>119</v>
      </c>
      <c r="E173" t="s">
        <v>120</v>
      </c>
      <c r="F173" t="s">
        <v>120</v>
      </c>
      <c r="G173" t="s">
        <v>120</v>
      </c>
      <c r="H173" t="s">
        <v>120</v>
      </c>
      <c r="I173" t="s">
        <v>120</v>
      </c>
      <c r="J173" t="s">
        <v>120</v>
      </c>
      <c r="K173" t="s">
        <v>120</v>
      </c>
      <c r="L173" t="s">
        <v>120</v>
      </c>
      <c r="M173" t="s">
        <v>120</v>
      </c>
      <c r="N173" t="s">
        <v>120</v>
      </c>
      <c r="O173" t="s">
        <v>120</v>
      </c>
      <c r="P173" t="s">
        <v>120</v>
      </c>
      <c r="Q173" t="s">
        <v>120</v>
      </c>
      <c r="R173" t="s">
        <v>120</v>
      </c>
      <c r="S173" t="s">
        <v>120</v>
      </c>
      <c r="T173" t="s">
        <v>120</v>
      </c>
      <c r="U173" t="s">
        <v>120</v>
      </c>
      <c r="V173" t="s">
        <v>120</v>
      </c>
      <c r="W173" t="s">
        <v>120</v>
      </c>
      <c r="X173" t="s">
        <v>120</v>
      </c>
      <c r="Y173" t="s">
        <v>120</v>
      </c>
      <c r="Z173" t="s">
        <v>120</v>
      </c>
      <c r="AA173" t="s">
        <v>120</v>
      </c>
      <c r="AB173" t="s">
        <v>120</v>
      </c>
      <c r="AC173" t="s">
        <v>120</v>
      </c>
      <c r="AD173" t="s">
        <v>120</v>
      </c>
      <c r="AE173" t="s">
        <v>120</v>
      </c>
      <c r="AF173" t="s">
        <v>120</v>
      </c>
      <c r="AG173" t="s">
        <v>120</v>
      </c>
      <c r="AH173" t="s">
        <v>120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4500</v>
      </c>
      <c r="AP173">
        <v>0</v>
      </c>
      <c r="AQ173">
        <v>0</v>
      </c>
      <c r="AR173">
        <v>75.9375</v>
      </c>
      <c r="AS173">
        <v>0</v>
      </c>
    </row>
    <row r="174" spans="1:45" x14ac:dyDescent="0.25">
      <c r="A174" t="s">
        <v>538</v>
      </c>
      <c r="B174" t="s">
        <v>539</v>
      </c>
      <c r="C174" t="s">
        <v>118</v>
      </c>
      <c r="D174" t="s">
        <v>119</v>
      </c>
      <c r="E174" t="s">
        <v>120</v>
      </c>
      <c r="F174" t="s">
        <v>120</v>
      </c>
      <c r="G174" t="s">
        <v>120</v>
      </c>
      <c r="H174" t="s">
        <v>120</v>
      </c>
      <c r="I174" t="s">
        <v>120</v>
      </c>
      <c r="J174" t="s">
        <v>120</v>
      </c>
      <c r="K174" t="s">
        <v>120</v>
      </c>
      <c r="L174" t="s">
        <v>120</v>
      </c>
      <c r="M174" t="s">
        <v>120</v>
      </c>
      <c r="N174" t="s">
        <v>120</v>
      </c>
      <c r="O174" t="s">
        <v>120</v>
      </c>
      <c r="P174" t="s">
        <v>120</v>
      </c>
      <c r="Q174" t="s">
        <v>120</v>
      </c>
      <c r="R174" t="s">
        <v>120</v>
      </c>
      <c r="S174" t="s">
        <v>120</v>
      </c>
      <c r="T174" t="s">
        <v>120</v>
      </c>
      <c r="U174" t="s">
        <v>120</v>
      </c>
      <c r="V174" t="s">
        <v>120</v>
      </c>
      <c r="W174" t="s">
        <v>120</v>
      </c>
      <c r="X174" t="s">
        <v>120</v>
      </c>
      <c r="Y174" t="s">
        <v>120</v>
      </c>
      <c r="Z174" t="s">
        <v>120</v>
      </c>
      <c r="AA174" t="s">
        <v>120</v>
      </c>
      <c r="AB174" t="s">
        <v>120</v>
      </c>
      <c r="AC174" t="s">
        <v>120</v>
      </c>
      <c r="AD174" t="s">
        <v>120</v>
      </c>
      <c r="AE174" t="s">
        <v>120</v>
      </c>
      <c r="AF174" t="s">
        <v>120</v>
      </c>
      <c r="AG174" t="s">
        <v>120</v>
      </c>
      <c r="AH174" t="s">
        <v>120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4500</v>
      </c>
      <c r="AP174">
        <v>0</v>
      </c>
      <c r="AQ174">
        <v>0</v>
      </c>
      <c r="AR174">
        <v>75.9375</v>
      </c>
      <c r="AS174">
        <v>0</v>
      </c>
    </row>
    <row r="175" spans="1:45" x14ac:dyDescent="0.25">
      <c r="A175" t="s">
        <v>540</v>
      </c>
      <c r="B175" t="s">
        <v>541</v>
      </c>
      <c r="C175" t="s">
        <v>118</v>
      </c>
      <c r="D175" t="s">
        <v>119</v>
      </c>
      <c r="E175" t="s">
        <v>120</v>
      </c>
      <c r="F175" t="s">
        <v>120</v>
      </c>
      <c r="G175" t="s">
        <v>120</v>
      </c>
      <c r="H175" t="s">
        <v>120</v>
      </c>
      <c r="I175" t="s">
        <v>120</v>
      </c>
      <c r="J175" t="s">
        <v>120</v>
      </c>
      <c r="K175" t="s">
        <v>120</v>
      </c>
      <c r="L175" t="s">
        <v>120</v>
      </c>
      <c r="M175" t="s">
        <v>120</v>
      </c>
      <c r="N175" t="s">
        <v>120</v>
      </c>
      <c r="O175" t="s">
        <v>120</v>
      </c>
      <c r="P175" t="s">
        <v>120</v>
      </c>
      <c r="Q175" t="s">
        <v>120</v>
      </c>
      <c r="R175" t="s">
        <v>120</v>
      </c>
      <c r="S175" t="s">
        <v>120</v>
      </c>
      <c r="T175" t="s">
        <v>120</v>
      </c>
      <c r="U175" t="s">
        <v>120</v>
      </c>
      <c r="V175" t="s">
        <v>120</v>
      </c>
      <c r="W175" t="s">
        <v>120</v>
      </c>
      <c r="X175" t="s">
        <v>120</v>
      </c>
      <c r="Y175" t="s">
        <v>120</v>
      </c>
      <c r="Z175" t="s">
        <v>120</v>
      </c>
      <c r="AA175" t="s">
        <v>120</v>
      </c>
      <c r="AB175" t="s">
        <v>120</v>
      </c>
      <c r="AC175" t="s">
        <v>120</v>
      </c>
      <c r="AD175" t="s">
        <v>120</v>
      </c>
      <c r="AE175" t="s">
        <v>120</v>
      </c>
      <c r="AF175" t="s">
        <v>120</v>
      </c>
      <c r="AG175" t="s">
        <v>120</v>
      </c>
      <c r="AH175" t="s">
        <v>120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4500</v>
      </c>
      <c r="AP175">
        <v>0</v>
      </c>
      <c r="AQ175">
        <v>0</v>
      </c>
      <c r="AR175">
        <v>75.9375</v>
      </c>
      <c r="AS175">
        <v>0</v>
      </c>
    </row>
    <row r="176" spans="1:45" x14ac:dyDescent="0.25">
      <c r="A176" t="s">
        <v>542</v>
      </c>
      <c r="B176" t="s">
        <v>543</v>
      </c>
      <c r="C176" t="s">
        <v>118</v>
      </c>
      <c r="D176" t="s">
        <v>119</v>
      </c>
      <c r="F176" t="s">
        <v>120</v>
      </c>
      <c r="G176" t="s">
        <v>120</v>
      </c>
      <c r="H176" t="s">
        <v>120</v>
      </c>
      <c r="I176" t="s">
        <v>120</v>
      </c>
      <c r="P176" t="s">
        <v>120</v>
      </c>
      <c r="X176" t="s">
        <v>120</v>
      </c>
      <c r="AC176" t="s">
        <v>120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4500</v>
      </c>
      <c r="AP176">
        <v>0</v>
      </c>
      <c r="AQ176">
        <v>0</v>
      </c>
      <c r="AR176">
        <v>75.9375</v>
      </c>
      <c r="AS176">
        <v>0</v>
      </c>
    </row>
    <row r="177" spans="1:45" x14ac:dyDescent="0.25">
      <c r="A177" t="s">
        <v>544</v>
      </c>
      <c r="B177" t="s">
        <v>545</v>
      </c>
      <c r="C177" t="s">
        <v>118</v>
      </c>
      <c r="D177" t="s">
        <v>119</v>
      </c>
      <c r="F177" t="s">
        <v>120</v>
      </c>
      <c r="G177" t="s">
        <v>120</v>
      </c>
      <c r="H177" t="s">
        <v>120</v>
      </c>
      <c r="I177" t="s">
        <v>120</v>
      </c>
      <c r="M177" t="s">
        <v>120</v>
      </c>
      <c r="P177" t="s">
        <v>120</v>
      </c>
      <c r="Q177" t="s">
        <v>120</v>
      </c>
      <c r="R177" t="s">
        <v>120</v>
      </c>
      <c r="S177" t="s">
        <v>120</v>
      </c>
      <c r="X177" t="s">
        <v>120</v>
      </c>
      <c r="Y177" t="s">
        <v>120</v>
      </c>
      <c r="Z177" t="s">
        <v>120</v>
      </c>
      <c r="AA177" t="s">
        <v>120</v>
      </c>
      <c r="AC177" t="s">
        <v>120</v>
      </c>
      <c r="AE177" t="s">
        <v>120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4500</v>
      </c>
      <c r="AP177">
        <v>0</v>
      </c>
      <c r="AQ177">
        <v>0</v>
      </c>
      <c r="AR177">
        <v>75.9375</v>
      </c>
      <c r="AS177">
        <v>0</v>
      </c>
    </row>
    <row r="178" spans="1:45" x14ac:dyDescent="0.25">
      <c r="A178" t="s">
        <v>546</v>
      </c>
      <c r="B178" t="s">
        <v>547</v>
      </c>
      <c r="C178" t="s">
        <v>118</v>
      </c>
      <c r="D178" t="s">
        <v>119</v>
      </c>
      <c r="E178" t="s">
        <v>120</v>
      </c>
      <c r="F178" t="s">
        <v>120</v>
      </c>
      <c r="G178" t="s">
        <v>120</v>
      </c>
      <c r="H178" t="s">
        <v>120</v>
      </c>
      <c r="I178" t="s">
        <v>120</v>
      </c>
      <c r="J178" t="s">
        <v>120</v>
      </c>
      <c r="K178" t="s">
        <v>120</v>
      </c>
      <c r="V178" t="s">
        <v>120</v>
      </c>
      <c r="W178" t="s">
        <v>120</v>
      </c>
      <c r="Y178" t="s">
        <v>120</v>
      </c>
      <c r="Z178" t="s">
        <v>120</v>
      </c>
      <c r="AA178" t="s">
        <v>120</v>
      </c>
      <c r="AG178" t="s">
        <v>120</v>
      </c>
      <c r="AH178" t="s">
        <v>120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4500</v>
      </c>
      <c r="AP178">
        <v>0</v>
      </c>
      <c r="AQ178">
        <v>0</v>
      </c>
      <c r="AR178">
        <v>75.9375</v>
      </c>
      <c r="AS178">
        <v>0</v>
      </c>
    </row>
    <row r="179" spans="1:45" x14ac:dyDescent="0.25">
      <c r="A179" t="s">
        <v>548</v>
      </c>
      <c r="B179" t="s">
        <v>549</v>
      </c>
      <c r="C179" t="s">
        <v>118</v>
      </c>
      <c r="D179" t="s">
        <v>119</v>
      </c>
      <c r="E179" t="s">
        <v>120</v>
      </c>
      <c r="F179" t="s">
        <v>120</v>
      </c>
      <c r="G179" t="s">
        <v>120</v>
      </c>
      <c r="H179" t="s">
        <v>120</v>
      </c>
      <c r="I179" t="s">
        <v>120</v>
      </c>
      <c r="J179" t="s">
        <v>120</v>
      </c>
      <c r="K179" t="s">
        <v>120</v>
      </c>
      <c r="L179" t="s">
        <v>120</v>
      </c>
      <c r="M179" t="s">
        <v>120</v>
      </c>
      <c r="N179" t="s">
        <v>120</v>
      </c>
      <c r="O179" t="s">
        <v>120</v>
      </c>
      <c r="P179" t="s">
        <v>120</v>
      </c>
      <c r="Q179" t="s">
        <v>120</v>
      </c>
      <c r="R179" t="s">
        <v>120</v>
      </c>
      <c r="S179" t="s">
        <v>120</v>
      </c>
      <c r="T179" t="s">
        <v>120</v>
      </c>
      <c r="U179" t="s">
        <v>120</v>
      </c>
      <c r="V179" t="s">
        <v>120</v>
      </c>
      <c r="W179" t="s">
        <v>120</v>
      </c>
      <c r="X179" t="s">
        <v>120</v>
      </c>
      <c r="Y179" t="s">
        <v>120</v>
      </c>
      <c r="Z179" t="s">
        <v>120</v>
      </c>
      <c r="AA179" t="s">
        <v>120</v>
      </c>
      <c r="AB179" t="s">
        <v>120</v>
      </c>
      <c r="AC179" t="s">
        <v>120</v>
      </c>
      <c r="AD179" t="s">
        <v>120</v>
      </c>
      <c r="AE179" t="s">
        <v>120</v>
      </c>
      <c r="AF179" t="s">
        <v>120</v>
      </c>
      <c r="AG179" t="s">
        <v>120</v>
      </c>
      <c r="AH179" t="s">
        <v>120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4500</v>
      </c>
      <c r="AP179">
        <v>0</v>
      </c>
      <c r="AQ179">
        <v>0</v>
      </c>
      <c r="AR179">
        <v>75.9375</v>
      </c>
      <c r="AS179">
        <v>0</v>
      </c>
    </row>
    <row r="180" spans="1:45" x14ac:dyDescent="0.25">
      <c r="A180" t="s">
        <v>550</v>
      </c>
      <c r="B180" t="s">
        <v>551</v>
      </c>
      <c r="C180" t="s">
        <v>118</v>
      </c>
      <c r="D180" t="s">
        <v>119</v>
      </c>
      <c r="E180" t="s">
        <v>120</v>
      </c>
      <c r="F180" t="s">
        <v>120</v>
      </c>
      <c r="G180" t="s">
        <v>120</v>
      </c>
      <c r="H180" t="s">
        <v>120</v>
      </c>
      <c r="I180" t="s">
        <v>120</v>
      </c>
      <c r="J180" t="s">
        <v>120</v>
      </c>
      <c r="K180" t="s">
        <v>120</v>
      </c>
      <c r="L180" t="s">
        <v>120</v>
      </c>
      <c r="M180" t="s">
        <v>120</v>
      </c>
      <c r="N180" t="s">
        <v>120</v>
      </c>
      <c r="O180" t="s">
        <v>120</v>
      </c>
      <c r="P180" t="s">
        <v>120</v>
      </c>
      <c r="Q180" t="s">
        <v>120</v>
      </c>
      <c r="R180" t="s">
        <v>120</v>
      </c>
      <c r="S180" t="s">
        <v>120</v>
      </c>
      <c r="T180" t="s">
        <v>120</v>
      </c>
      <c r="U180" t="s">
        <v>120</v>
      </c>
      <c r="V180" t="s">
        <v>120</v>
      </c>
      <c r="W180" t="s">
        <v>120</v>
      </c>
      <c r="X180" t="s">
        <v>120</v>
      </c>
      <c r="Y180" t="s">
        <v>120</v>
      </c>
      <c r="Z180" t="s">
        <v>120</v>
      </c>
      <c r="AA180" t="s">
        <v>120</v>
      </c>
      <c r="AB180" t="s">
        <v>120</v>
      </c>
      <c r="AC180" t="s">
        <v>120</v>
      </c>
      <c r="AD180" t="s">
        <v>120</v>
      </c>
      <c r="AE180" t="s">
        <v>120</v>
      </c>
      <c r="AF180" t="s">
        <v>120</v>
      </c>
      <c r="AG180" t="s">
        <v>120</v>
      </c>
      <c r="AH180" t="s">
        <v>120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4500</v>
      </c>
      <c r="AP180">
        <v>0</v>
      </c>
      <c r="AQ180">
        <v>0</v>
      </c>
      <c r="AR180">
        <v>75.9375</v>
      </c>
      <c r="AS180">
        <v>0</v>
      </c>
    </row>
    <row r="181" spans="1:45" x14ac:dyDescent="0.25">
      <c r="A181" t="s">
        <v>552</v>
      </c>
      <c r="B181" t="s">
        <v>553</v>
      </c>
      <c r="C181" t="s">
        <v>118</v>
      </c>
      <c r="D181" t="s">
        <v>119</v>
      </c>
      <c r="E181" t="s">
        <v>120</v>
      </c>
      <c r="F181" t="s">
        <v>120</v>
      </c>
      <c r="G181" t="s">
        <v>120</v>
      </c>
      <c r="H181" t="s">
        <v>120</v>
      </c>
      <c r="I181" t="s">
        <v>120</v>
      </c>
      <c r="J181" t="s">
        <v>120</v>
      </c>
      <c r="K181" t="s">
        <v>120</v>
      </c>
      <c r="L181" t="s">
        <v>120</v>
      </c>
      <c r="M181" t="s">
        <v>120</v>
      </c>
      <c r="N181" t="s">
        <v>120</v>
      </c>
      <c r="O181" t="s">
        <v>120</v>
      </c>
      <c r="P181" t="s">
        <v>120</v>
      </c>
      <c r="Q181" t="s">
        <v>120</v>
      </c>
      <c r="R181" t="s">
        <v>120</v>
      </c>
      <c r="S181" t="s">
        <v>120</v>
      </c>
      <c r="T181" t="s">
        <v>120</v>
      </c>
      <c r="U181" t="s">
        <v>120</v>
      </c>
      <c r="V181" t="s">
        <v>120</v>
      </c>
      <c r="W181" t="s">
        <v>120</v>
      </c>
      <c r="X181" t="s">
        <v>120</v>
      </c>
      <c r="Y181" t="s">
        <v>120</v>
      </c>
      <c r="Z181" t="s">
        <v>120</v>
      </c>
      <c r="AA181" t="s">
        <v>120</v>
      </c>
      <c r="AB181" t="s">
        <v>120</v>
      </c>
      <c r="AC181" t="s">
        <v>120</v>
      </c>
      <c r="AD181" t="s">
        <v>120</v>
      </c>
      <c r="AE181" t="s">
        <v>120</v>
      </c>
      <c r="AF181" t="s">
        <v>120</v>
      </c>
      <c r="AG181" t="s">
        <v>120</v>
      </c>
      <c r="AH181" t="s">
        <v>120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4500</v>
      </c>
      <c r="AP181">
        <v>0</v>
      </c>
      <c r="AQ181">
        <v>0</v>
      </c>
      <c r="AR181">
        <v>75.9375</v>
      </c>
      <c r="AS181">
        <v>0</v>
      </c>
    </row>
    <row r="182" spans="1:45" x14ac:dyDescent="0.25">
      <c r="A182" t="s">
        <v>554</v>
      </c>
      <c r="B182" t="s">
        <v>555</v>
      </c>
      <c r="C182" t="s">
        <v>118</v>
      </c>
      <c r="D182" t="s">
        <v>119</v>
      </c>
      <c r="E182" t="s">
        <v>120</v>
      </c>
      <c r="F182" t="s">
        <v>120</v>
      </c>
      <c r="G182" t="s">
        <v>120</v>
      </c>
      <c r="H182" t="s">
        <v>120</v>
      </c>
      <c r="I182" t="s">
        <v>120</v>
      </c>
      <c r="J182" t="s">
        <v>120</v>
      </c>
      <c r="K182" t="s">
        <v>120</v>
      </c>
      <c r="L182" t="s">
        <v>120</v>
      </c>
      <c r="M182" t="s">
        <v>120</v>
      </c>
      <c r="N182" t="s">
        <v>120</v>
      </c>
      <c r="O182" t="s">
        <v>120</v>
      </c>
      <c r="P182" t="s">
        <v>120</v>
      </c>
      <c r="Q182" t="s">
        <v>120</v>
      </c>
      <c r="R182" t="s">
        <v>120</v>
      </c>
      <c r="S182" t="s">
        <v>120</v>
      </c>
      <c r="T182" t="s">
        <v>120</v>
      </c>
      <c r="U182" t="s">
        <v>120</v>
      </c>
      <c r="V182" t="s">
        <v>120</v>
      </c>
      <c r="W182" t="s">
        <v>120</v>
      </c>
      <c r="X182" t="s">
        <v>120</v>
      </c>
      <c r="Y182" t="s">
        <v>120</v>
      </c>
      <c r="Z182" t="s">
        <v>120</v>
      </c>
      <c r="AA182" t="s">
        <v>120</v>
      </c>
      <c r="AB182" t="s">
        <v>120</v>
      </c>
      <c r="AC182" t="s">
        <v>120</v>
      </c>
      <c r="AD182" t="s">
        <v>120</v>
      </c>
      <c r="AE182" t="s">
        <v>120</v>
      </c>
      <c r="AF182" t="s">
        <v>120</v>
      </c>
      <c r="AG182" t="s">
        <v>120</v>
      </c>
      <c r="AH182" t="s">
        <v>120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4500</v>
      </c>
      <c r="AP182">
        <v>0</v>
      </c>
      <c r="AQ182">
        <v>0</v>
      </c>
      <c r="AR182">
        <v>75.9375</v>
      </c>
      <c r="AS182">
        <v>0</v>
      </c>
    </row>
    <row r="183" spans="1:45" x14ac:dyDescent="0.25">
      <c r="A183" t="s">
        <v>556</v>
      </c>
      <c r="B183" t="s">
        <v>557</v>
      </c>
      <c r="C183" t="s">
        <v>118</v>
      </c>
      <c r="D183" t="s">
        <v>119</v>
      </c>
      <c r="E183" t="s">
        <v>120</v>
      </c>
      <c r="F183" t="s">
        <v>120</v>
      </c>
      <c r="G183" t="s">
        <v>120</v>
      </c>
      <c r="H183" t="s">
        <v>120</v>
      </c>
      <c r="I183" t="s">
        <v>120</v>
      </c>
      <c r="J183" t="s">
        <v>120</v>
      </c>
      <c r="K183" t="s">
        <v>120</v>
      </c>
      <c r="L183" t="s">
        <v>120</v>
      </c>
      <c r="M183" t="s">
        <v>120</v>
      </c>
      <c r="N183" t="s">
        <v>120</v>
      </c>
      <c r="O183" t="s">
        <v>120</v>
      </c>
      <c r="P183" t="s">
        <v>120</v>
      </c>
      <c r="Q183" t="s">
        <v>120</v>
      </c>
      <c r="R183" t="s">
        <v>120</v>
      </c>
      <c r="S183" t="s">
        <v>120</v>
      </c>
      <c r="T183" t="s">
        <v>120</v>
      </c>
      <c r="U183" t="s">
        <v>120</v>
      </c>
      <c r="V183" t="s">
        <v>120</v>
      </c>
      <c r="W183" t="s">
        <v>120</v>
      </c>
      <c r="X183" t="s">
        <v>120</v>
      </c>
      <c r="Y183" t="s">
        <v>120</v>
      </c>
      <c r="Z183" t="s">
        <v>120</v>
      </c>
      <c r="AA183" t="s">
        <v>120</v>
      </c>
      <c r="AB183" t="s">
        <v>120</v>
      </c>
      <c r="AC183" t="s">
        <v>120</v>
      </c>
      <c r="AD183" t="s">
        <v>120</v>
      </c>
      <c r="AE183" t="s">
        <v>120</v>
      </c>
      <c r="AF183" t="s">
        <v>120</v>
      </c>
      <c r="AG183" t="s">
        <v>120</v>
      </c>
      <c r="AH183" t="s">
        <v>120</v>
      </c>
      <c r="AJ183">
        <v>0</v>
      </c>
      <c r="AK183">
        <v>1</v>
      </c>
      <c r="AL183">
        <v>1</v>
      </c>
      <c r="AM183">
        <v>0</v>
      </c>
      <c r="AN183">
        <v>0</v>
      </c>
      <c r="AO183">
        <v>4500</v>
      </c>
      <c r="AP183">
        <v>1</v>
      </c>
      <c r="AQ183">
        <v>0</v>
      </c>
      <c r="AR183">
        <v>75.9375</v>
      </c>
      <c r="AS183">
        <v>56.25</v>
      </c>
    </row>
    <row r="184" spans="1:45" x14ac:dyDescent="0.25">
      <c r="A184" t="s">
        <v>558</v>
      </c>
      <c r="B184" t="s">
        <v>559</v>
      </c>
      <c r="C184" t="s">
        <v>118</v>
      </c>
      <c r="D184" t="s">
        <v>119</v>
      </c>
      <c r="E184" t="s">
        <v>120</v>
      </c>
      <c r="F184" t="s">
        <v>120</v>
      </c>
      <c r="G184" t="s">
        <v>120</v>
      </c>
      <c r="H184" t="s">
        <v>120</v>
      </c>
      <c r="I184" t="s">
        <v>120</v>
      </c>
      <c r="J184" t="s">
        <v>120</v>
      </c>
      <c r="K184" t="s">
        <v>120</v>
      </c>
      <c r="L184" t="s">
        <v>120</v>
      </c>
      <c r="M184" t="s">
        <v>120</v>
      </c>
      <c r="N184" t="s">
        <v>120</v>
      </c>
      <c r="O184" t="s">
        <v>120</v>
      </c>
      <c r="P184" t="s">
        <v>120</v>
      </c>
      <c r="Q184" t="s">
        <v>120</v>
      </c>
      <c r="R184" t="s">
        <v>120</v>
      </c>
      <c r="S184" t="s">
        <v>120</v>
      </c>
      <c r="T184" t="s">
        <v>120</v>
      </c>
      <c r="U184" t="s">
        <v>120</v>
      </c>
      <c r="V184" t="s">
        <v>120</v>
      </c>
      <c r="W184" t="s">
        <v>120</v>
      </c>
      <c r="X184" t="s">
        <v>120</v>
      </c>
      <c r="Y184" t="s">
        <v>120</v>
      </c>
      <c r="Z184" t="s">
        <v>120</v>
      </c>
      <c r="AA184" t="s">
        <v>120</v>
      </c>
      <c r="AB184" t="s">
        <v>120</v>
      </c>
      <c r="AC184" t="s">
        <v>120</v>
      </c>
      <c r="AD184" t="s">
        <v>120</v>
      </c>
      <c r="AE184" t="s">
        <v>120</v>
      </c>
      <c r="AF184" t="s">
        <v>120</v>
      </c>
      <c r="AG184" t="s">
        <v>120</v>
      </c>
      <c r="AH184" t="s">
        <v>120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4500</v>
      </c>
      <c r="AP184">
        <v>0</v>
      </c>
      <c r="AQ184">
        <v>0</v>
      </c>
      <c r="AR184">
        <v>75.9375</v>
      </c>
      <c r="AS184">
        <v>0</v>
      </c>
    </row>
    <row r="185" spans="1:45" x14ac:dyDescent="0.25">
      <c r="A185" t="s">
        <v>560</v>
      </c>
      <c r="B185" t="s">
        <v>561</v>
      </c>
      <c r="C185" t="s">
        <v>118</v>
      </c>
      <c r="D185" t="s">
        <v>119</v>
      </c>
      <c r="E185" t="s">
        <v>120</v>
      </c>
      <c r="F185" t="s">
        <v>120</v>
      </c>
      <c r="G185" t="s">
        <v>120</v>
      </c>
      <c r="H185" t="s">
        <v>120</v>
      </c>
      <c r="I185" t="s">
        <v>120</v>
      </c>
      <c r="J185" t="s">
        <v>120</v>
      </c>
      <c r="K185" t="s">
        <v>120</v>
      </c>
      <c r="L185" t="s">
        <v>120</v>
      </c>
      <c r="M185" t="s">
        <v>120</v>
      </c>
      <c r="N185" t="s">
        <v>120</v>
      </c>
      <c r="O185" t="s">
        <v>120</v>
      </c>
      <c r="P185" t="s">
        <v>120</v>
      </c>
      <c r="Q185" t="s">
        <v>120</v>
      </c>
      <c r="R185" t="s">
        <v>120</v>
      </c>
      <c r="S185" t="s">
        <v>120</v>
      </c>
      <c r="T185" t="s">
        <v>120</v>
      </c>
      <c r="U185" t="s">
        <v>120</v>
      </c>
      <c r="V185" t="s">
        <v>120</v>
      </c>
      <c r="W185" t="s">
        <v>120</v>
      </c>
      <c r="X185" t="s">
        <v>120</v>
      </c>
      <c r="Y185" t="s">
        <v>120</v>
      </c>
      <c r="Z185" t="s">
        <v>120</v>
      </c>
      <c r="AA185" t="s">
        <v>120</v>
      </c>
      <c r="AB185" t="s">
        <v>120</v>
      </c>
      <c r="AC185" t="s">
        <v>120</v>
      </c>
      <c r="AD185" t="s">
        <v>120</v>
      </c>
      <c r="AE185" t="s">
        <v>120</v>
      </c>
      <c r="AF185" t="s">
        <v>120</v>
      </c>
      <c r="AG185" t="s">
        <v>120</v>
      </c>
      <c r="AH185" t="s">
        <v>120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4500</v>
      </c>
      <c r="AP185">
        <v>0</v>
      </c>
      <c r="AQ185">
        <v>0</v>
      </c>
      <c r="AR185">
        <v>75.9375</v>
      </c>
      <c r="AS185">
        <v>0</v>
      </c>
    </row>
    <row r="186" spans="1:45" x14ac:dyDescent="0.25">
      <c r="A186" t="s">
        <v>562</v>
      </c>
      <c r="B186" t="s">
        <v>563</v>
      </c>
      <c r="C186" t="s">
        <v>118</v>
      </c>
      <c r="D186" t="s">
        <v>119</v>
      </c>
      <c r="E186" t="s">
        <v>120</v>
      </c>
      <c r="F186" t="s">
        <v>120</v>
      </c>
      <c r="G186" t="s">
        <v>120</v>
      </c>
      <c r="H186" t="s">
        <v>120</v>
      </c>
      <c r="I186" t="s">
        <v>120</v>
      </c>
      <c r="J186" t="s">
        <v>120</v>
      </c>
      <c r="K186" t="s">
        <v>120</v>
      </c>
      <c r="L186" t="s">
        <v>120</v>
      </c>
      <c r="M186" t="s">
        <v>120</v>
      </c>
      <c r="N186" t="s">
        <v>120</v>
      </c>
      <c r="O186" t="s">
        <v>120</v>
      </c>
      <c r="P186" t="s">
        <v>120</v>
      </c>
      <c r="Q186" t="s">
        <v>120</v>
      </c>
      <c r="R186" t="s">
        <v>120</v>
      </c>
      <c r="S186" t="s">
        <v>120</v>
      </c>
      <c r="T186" t="s">
        <v>120</v>
      </c>
      <c r="U186" t="s">
        <v>120</v>
      </c>
      <c r="V186" t="s">
        <v>120</v>
      </c>
      <c r="W186" t="s">
        <v>120</v>
      </c>
      <c r="X186" t="s">
        <v>120</v>
      </c>
      <c r="Y186" t="s">
        <v>120</v>
      </c>
      <c r="Z186" t="s">
        <v>120</v>
      </c>
      <c r="AA186" t="s">
        <v>120</v>
      </c>
      <c r="AB186" t="s">
        <v>120</v>
      </c>
      <c r="AC186" t="s">
        <v>120</v>
      </c>
      <c r="AD186" t="s">
        <v>120</v>
      </c>
      <c r="AE186" t="s">
        <v>120</v>
      </c>
      <c r="AF186" t="s">
        <v>120</v>
      </c>
      <c r="AG186" t="s">
        <v>120</v>
      </c>
      <c r="AH186" t="s">
        <v>120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4500</v>
      </c>
      <c r="AP186">
        <v>0</v>
      </c>
      <c r="AQ186">
        <v>0</v>
      </c>
      <c r="AR186">
        <v>75.9375</v>
      </c>
      <c r="AS186">
        <v>0</v>
      </c>
    </row>
    <row r="187" spans="1:45" x14ac:dyDescent="0.25">
      <c r="A187" t="s">
        <v>564</v>
      </c>
      <c r="B187" t="s">
        <v>565</v>
      </c>
      <c r="C187" t="s">
        <v>118</v>
      </c>
      <c r="D187" t="s">
        <v>119</v>
      </c>
      <c r="E187" t="s">
        <v>120</v>
      </c>
      <c r="F187" t="s">
        <v>120</v>
      </c>
      <c r="G187" t="s">
        <v>120</v>
      </c>
      <c r="H187" t="s">
        <v>120</v>
      </c>
      <c r="I187" t="s">
        <v>120</v>
      </c>
      <c r="J187" t="s">
        <v>120</v>
      </c>
      <c r="K187" t="s">
        <v>120</v>
      </c>
      <c r="L187" t="s">
        <v>120</v>
      </c>
      <c r="M187" t="s">
        <v>120</v>
      </c>
      <c r="N187" t="s">
        <v>120</v>
      </c>
      <c r="O187" t="s">
        <v>120</v>
      </c>
      <c r="P187" t="s">
        <v>120</v>
      </c>
      <c r="Q187" t="s">
        <v>120</v>
      </c>
      <c r="R187" t="s">
        <v>120</v>
      </c>
      <c r="S187" t="s">
        <v>120</v>
      </c>
      <c r="T187" t="s">
        <v>120</v>
      </c>
      <c r="U187" t="s">
        <v>120</v>
      </c>
      <c r="V187" t="s">
        <v>120</v>
      </c>
      <c r="W187" t="s">
        <v>120</v>
      </c>
      <c r="X187" t="s">
        <v>120</v>
      </c>
      <c r="Y187" t="s">
        <v>120</v>
      </c>
      <c r="Z187" t="s">
        <v>120</v>
      </c>
      <c r="AA187" t="s">
        <v>120</v>
      </c>
      <c r="AB187" t="s">
        <v>120</v>
      </c>
      <c r="AC187" t="s">
        <v>120</v>
      </c>
      <c r="AD187" t="s">
        <v>120</v>
      </c>
      <c r="AE187" t="s">
        <v>120</v>
      </c>
      <c r="AF187" t="s">
        <v>120</v>
      </c>
      <c r="AG187" t="s">
        <v>120</v>
      </c>
      <c r="AH187" t="s">
        <v>120</v>
      </c>
      <c r="AJ187">
        <v>40</v>
      </c>
      <c r="AK187">
        <v>40</v>
      </c>
      <c r="AL187">
        <v>0</v>
      </c>
      <c r="AM187">
        <v>0</v>
      </c>
      <c r="AN187">
        <v>0</v>
      </c>
      <c r="AO187">
        <v>4500</v>
      </c>
      <c r="AP187">
        <v>40</v>
      </c>
      <c r="AQ187">
        <v>0</v>
      </c>
      <c r="AR187">
        <v>75.9375</v>
      </c>
      <c r="AS187">
        <v>2250</v>
      </c>
    </row>
    <row r="188" spans="1:45" x14ac:dyDescent="0.25">
      <c r="A188" t="s">
        <v>566</v>
      </c>
      <c r="B188" t="s">
        <v>567</v>
      </c>
      <c r="C188" t="s">
        <v>118</v>
      </c>
      <c r="D188" t="s">
        <v>119</v>
      </c>
      <c r="E188" t="s">
        <v>120</v>
      </c>
      <c r="F188" t="s">
        <v>120</v>
      </c>
      <c r="G188" t="s">
        <v>120</v>
      </c>
      <c r="H188" t="s">
        <v>120</v>
      </c>
      <c r="I188" t="s">
        <v>120</v>
      </c>
      <c r="J188" t="s">
        <v>120</v>
      </c>
      <c r="K188" t="s">
        <v>120</v>
      </c>
      <c r="L188" t="s">
        <v>120</v>
      </c>
      <c r="M188" t="s">
        <v>120</v>
      </c>
      <c r="N188" t="s">
        <v>120</v>
      </c>
      <c r="O188" t="s">
        <v>120</v>
      </c>
      <c r="P188" t="s">
        <v>120</v>
      </c>
      <c r="Q188" t="s">
        <v>120</v>
      </c>
      <c r="R188" t="s">
        <v>120</v>
      </c>
      <c r="S188" t="s">
        <v>120</v>
      </c>
      <c r="T188" t="s">
        <v>120</v>
      </c>
      <c r="U188" t="s">
        <v>120</v>
      </c>
      <c r="V188" t="s">
        <v>120</v>
      </c>
      <c r="W188" t="s">
        <v>120</v>
      </c>
      <c r="X188" t="s">
        <v>120</v>
      </c>
      <c r="Y188" t="s">
        <v>120</v>
      </c>
      <c r="Z188" t="s">
        <v>120</v>
      </c>
      <c r="AA188" t="s">
        <v>120</v>
      </c>
      <c r="AB188" t="s">
        <v>120</v>
      </c>
      <c r="AC188" t="s">
        <v>120</v>
      </c>
      <c r="AD188" t="s">
        <v>120</v>
      </c>
      <c r="AE188" t="s">
        <v>120</v>
      </c>
      <c r="AF188" t="s">
        <v>120</v>
      </c>
      <c r="AG188" t="s">
        <v>120</v>
      </c>
      <c r="AH188" t="s">
        <v>120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4500</v>
      </c>
      <c r="AP188">
        <v>0</v>
      </c>
      <c r="AQ188">
        <v>0</v>
      </c>
      <c r="AR188">
        <v>75.9375</v>
      </c>
      <c r="AS188">
        <v>0</v>
      </c>
    </row>
    <row r="189" spans="1:45" x14ac:dyDescent="0.25">
      <c r="A189" t="s">
        <v>568</v>
      </c>
      <c r="B189" t="s">
        <v>569</v>
      </c>
      <c r="C189" t="s">
        <v>118</v>
      </c>
      <c r="D189" t="s">
        <v>119</v>
      </c>
      <c r="E189" t="s">
        <v>120</v>
      </c>
      <c r="F189" t="s">
        <v>120</v>
      </c>
      <c r="G189" t="s">
        <v>120</v>
      </c>
      <c r="H189" t="s">
        <v>120</v>
      </c>
      <c r="I189" t="s">
        <v>120</v>
      </c>
      <c r="J189" t="s">
        <v>120</v>
      </c>
      <c r="K189" t="s">
        <v>120</v>
      </c>
      <c r="L189" t="s">
        <v>120</v>
      </c>
      <c r="M189" t="s">
        <v>120</v>
      </c>
      <c r="N189" t="s">
        <v>120</v>
      </c>
      <c r="O189" t="s">
        <v>120</v>
      </c>
      <c r="P189" t="s">
        <v>120</v>
      </c>
      <c r="Q189" t="s">
        <v>120</v>
      </c>
      <c r="R189" t="s">
        <v>120</v>
      </c>
      <c r="S189" t="s">
        <v>120</v>
      </c>
      <c r="T189" t="s">
        <v>120</v>
      </c>
      <c r="U189" t="s">
        <v>120</v>
      </c>
      <c r="V189" t="s">
        <v>120</v>
      </c>
      <c r="W189" t="s">
        <v>120</v>
      </c>
      <c r="X189" t="s">
        <v>120</v>
      </c>
      <c r="Y189" t="s">
        <v>120</v>
      </c>
      <c r="Z189" t="s">
        <v>120</v>
      </c>
      <c r="AA189" t="s">
        <v>120</v>
      </c>
      <c r="AB189" t="s">
        <v>120</v>
      </c>
      <c r="AC189" t="s">
        <v>120</v>
      </c>
      <c r="AD189" t="s">
        <v>120</v>
      </c>
      <c r="AE189" t="s">
        <v>120</v>
      </c>
      <c r="AF189" t="s">
        <v>120</v>
      </c>
      <c r="AG189" t="s">
        <v>120</v>
      </c>
      <c r="AH189" t="s">
        <v>120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4500</v>
      </c>
      <c r="AP189">
        <v>0</v>
      </c>
      <c r="AQ189">
        <v>0</v>
      </c>
      <c r="AR189">
        <v>75.9375</v>
      </c>
      <c r="AS189">
        <v>0</v>
      </c>
    </row>
    <row r="190" spans="1:45" x14ac:dyDescent="0.25">
      <c r="A190" t="s">
        <v>570</v>
      </c>
      <c r="B190" t="s">
        <v>571</v>
      </c>
      <c r="C190" t="s">
        <v>118</v>
      </c>
      <c r="D190" t="s">
        <v>119</v>
      </c>
      <c r="E190" t="s">
        <v>120</v>
      </c>
      <c r="F190" t="s">
        <v>120</v>
      </c>
      <c r="G190" t="s">
        <v>120</v>
      </c>
      <c r="H190" t="s">
        <v>120</v>
      </c>
      <c r="I190" t="s">
        <v>120</v>
      </c>
      <c r="J190" t="s">
        <v>120</v>
      </c>
      <c r="K190" t="s">
        <v>120</v>
      </c>
      <c r="L190" t="s">
        <v>120</v>
      </c>
      <c r="M190" t="s">
        <v>120</v>
      </c>
      <c r="N190" t="s">
        <v>120</v>
      </c>
      <c r="O190" t="s">
        <v>120</v>
      </c>
      <c r="P190" t="s">
        <v>120</v>
      </c>
      <c r="Q190" t="s">
        <v>120</v>
      </c>
      <c r="R190" t="s">
        <v>120</v>
      </c>
      <c r="S190" t="s">
        <v>120</v>
      </c>
      <c r="T190" t="s">
        <v>120</v>
      </c>
      <c r="U190" t="s">
        <v>120</v>
      </c>
      <c r="V190" t="s">
        <v>120</v>
      </c>
      <c r="W190" t="s">
        <v>120</v>
      </c>
      <c r="X190" t="s">
        <v>120</v>
      </c>
      <c r="Y190" t="s">
        <v>120</v>
      </c>
      <c r="Z190" t="s">
        <v>120</v>
      </c>
      <c r="AA190" t="s">
        <v>120</v>
      </c>
      <c r="AB190" t="s">
        <v>120</v>
      </c>
      <c r="AC190" t="s">
        <v>120</v>
      </c>
      <c r="AD190" t="s">
        <v>120</v>
      </c>
      <c r="AE190" t="s">
        <v>120</v>
      </c>
      <c r="AF190" t="s">
        <v>120</v>
      </c>
      <c r="AG190" t="s">
        <v>120</v>
      </c>
      <c r="AH190" t="s">
        <v>120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4500</v>
      </c>
      <c r="AP190">
        <v>0</v>
      </c>
      <c r="AQ190">
        <v>0</v>
      </c>
      <c r="AR190">
        <v>75.9375</v>
      </c>
      <c r="AS190">
        <v>0</v>
      </c>
    </row>
    <row r="191" spans="1:45" x14ac:dyDescent="0.25">
      <c r="A191" t="s">
        <v>572</v>
      </c>
      <c r="B191" t="s">
        <v>573</v>
      </c>
      <c r="C191" t="s">
        <v>118</v>
      </c>
      <c r="D191" t="s">
        <v>119</v>
      </c>
      <c r="E191" t="s">
        <v>120</v>
      </c>
      <c r="F191" t="s">
        <v>120</v>
      </c>
      <c r="G191" t="s">
        <v>120</v>
      </c>
      <c r="H191" t="s">
        <v>120</v>
      </c>
      <c r="I191" t="s">
        <v>120</v>
      </c>
      <c r="J191" t="s">
        <v>120</v>
      </c>
      <c r="K191" t="s">
        <v>120</v>
      </c>
      <c r="L191" t="s">
        <v>120</v>
      </c>
      <c r="M191" t="s">
        <v>120</v>
      </c>
      <c r="N191" t="s">
        <v>120</v>
      </c>
      <c r="O191" t="s">
        <v>120</v>
      </c>
      <c r="P191" t="s">
        <v>120</v>
      </c>
      <c r="Q191" t="s">
        <v>120</v>
      </c>
      <c r="R191" t="s">
        <v>120</v>
      </c>
      <c r="S191" t="s">
        <v>120</v>
      </c>
      <c r="T191" t="s">
        <v>135</v>
      </c>
      <c r="U191" t="s">
        <v>120</v>
      </c>
      <c r="V191" t="s">
        <v>120</v>
      </c>
      <c r="W191" t="s">
        <v>120</v>
      </c>
      <c r="X191" t="s">
        <v>120</v>
      </c>
      <c r="Y191" t="s">
        <v>120</v>
      </c>
      <c r="Z191" t="s">
        <v>120</v>
      </c>
      <c r="AA191" t="s">
        <v>120</v>
      </c>
      <c r="AB191" t="s">
        <v>120</v>
      </c>
      <c r="AC191" t="s">
        <v>120</v>
      </c>
      <c r="AD191" t="s">
        <v>120</v>
      </c>
      <c r="AE191" t="s">
        <v>120</v>
      </c>
      <c r="AF191" t="s">
        <v>120</v>
      </c>
      <c r="AG191" t="s">
        <v>120</v>
      </c>
      <c r="AH191" t="s">
        <v>120</v>
      </c>
      <c r="AJ191">
        <v>0</v>
      </c>
      <c r="AK191">
        <v>8</v>
      </c>
      <c r="AL191">
        <v>0</v>
      </c>
      <c r="AM191">
        <v>8</v>
      </c>
      <c r="AN191">
        <v>0</v>
      </c>
      <c r="AO191">
        <v>4500</v>
      </c>
      <c r="AP191">
        <v>8</v>
      </c>
      <c r="AQ191">
        <v>0</v>
      </c>
      <c r="AR191">
        <v>75.9375</v>
      </c>
      <c r="AS191">
        <v>450</v>
      </c>
    </row>
    <row r="192" spans="1:45" x14ac:dyDescent="0.25">
      <c r="A192" t="s">
        <v>574</v>
      </c>
      <c r="B192" t="s">
        <v>575</v>
      </c>
      <c r="C192" t="s">
        <v>118</v>
      </c>
      <c r="D192" t="s">
        <v>119</v>
      </c>
      <c r="E192" t="s">
        <v>120</v>
      </c>
      <c r="F192" t="s">
        <v>120</v>
      </c>
      <c r="G192" t="s">
        <v>120</v>
      </c>
      <c r="H192" t="s">
        <v>120</v>
      </c>
      <c r="I192" t="s">
        <v>120</v>
      </c>
      <c r="J192" t="s">
        <v>120</v>
      </c>
      <c r="K192" t="s">
        <v>120</v>
      </c>
      <c r="L192" t="s">
        <v>120</v>
      </c>
      <c r="M192" t="s">
        <v>120</v>
      </c>
      <c r="N192" t="s">
        <v>120</v>
      </c>
      <c r="O192" t="s">
        <v>120</v>
      </c>
      <c r="P192" t="s">
        <v>120</v>
      </c>
      <c r="Q192" t="s">
        <v>120</v>
      </c>
      <c r="R192" t="s">
        <v>120</v>
      </c>
      <c r="S192" t="s">
        <v>120</v>
      </c>
      <c r="T192" t="s">
        <v>120</v>
      </c>
      <c r="U192" t="s">
        <v>120</v>
      </c>
      <c r="V192" t="s">
        <v>120</v>
      </c>
      <c r="W192" t="s">
        <v>120</v>
      </c>
      <c r="X192" t="s">
        <v>120</v>
      </c>
      <c r="Y192" t="s">
        <v>120</v>
      </c>
      <c r="Z192" t="s">
        <v>120</v>
      </c>
      <c r="AA192" t="s">
        <v>120</v>
      </c>
      <c r="AB192" t="s">
        <v>120</v>
      </c>
      <c r="AC192" t="s">
        <v>120</v>
      </c>
      <c r="AD192" t="s">
        <v>120</v>
      </c>
      <c r="AE192" t="s">
        <v>120</v>
      </c>
      <c r="AF192" t="s">
        <v>120</v>
      </c>
      <c r="AG192" t="s">
        <v>120</v>
      </c>
      <c r="AH192" t="s">
        <v>120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4500</v>
      </c>
      <c r="AP192">
        <v>0</v>
      </c>
      <c r="AQ192">
        <v>0</v>
      </c>
      <c r="AR192">
        <v>75.9375</v>
      </c>
      <c r="AS192">
        <v>0</v>
      </c>
    </row>
    <row r="193" spans="1:45" x14ac:dyDescent="0.25">
      <c r="A193" t="s">
        <v>576</v>
      </c>
      <c r="B193" t="s">
        <v>577</v>
      </c>
      <c r="C193" t="s">
        <v>118</v>
      </c>
      <c r="D193" t="s">
        <v>119</v>
      </c>
      <c r="E193" t="s">
        <v>120</v>
      </c>
      <c r="F193" t="s">
        <v>120</v>
      </c>
      <c r="G193" t="s">
        <v>120</v>
      </c>
      <c r="H193" t="s">
        <v>120</v>
      </c>
      <c r="I193" t="s">
        <v>120</v>
      </c>
      <c r="J193" t="s">
        <v>120</v>
      </c>
      <c r="K193" t="s">
        <v>120</v>
      </c>
      <c r="L193" t="s">
        <v>120</v>
      </c>
      <c r="M193" t="s">
        <v>120</v>
      </c>
      <c r="N193" t="s">
        <v>120</v>
      </c>
      <c r="O193" t="s">
        <v>120</v>
      </c>
      <c r="P193" t="s">
        <v>120</v>
      </c>
      <c r="Q193" t="s">
        <v>120</v>
      </c>
      <c r="R193" t="s">
        <v>120</v>
      </c>
      <c r="S193" t="s">
        <v>120</v>
      </c>
      <c r="T193" t="s">
        <v>120</v>
      </c>
      <c r="U193" t="s">
        <v>120</v>
      </c>
      <c r="V193" t="s">
        <v>120</v>
      </c>
      <c r="W193" t="s">
        <v>120</v>
      </c>
      <c r="X193" t="s">
        <v>120</v>
      </c>
      <c r="Y193" t="s">
        <v>120</v>
      </c>
      <c r="Z193" t="s">
        <v>120</v>
      </c>
      <c r="AA193" t="s">
        <v>120</v>
      </c>
      <c r="AB193" t="s">
        <v>120</v>
      </c>
      <c r="AC193" t="s">
        <v>120</v>
      </c>
      <c r="AD193" t="s">
        <v>120</v>
      </c>
      <c r="AE193" t="s">
        <v>120</v>
      </c>
      <c r="AF193" t="s">
        <v>120</v>
      </c>
      <c r="AG193" t="s">
        <v>120</v>
      </c>
      <c r="AH193" t="s">
        <v>120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4500</v>
      </c>
      <c r="AP193">
        <v>0</v>
      </c>
      <c r="AQ193">
        <v>0</v>
      </c>
      <c r="AR193">
        <v>75.9375</v>
      </c>
      <c r="AS193">
        <v>0</v>
      </c>
    </row>
    <row r="194" spans="1:45" x14ac:dyDescent="0.25">
      <c r="A194" t="s">
        <v>578</v>
      </c>
      <c r="B194" t="s">
        <v>579</v>
      </c>
      <c r="C194" t="s">
        <v>118</v>
      </c>
      <c r="D194" t="s">
        <v>119</v>
      </c>
      <c r="E194" t="s">
        <v>120</v>
      </c>
      <c r="F194" t="s">
        <v>120</v>
      </c>
      <c r="G194" t="s">
        <v>120</v>
      </c>
      <c r="H194" t="s">
        <v>120</v>
      </c>
      <c r="I194" t="s">
        <v>120</v>
      </c>
      <c r="J194" t="s">
        <v>120</v>
      </c>
      <c r="K194" t="s">
        <v>120</v>
      </c>
      <c r="L194" t="s">
        <v>120</v>
      </c>
      <c r="M194" t="s">
        <v>120</v>
      </c>
      <c r="N194" t="s">
        <v>120</v>
      </c>
      <c r="O194" t="s">
        <v>120</v>
      </c>
      <c r="P194" t="s">
        <v>120</v>
      </c>
      <c r="Q194" t="s">
        <v>341</v>
      </c>
      <c r="R194" t="s">
        <v>120</v>
      </c>
      <c r="S194" t="s">
        <v>120</v>
      </c>
      <c r="T194" t="s">
        <v>120</v>
      </c>
      <c r="U194" t="s">
        <v>120</v>
      </c>
      <c r="V194" t="s">
        <v>120</v>
      </c>
      <c r="W194" t="s">
        <v>120</v>
      </c>
      <c r="X194" t="s">
        <v>120</v>
      </c>
      <c r="Y194" t="s">
        <v>120</v>
      </c>
      <c r="Z194" t="s">
        <v>120</v>
      </c>
      <c r="AA194" t="s">
        <v>120</v>
      </c>
      <c r="AB194" t="s">
        <v>120</v>
      </c>
      <c r="AC194" t="s">
        <v>120</v>
      </c>
      <c r="AD194" t="s">
        <v>120</v>
      </c>
      <c r="AE194" t="s">
        <v>120</v>
      </c>
      <c r="AF194" t="s">
        <v>120</v>
      </c>
      <c r="AG194" t="s">
        <v>120</v>
      </c>
      <c r="AH194" t="s">
        <v>120</v>
      </c>
      <c r="AJ194">
        <v>0</v>
      </c>
      <c r="AK194">
        <v>4</v>
      </c>
      <c r="AL194">
        <v>4</v>
      </c>
      <c r="AM194">
        <v>0</v>
      </c>
      <c r="AN194">
        <v>0</v>
      </c>
      <c r="AO194">
        <v>4500</v>
      </c>
      <c r="AP194">
        <v>4</v>
      </c>
      <c r="AQ194">
        <v>0</v>
      </c>
      <c r="AR194">
        <v>75.9375</v>
      </c>
      <c r="AS194">
        <v>225</v>
      </c>
    </row>
    <row r="195" spans="1:45" x14ac:dyDescent="0.25">
      <c r="A195" t="s">
        <v>580</v>
      </c>
      <c r="B195" t="s">
        <v>581</v>
      </c>
      <c r="C195" t="s">
        <v>118</v>
      </c>
      <c r="D195" t="s">
        <v>119</v>
      </c>
      <c r="E195" t="s">
        <v>120</v>
      </c>
      <c r="F195" t="s">
        <v>120</v>
      </c>
      <c r="G195" t="s">
        <v>120</v>
      </c>
      <c r="H195" t="s">
        <v>120</v>
      </c>
      <c r="I195" t="s">
        <v>120</v>
      </c>
      <c r="J195" t="s">
        <v>120</v>
      </c>
      <c r="K195" t="s">
        <v>120</v>
      </c>
      <c r="L195" t="s">
        <v>120</v>
      </c>
      <c r="M195" t="s">
        <v>120</v>
      </c>
      <c r="N195" t="s">
        <v>120</v>
      </c>
      <c r="O195" t="s">
        <v>120</v>
      </c>
      <c r="P195" t="s">
        <v>120</v>
      </c>
      <c r="Q195" t="s">
        <v>120</v>
      </c>
      <c r="R195" t="s">
        <v>120</v>
      </c>
      <c r="S195" t="s">
        <v>120</v>
      </c>
      <c r="T195" t="s">
        <v>120</v>
      </c>
      <c r="U195" t="s">
        <v>120</v>
      </c>
      <c r="V195" t="s">
        <v>120</v>
      </c>
      <c r="W195" t="s">
        <v>120</v>
      </c>
      <c r="X195" t="s">
        <v>120</v>
      </c>
      <c r="Y195" t="s">
        <v>120</v>
      </c>
      <c r="Z195" t="s">
        <v>120</v>
      </c>
      <c r="AA195" t="s">
        <v>120</v>
      </c>
      <c r="AB195" t="s">
        <v>120</v>
      </c>
      <c r="AC195" t="s">
        <v>120</v>
      </c>
      <c r="AD195" t="s">
        <v>120</v>
      </c>
      <c r="AE195" t="s">
        <v>120</v>
      </c>
      <c r="AF195" t="s">
        <v>120</v>
      </c>
      <c r="AG195" t="s">
        <v>120</v>
      </c>
      <c r="AH195" t="s">
        <v>120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4500</v>
      </c>
      <c r="AP195">
        <v>0</v>
      </c>
      <c r="AQ195">
        <v>0</v>
      </c>
      <c r="AR195">
        <v>75.9375</v>
      </c>
      <c r="AS195">
        <v>0</v>
      </c>
    </row>
    <row r="196" spans="1:45" x14ac:dyDescent="0.25">
      <c r="A196" t="s">
        <v>582</v>
      </c>
      <c r="B196" t="s">
        <v>583</v>
      </c>
      <c r="C196" t="s">
        <v>118</v>
      </c>
      <c r="D196" t="s">
        <v>119</v>
      </c>
      <c r="E196" t="s">
        <v>120</v>
      </c>
      <c r="F196" t="s">
        <v>120</v>
      </c>
      <c r="G196" t="s">
        <v>341</v>
      </c>
      <c r="H196" t="s">
        <v>120</v>
      </c>
      <c r="I196" t="s">
        <v>120</v>
      </c>
      <c r="J196" t="s">
        <v>120</v>
      </c>
      <c r="K196" t="s">
        <v>120</v>
      </c>
      <c r="L196" t="s">
        <v>120</v>
      </c>
      <c r="M196" t="s">
        <v>120</v>
      </c>
      <c r="N196" t="s">
        <v>120</v>
      </c>
      <c r="O196" t="s">
        <v>120</v>
      </c>
      <c r="P196" t="s">
        <v>120</v>
      </c>
      <c r="Q196" t="s">
        <v>120</v>
      </c>
      <c r="R196" t="s">
        <v>120</v>
      </c>
      <c r="S196" t="s">
        <v>120</v>
      </c>
      <c r="T196" t="s">
        <v>120</v>
      </c>
      <c r="U196" t="s">
        <v>120</v>
      </c>
      <c r="V196" t="s">
        <v>120</v>
      </c>
      <c r="W196" t="s">
        <v>120</v>
      </c>
      <c r="X196" t="s">
        <v>120</v>
      </c>
      <c r="Y196" t="s">
        <v>120</v>
      </c>
      <c r="Z196" t="s">
        <v>120</v>
      </c>
      <c r="AA196" t="s">
        <v>120</v>
      </c>
      <c r="AB196" t="s">
        <v>120</v>
      </c>
      <c r="AC196" t="s">
        <v>120</v>
      </c>
      <c r="AD196" t="s">
        <v>120</v>
      </c>
      <c r="AE196" t="s">
        <v>120</v>
      </c>
      <c r="AF196" t="s">
        <v>120</v>
      </c>
      <c r="AG196" t="s">
        <v>120</v>
      </c>
      <c r="AH196" t="s">
        <v>120</v>
      </c>
      <c r="AJ196">
        <v>0</v>
      </c>
      <c r="AK196">
        <v>4</v>
      </c>
      <c r="AL196">
        <v>4</v>
      </c>
      <c r="AM196">
        <v>0</v>
      </c>
      <c r="AN196">
        <v>0</v>
      </c>
      <c r="AO196">
        <v>4500</v>
      </c>
      <c r="AP196">
        <v>4</v>
      </c>
      <c r="AQ196">
        <v>0</v>
      </c>
      <c r="AR196">
        <v>75.9375</v>
      </c>
      <c r="AS196">
        <v>225</v>
      </c>
    </row>
    <row r="197" spans="1:45" x14ac:dyDescent="0.25">
      <c r="A197" t="s">
        <v>584</v>
      </c>
      <c r="B197" t="s">
        <v>585</v>
      </c>
      <c r="C197" t="s">
        <v>118</v>
      </c>
      <c r="D197" t="s">
        <v>119</v>
      </c>
      <c r="E197" t="s">
        <v>120</v>
      </c>
      <c r="F197" t="s">
        <v>120</v>
      </c>
      <c r="G197" t="s">
        <v>120</v>
      </c>
      <c r="H197" t="s">
        <v>120</v>
      </c>
      <c r="I197" t="s">
        <v>120</v>
      </c>
      <c r="J197" t="s">
        <v>141</v>
      </c>
      <c r="K197" t="s">
        <v>120</v>
      </c>
      <c r="L197" t="s">
        <v>120</v>
      </c>
      <c r="M197" t="s">
        <v>120</v>
      </c>
      <c r="N197" t="s">
        <v>120</v>
      </c>
      <c r="O197" t="s">
        <v>120</v>
      </c>
      <c r="P197" t="s">
        <v>120</v>
      </c>
      <c r="Q197" t="s">
        <v>120</v>
      </c>
      <c r="R197" t="s">
        <v>120</v>
      </c>
      <c r="S197" t="s">
        <v>120</v>
      </c>
      <c r="T197" t="s">
        <v>120</v>
      </c>
      <c r="U197" t="s">
        <v>120</v>
      </c>
      <c r="V197" t="s">
        <v>120</v>
      </c>
      <c r="W197" t="s">
        <v>120</v>
      </c>
      <c r="X197" t="s">
        <v>120</v>
      </c>
      <c r="Y197" t="s">
        <v>120</v>
      </c>
      <c r="Z197" t="s">
        <v>120</v>
      </c>
      <c r="AA197" t="s">
        <v>120</v>
      </c>
      <c r="AB197" t="s">
        <v>120</v>
      </c>
      <c r="AC197" t="s">
        <v>120</v>
      </c>
      <c r="AD197" t="s">
        <v>120</v>
      </c>
      <c r="AE197" t="s">
        <v>120</v>
      </c>
      <c r="AF197" t="s">
        <v>120</v>
      </c>
      <c r="AG197" t="s">
        <v>120</v>
      </c>
      <c r="AH197" t="s">
        <v>120</v>
      </c>
      <c r="AJ197">
        <v>0</v>
      </c>
      <c r="AK197">
        <v>8</v>
      </c>
      <c r="AL197">
        <v>8</v>
      </c>
      <c r="AM197">
        <v>0</v>
      </c>
      <c r="AN197">
        <v>0</v>
      </c>
      <c r="AO197">
        <v>4500</v>
      </c>
      <c r="AP197">
        <v>8</v>
      </c>
      <c r="AQ197">
        <v>0</v>
      </c>
      <c r="AR197">
        <v>75.9375</v>
      </c>
      <c r="AS197">
        <v>450</v>
      </c>
    </row>
    <row r="198" spans="1:45" x14ac:dyDescent="0.25">
      <c r="A198" t="s">
        <v>586</v>
      </c>
      <c r="B198" t="s">
        <v>587</v>
      </c>
      <c r="C198" t="s">
        <v>118</v>
      </c>
      <c r="D198" t="s">
        <v>119</v>
      </c>
      <c r="E198" t="s">
        <v>120</v>
      </c>
      <c r="F198" t="s">
        <v>120</v>
      </c>
      <c r="G198" t="s">
        <v>120</v>
      </c>
      <c r="H198" t="s">
        <v>120</v>
      </c>
      <c r="I198" t="s">
        <v>120</v>
      </c>
      <c r="J198" t="s">
        <v>120</v>
      </c>
      <c r="K198" t="s">
        <v>120</v>
      </c>
      <c r="L198" t="s">
        <v>120</v>
      </c>
      <c r="M198" t="s">
        <v>120</v>
      </c>
      <c r="N198" t="s">
        <v>120</v>
      </c>
      <c r="O198" t="s">
        <v>120</v>
      </c>
      <c r="P198" t="s">
        <v>120</v>
      </c>
      <c r="Q198" t="s">
        <v>120</v>
      </c>
      <c r="R198" t="s">
        <v>120</v>
      </c>
      <c r="S198" t="s">
        <v>120</v>
      </c>
      <c r="T198" t="s">
        <v>120</v>
      </c>
      <c r="U198" t="s">
        <v>120</v>
      </c>
      <c r="V198" t="s">
        <v>120</v>
      </c>
      <c r="W198" t="s">
        <v>120</v>
      </c>
      <c r="X198" t="s">
        <v>120</v>
      </c>
      <c r="Y198" t="s">
        <v>120</v>
      </c>
      <c r="Z198" t="s">
        <v>120</v>
      </c>
      <c r="AA198" t="s">
        <v>120</v>
      </c>
      <c r="AB198" t="s">
        <v>120</v>
      </c>
      <c r="AC198" t="s">
        <v>120</v>
      </c>
      <c r="AD198" t="s">
        <v>120</v>
      </c>
      <c r="AE198" t="s">
        <v>120</v>
      </c>
      <c r="AF198" t="s">
        <v>120</v>
      </c>
      <c r="AG198" t="s">
        <v>120</v>
      </c>
      <c r="AH198" t="s">
        <v>120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4500</v>
      </c>
      <c r="AP198">
        <v>0</v>
      </c>
      <c r="AQ198">
        <v>0</v>
      </c>
      <c r="AR198">
        <v>75.9375</v>
      </c>
      <c r="AS198">
        <v>0</v>
      </c>
    </row>
    <row r="199" spans="1:45" x14ac:dyDescent="0.25">
      <c r="A199" t="s">
        <v>588</v>
      </c>
      <c r="B199" t="s">
        <v>589</v>
      </c>
      <c r="C199" t="s">
        <v>118</v>
      </c>
      <c r="D199" t="s">
        <v>119</v>
      </c>
      <c r="E199" t="s">
        <v>120</v>
      </c>
      <c r="F199" t="s">
        <v>120</v>
      </c>
      <c r="G199" t="s">
        <v>120</v>
      </c>
      <c r="H199" t="s">
        <v>120</v>
      </c>
      <c r="I199" t="s">
        <v>120</v>
      </c>
      <c r="J199" t="s">
        <v>120</v>
      </c>
      <c r="K199" t="s">
        <v>120</v>
      </c>
      <c r="L199" t="s">
        <v>120</v>
      </c>
      <c r="M199" t="s">
        <v>120</v>
      </c>
      <c r="N199" t="s">
        <v>120</v>
      </c>
      <c r="O199" t="s">
        <v>120</v>
      </c>
      <c r="P199" t="s">
        <v>120</v>
      </c>
      <c r="Q199" t="s">
        <v>120</v>
      </c>
      <c r="R199" t="s">
        <v>120</v>
      </c>
      <c r="S199" t="s">
        <v>120</v>
      </c>
      <c r="T199" t="s">
        <v>120</v>
      </c>
      <c r="U199" t="s">
        <v>120</v>
      </c>
      <c r="V199" t="s">
        <v>120</v>
      </c>
      <c r="W199" t="s">
        <v>120</v>
      </c>
      <c r="X199" t="s">
        <v>120</v>
      </c>
      <c r="Y199" t="s">
        <v>120</v>
      </c>
      <c r="Z199" t="s">
        <v>120</v>
      </c>
      <c r="AA199" t="s">
        <v>120</v>
      </c>
      <c r="AB199" t="s">
        <v>120</v>
      </c>
      <c r="AC199" t="s">
        <v>120</v>
      </c>
      <c r="AD199" t="s">
        <v>120</v>
      </c>
      <c r="AE199" t="s">
        <v>120</v>
      </c>
      <c r="AF199" t="s">
        <v>120</v>
      </c>
      <c r="AG199" t="s">
        <v>120</v>
      </c>
      <c r="AH199" t="s">
        <v>120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4500</v>
      </c>
      <c r="AP199">
        <v>0</v>
      </c>
      <c r="AQ199">
        <v>0</v>
      </c>
      <c r="AR199">
        <v>75.9375</v>
      </c>
      <c r="AS199">
        <v>0</v>
      </c>
    </row>
    <row r="200" spans="1:45" x14ac:dyDescent="0.25">
      <c r="A200" t="s">
        <v>590</v>
      </c>
      <c r="B200" t="s">
        <v>591</v>
      </c>
      <c r="C200" t="s">
        <v>118</v>
      </c>
      <c r="D200" t="s">
        <v>119</v>
      </c>
      <c r="E200" t="s">
        <v>120</v>
      </c>
      <c r="F200" t="s">
        <v>120</v>
      </c>
      <c r="G200" t="s">
        <v>120</v>
      </c>
      <c r="H200" t="s">
        <v>120</v>
      </c>
      <c r="I200" t="s">
        <v>120</v>
      </c>
      <c r="J200" t="s">
        <v>120</v>
      </c>
      <c r="K200" t="s">
        <v>120</v>
      </c>
      <c r="L200" t="s">
        <v>120</v>
      </c>
      <c r="M200" t="s">
        <v>120</v>
      </c>
      <c r="N200" t="s">
        <v>120</v>
      </c>
      <c r="O200" t="s">
        <v>120</v>
      </c>
      <c r="P200" t="s">
        <v>120</v>
      </c>
      <c r="Q200" t="s">
        <v>120</v>
      </c>
      <c r="R200" t="s">
        <v>120</v>
      </c>
      <c r="S200" t="s">
        <v>120</v>
      </c>
      <c r="T200" t="s">
        <v>120</v>
      </c>
      <c r="U200" t="s">
        <v>120</v>
      </c>
      <c r="V200" t="s">
        <v>120</v>
      </c>
      <c r="W200" t="s">
        <v>120</v>
      </c>
      <c r="X200" t="s">
        <v>120</v>
      </c>
      <c r="Y200" t="s">
        <v>120</v>
      </c>
      <c r="Z200" t="s">
        <v>120</v>
      </c>
      <c r="AA200" t="s">
        <v>120</v>
      </c>
      <c r="AB200" t="s">
        <v>120</v>
      </c>
      <c r="AC200" t="s">
        <v>120</v>
      </c>
      <c r="AD200" t="s">
        <v>120</v>
      </c>
      <c r="AE200" t="s">
        <v>120</v>
      </c>
      <c r="AF200" t="s">
        <v>120</v>
      </c>
      <c r="AG200" t="s">
        <v>120</v>
      </c>
      <c r="AH200" t="s">
        <v>120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4500</v>
      </c>
      <c r="AP200">
        <v>0</v>
      </c>
      <c r="AQ200">
        <v>0</v>
      </c>
      <c r="AR200">
        <v>75.9375</v>
      </c>
      <c r="AS200">
        <v>0</v>
      </c>
    </row>
    <row r="201" spans="1:45" x14ac:dyDescent="0.25">
      <c r="A201" t="s">
        <v>592</v>
      </c>
      <c r="B201" t="s">
        <v>593</v>
      </c>
      <c r="C201" t="s">
        <v>118</v>
      </c>
      <c r="D201" t="s">
        <v>119</v>
      </c>
      <c r="E201" t="s">
        <v>120</v>
      </c>
      <c r="F201" t="s">
        <v>120</v>
      </c>
      <c r="G201" t="s">
        <v>120</v>
      </c>
      <c r="H201" t="s">
        <v>120</v>
      </c>
      <c r="I201" t="s">
        <v>120</v>
      </c>
      <c r="J201" t="s">
        <v>120</v>
      </c>
      <c r="K201" t="s">
        <v>120</v>
      </c>
      <c r="L201" t="s">
        <v>120</v>
      </c>
      <c r="M201" t="s">
        <v>120</v>
      </c>
      <c r="N201" t="s">
        <v>120</v>
      </c>
      <c r="O201" t="s">
        <v>120</v>
      </c>
      <c r="P201" t="s">
        <v>120</v>
      </c>
      <c r="Q201" t="s">
        <v>120</v>
      </c>
      <c r="R201" t="s">
        <v>120</v>
      </c>
      <c r="S201" t="s">
        <v>120</v>
      </c>
      <c r="T201" t="s">
        <v>120</v>
      </c>
      <c r="U201" t="s">
        <v>120</v>
      </c>
      <c r="V201" t="s">
        <v>120</v>
      </c>
      <c r="W201" t="s">
        <v>120</v>
      </c>
      <c r="X201" t="s">
        <v>120</v>
      </c>
      <c r="Y201" t="s">
        <v>120</v>
      </c>
      <c r="Z201" t="s">
        <v>120</v>
      </c>
      <c r="AA201" t="s">
        <v>120</v>
      </c>
      <c r="AB201" t="s">
        <v>120</v>
      </c>
      <c r="AC201" t="s">
        <v>120</v>
      </c>
      <c r="AD201" t="s">
        <v>120</v>
      </c>
      <c r="AE201" t="s">
        <v>120</v>
      </c>
      <c r="AF201" t="s">
        <v>120</v>
      </c>
      <c r="AG201" t="s">
        <v>120</v>
      </c>
      <c r="AH201" t="s">
        <v>120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4500</v>
      </c>
      <c r="AP201">
        <v>0</v>
      </c>
      <c r="AQ201">
        <v>0</v>
      </c>
      <c r="AR201">
        <v>75.9375</v>
      </c>
      <c r="AS201">
        <v>0</v>
      </c>
    </row>
    <row r="202" spans="1:45" x14ac:dyDescent="0.25">
      <c r="A202" t="s">
        <v>594</v>
      </c>
      <c r="B202" t="s">
        <v>595</v>
      </c>
      <c r="C202" t="s">
        <v>118</v>
      </c>
      <c r="D202" t="s">
        <v>119</v>
      </c>
      <c r="E202" t="s">
        <v>120</v>
      </c>
      <c r="F202" t="s">
        <v>120</v>
      </c>
      <c r="G202" t="s">
        <v>120</v>
      </c>
      <c r="H202" t="s">
        <v>120</v>
      </c>
      <c r="I202" t="s">
        <v>120</v>
      </c>
      <c r="J202" t="s">
        <v>120</v>
      </c>
      <c r="K202" t="s">
        <v>120</v>
      </c>
      <c r="L202" t="s">
        <v>120</v>
      </c>
      <c r="M202" t="s">
        <v>120</v>
      </c>
      <c r="N202" t="s">
        <v>120</v>
      </c>
      <c r="O202" t="s">
        <v>120</v>
      </c>
      <c r="P202" t="s">
        <v>120</v>
      </c>
      <c r="Q202" t="s">
        <v>120</v>
      </c>
      <c r="R202" t="s">
        <v>120</v>
      </c>
      <c r="S202" t="s">
        <v>120</v>
      </c>
      <c r="T202" t="s">
        <v>120</v>
      </c>
      <c r="U202" t="s">
        <v>120</v>
      </c>
      <c r="V202" t="s">
        <v>120</v>
      </c>
      <c r="W202" t="s">
        <v>120</v>
      </c>
      <c r="X202" t="s">
        <v>120</v>
      </c>
      <c r="Y202" t="s">
        <v>120</v>
      </c>
      <c r="Z202" t="s">
        <v>120</v>
      </c>
      <c r="AA202" t="s">
        <v>120</v>
      </c>
      <c r="AB202" t="s">
        <v>120</v>
      </c>
      <c r="AC202" t="s">
        <v>120</v>
      </c>
      <c r="AD202" t="s">
        <v>120</v>
      </c>
      <c r="AE202" t="s">
        <v>120</v>
      </c>
      <c r="AF202" t="s">
        <v>120</v>
      </c>
      <c r="AG202" t="s">
        <v>120</v>
      </c>
      <c r="AH202" t="s">
        <v>120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4500</v>
      </c>
      <c r="AP202">
        <v>0</v>
      </c>
      <c r="AQ202">
        <v>0</v>
      </c>
      <c r="AR202">
        <v>75.9375</v>
      </c>
      <c r="AS202">
        <v>0</v>
      </c>
    </row>
    <row r="203" spans="1:45" x14ac:dyDescent="0.25">
      <c r="A203" t="s">
        <v>596</v>
      </c>
      <c r="B203" t="s">
        <v>597</v>
      </c>
      <c r="C203" t="s">
        <v>118</v>
      </c>
      <c r="D203" t="s">
        <v>119</v>
      </c>
      <c r="E203" t="s">
        <v>120</v>
      </c>
      <c r="F203" t="s">
        <v>120</v>
      </c>
      <c r="G203" t="s">
        <v>327</v>
      </c>
      <c r="H203" t="s">
        <v>120</v>
      </c>
      <c r="I203" t="s">
        <v>120</v>
      </c>
      <c r="J203" t="s">
        <v>141</v>
      </c>
      <c r="K203" t="s">
        <v>120</v>
      </c>
      <c r="L203" t="s">
        <v>120</v>
      </c>
      <c r="M203" t="s">
        <v>120</v>
      </c>
      <c r="N203" t="s">
        <v>120</v>
      </c>
      <c r="O203" t="s">
        <v>120</v>
      </c>
      <c r="P203" t="s">
        <v>124</v>
      </c>
      <c r="Q203" t="s">
        <v>598</v>
      </c>
      <c r="R203" t="s">
        <v>120</v>
      </c>
      <c r="S203" t="s">
        <v>120</v>
      </c>
      <c r="T203" t="s">
        <v>120</v>
      </c>
      <c r="U203" t="s">
        <v>120</v>
      </c>
      <c r="V203" t="s">
        <v>120</v>
      </c>
      <c r="W203" t="s">
        <v>120</v>
      </c>
      <c r="X203" t="s">
        <v>120</v>
      </c>
      <c r="Y203" t="s">
        <v>120</v>
      </c>
      <c r="Z203" t="s">
        <v>120</v>
      </c>
      <c r="AA203" t="s">
        <v>120</v>
      </c>
      <c r="AB203" t="s">
        <v>120</v>
      </c>
      <c r="AC203" t="s">
        <v>120</v>
      </c>
      <c r="AD203" t="s">
        <v>120</v>
      </c>
      <c r="AE203" t="s">
        <v>120</v>
      </c>
      <c r="AF203" t="s">
        <v>120</v>
      </c>
      <c r="AG203" t="s">
        <v>120</v>
      </c>
      <c r="AH203" t="s">
        <v>120</v>
      </c>
      <c r="AJ203">
        <v>0</v>
      </c>
      <c r="AK203">
        <v>21</v>
      </c>
      <c r="AL203">
        <v>11</v>
      </c>
      <c r="AM203">
        <v>10</v>
      </c>
      <c r="AN203">
        <v>0</v>
      </c>
      <c r="AO203">
        <v>4500</v>
      </c>
      <c r="AP203">
        <v>21</v>
      </c>
      <c r="AQ203">
        <v>0</v>
      </c>
      <c r="AR203">
        <v>75.9375</v>
      </c>
      <c r="AS203">
        <v>1181.25</v>
      </c>
    </row>
    <row r="204" spans="1:45" x14ac:dyDescent="0.25">
      <c r="A204" t="s">
        <v>599</v>
      </c>
      <c r="B204" t="s">
        <v>600</v>
      </c>
      <c r="C204" t="s">
        <v>601</v>
      </c>
      <c r="D204" t="s">
        <v>602</v>
      </c>
      <c r="E204" t="s">
        <v>120</v>
      </c>
      <c r="F204" t="s">
        <v>120</v>
      </c>
      <c r="G204" t="s">
        <v>120</v>
      </c>
      <c r="H204" t="s">
        <v>120</v>
      </c>
      <c r="I204" t="s">
        <v>120</v>
      </c>
      <c r="J204" t="s">
        <v>120</v>
      </c>
      <c r="K204" t="s">
        <v>120</v>
      </c>
      <c r="L204" t="s">
        <v>120</v>
      </c>
      <c r="M204" t="s">
        <v>120</v>
      </c>
      <c r="N204" t="s">
        <v>120</v>
      </c>
      <c r="O204" t="s">
        <v>120</v>
      </c>
      <c r="P204" t="s">
        <v>120</v>
      </c>
      <c r="Q204" t="s">
        <v>120</v>
      </c>
      <c r="R204" t="s">
        <v>120</v>
      </c>
      <c r="S204" t="s">
        <v>120</v>
      </c>
      <c r="T204" t="s">
        <v>135</v>
      </c>
      <c r="U204" t="s">
        <v>120</v>
      </c>
      <c r="V204" t="s">
        <v>120</v>
      </c>
      <c r="W204" t="s">
        <v>120</v>
      </c>
      <c r="X204" t="s">
        <v>120</v>
      </c>
      <c r="Y204" t="s">
        <v>120</v>
      </c>
      <c r="Z204" t="s">
        <v>120</v>
      </c>
      <c r="AA204" t="s">
        <v>120</v>
      </c>
      <c r="AB204" t="s">
        <v>120</v>
      </c>
      <c r="AC204" t="s">
        <v>120</v>
      </c>
      <c r="AD204" t="s">
        <v>120</v>
      </c>
      <c r="AE204" t="s">
        <v>120</v>
      </c>
      <c r="AF204" t="s">
        <v>120</v>
      </c>
      <c r="AG204" t="s">
        <v>120</v>
      </c>
      <c r="AH204" t="s">
        <v>120</v>
      </c>
      <c r="AJ204">
        <v>0</v>
      </c>
      <c r="AK204">
        <v>8</v>
      </c>
      <c r="AL204">
        <v>0</v>
      </c>
      <c r="AM204">
        <v>8</v>
      </c>
      <c r="AN204">
        <v>0</v>
      </c>
      <c r="AO204">
        <v>4200</v>
      </c>
      <c r="AP204">
        <v>8</v>
      </c>
      <c r="AQ204">
        <v>0</v>
      </c>
      <c r="AR204">
        <v>70.875</v>
      </c>
      <c r="AS204">
        <v>420</v>
      </c>
    </row>
    <row r="205" spans="1:45" x14ac:dyDescent="0.25">
      <c r="A205" t="s">
        <v>603</v>
      </c>
      <c r="B205" t="s">
        <v>604</v>
      </c>
      <c r="C205" t="s">
        <v>605</v>
      </c>
      <c r="D205" t="s">
        <v>602</v>
      </c>
      <c r="E205" t="s">
        <v>120</v>
      </c>
      <c r="G205" t="s">
        <v>120</v>
      </c>
      <c r="H205" t="s">
        <v>120</v>
      </c>
      <c r="I205" t="s">
        <v>120</v>
      </c>
      <c r="J205" t="s">
        <v>120</v>
      </c>
      <c r="K205" t="s">
        <v>120</v>
      </c>
      <c r="L205" t="s">
        <v>120</v>
      </c>
      <c r="M205" t="s">
        <v>120</v>
      </c>
      <c r="N205" t="s">
        <v>120</v>
      </c>
      <c r="O205" t="s">
        <v>120</v>
      </c>
      <c r="P205" t="s">
        <v>120</v>
      </c>
      <c r="Q205" t="s">
        <v>120</v>
      </c>
      <c r="R205" t="s">
        <v>120</v>
      </c>
      <c r="S205" t="s">
        <v>120</v>
      </c>
      <c r="T205" t="s">
        <v>120</v>
      </c>
      <c r="U205" t="s">
        <v>120</v>
      </c>
      <c r="V205" t="s">
        <v>120</v>
      </c>
      <c r="W205" t="s">
        <v>120</v>
      </c>
      <c r="X205" t="s">
        <v>120</v>
      </c>
      <c r="Y205" t="s">
        <v>120</v>
      </c>
      <c r="Z205" t="s">
        <v>120</v>
      </c>
      <c r="AA205" t="s">
        <v>120</v>
      </c>
      <c r="AB205" t="s">
        <v>120</v>
      </c>
      <c r="AC205" t="s">
        <v>120</v>
      </c>
      <c r="AD205" t="s">
        <v>120</v>
      </c>
      <c r="AE205" t="s">
        <v>120</v>
      </c>
      <c r="AF205" t="s">
        <v>120</v>
      </c>
      <c r="AG205" t="s">
        <v>120</v>
      </c>
      <c r="AH205" t="s">
        <v>120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4200</v>
      </c>
      <c r="AP205">
        <v>0</v>
      </c>
      <c r="AQ205">
        <v>0</v>
      </c>
      <c r="AR205">
        <v>70.875</v>
      </c>
      <c r="AS205">
        <v>0</v>
      </c>
    </row>
    <row r="206" spans="1:45" x14ac:dyDescent="0.25">
      <c r="A206" t="s">
        <v>606</v>
      </c>
      <c r="B206" t="s">
        <v>607</v>
      </c>
      <c r="C206" t="s">
        <v>605</v>
      </c>
      <c r="D206" t="s">
        <v>602</v>
      </c>
      <c r="E206" t="s">
        <v>120</v>
      </c>
      <c r="F206" t="s">
        <v>141</v>
      </c>
      <c r="G206" t="s">
        <v>120</v>
      </c>
      <c r="H206" t="s">
        <v>120</v>
      </c>
      <c r="I206" t="s">
        <v>120</v>
      </c>
      <c r="J206" t="s">
        <v>120</v>
      </c>
      <c r="K206" t="s">
        <v>120</v>
      </c>
      <c r="L206" t="s">
        <v>120</v>
      </c>
      <c r="M206" t="s">
        <v>120</v>
      </c>
      <c r="N206" t="s">
        <v>120</v>
      </c>
      <c r="O206" t="s">
        <v>120</v>
      </c>
      <c r="P206" t="s">
        <v>120</v>
      </c>
      <c r="Q206" t="s">
        <v>120</v>
      </c>
      <c r="R206" t="s">
        <v>141</v>
      </c>
      <c r="S206" t="s">
        <v>120</v>
      </c>
      <c r="T206" t="s">
        <v>120</v>
      </c>
      <c r="U206" t="s">
        <v>120</v>
      </c>
      <c r="V206" t="s">
        <v>120</v>
      </c>
      <c r="W206" t="s">
        <v>120</v>
      </c>
      <c r="X206" t="s">
        <v>141</v>
      </c>
      <c r="Y206" t="s">
        <v>120</v>
      </c>
      <c r="Z206" t="s">
        <v>120</v>
      </c>
      <c r="AA206" t="s">
        <v>120</v>
      </c>
      <c r="AB206" t="s">
        <v>120</v>
      </c>
      <c r="AC206" t="s">
        <v>120</v>
      </c>
      <c r="AD206" t="s">
        <v>120</v>
      </c>
      <c r="AE206" t="s">
        <v>141</v>
      </c>
      <c r="AF206" t="s">
        <v>120</v>
      </c>
      <c r="AG206" t="s">
        <v>120</v>
      </c>
      <c r="AH206" t="s">
        <v>120</v>
      </c>
      <c r="AJ206">
        <v>0</v>
      </c>
      <c r="AK206">
        <v>32</v>
      </c>
      <c r="AL206">
        <v>32</v>
      </c>
      <c r="AM206">
        <v>0</v>
      </c>
      <c r="AN206">
        <v>0</v>
      </c>
      <c r="AO206">
        <v>4200</v>
      </c>
      <c r="AP206">
        <v>32</v>
      </c>
      <c r="AQ206">
        <v>0</v>
      </c>
      <c r="AR206">
        <v>70.875</v>
      </c>
      <c r="AS206">
        <v>1680</v>
      </c>
    </row>
    <row r="207" spans="1:45" x14ac:dyDescent="0.25">
      <c r="A207" t="s">
        <v>608</v>
      </c>
      <c r="B207" t="s">
        <v>609</v>
      </c>
      <c r="C207" t="s">
        <v>610</v>
      </c>
      <c r="D207" t="s">
        <v>602</v>
      </c>
      <c r="E207" t="s">
        <v>120</v>
      </c>
      <c r="F207" t="s">
        <v>120</v>
      </c>
      <c r="G207" t="s">
        <v>141</v>
      </c>
      <c r="H207" t="s">
        <v>120</v>
      </c>
      <c r="I207" t="s">
        <v>120</v>
      </c>
      <c r="J207" t="s">
        <v>120</v>
      </c>
      <c r="K207" t="s">
        <v>120</v>
      </c>
      <c r="L207" t="s">
        <v>120</v>
      </c>
      <c r="M207" t="s">
        <v>120</v>
      </c>
      <c r="N207" t="s">
        <v>120</v>
      </c>
      <c r="O207" t="s">
        <v>120</v>
      </c>
      <c r="P207" t="s">
        <v>120</v>
      </c>
      <c r="Q207" t="s">
        <v>120</v>
      </c>
      <c r="R207" t="s">
        <v>120</v>
      </c>
      <c r="S207" t="s">
        <v>120</v>
      </c>
      <c r="T207" t="s">
        <v>120</v>
      </c>
      <c r="U207" t="s">
        <v>120</v>
      </c>
      <c r="V207" t="s">
        <v>120</v>
      </c>
      <c r="W207" t="s">
        <v>120</v>
      </c>
      <c r="X207" t="s">
        <v>141</v>
      </c>
      <c r="Y207" t="s">
        <v>120</v>
      </c>
      <c r="Z207" t="s">
        <v>120</v>
      </c>
      <c r="AA207" t="s">
        <v>120</v>
      </c>
      <c r="AB207" t="s">
        <v>120</v>
      </c>
      <c r="AC207" t="s">
        <v>120</v>
      </c>
      <c r="AD207" t="s">
        <v>120</v>
      </c>
      <c r="AE207" t="s">
        <v>141</v>
      </c>
      <c r="AF207" t="s">
        <v>120</v>
      </c>
      <c r="AG207" t="s">
        <v>120</v>
      </c>
      <c r="AH207" t="s">
        <v>120</v>
      </c>
      <c r="AJ207">
        <v>0</v>
      </c>
      <c r="AK207">
        <v>24</v>
      </c>
      <c r="AL207">
        <v>24</v>
      </c>
      <c r="AM207">
        <v>0</v>
      </c>
      <c r="AN207">
        <v>0</v>
      </c>
      <c r="AO207">
        <v>4200</v>
      </c>
      <c r="AP207">
        <v>24</v>
      </c>
      <c r="AQ207">
        <v>0</v>
      </c>
      <c r="AR207">
        <v>70.875</v>
      </c>
      <c r="AS207">
        <v>1260</v>
      </c>
    </row>
    <row r="208" spans="1:45" x14ac:dyDescent="0.25">
      <c r="A208" t="s">
        <v>611</v>
      </c>
      <c r="B208" t="s">
        <v>612</v>
      </c>
      <c r="C208" t="s">
        <v>605</v>
      </c>
      <c r="D208" t="s">
        <v>602</v>
      </c>
      <c r="E208" t="s">
        <v>120</v>
      </c>
      <c r="F208" t="s">
        <v>141</v>
      </c>
      <c r="G208" t="s">
        <v>120</v>
      </c>
      <c r="H208" t="s">
        <v>120</v>
      </c>
      <c r="I208" t="s">
        <v>120</v>
      </c>
      <c r="J208" t="s">
        <v>120</v>
      </c>
      <c r="K208" t="s">
        <v>120</v>
      </c>
      <c r="L208" t="s">
        <v>120</v>
      </c>
      <c r="M208" t="s">
        <v>135</v>
      </c>
      <c r="N208" t="s">
        <v>135</v>
      </c>
      <c r="O208" t="s">
        <v>120</v>
      </c>
      <c r="P208" t="s">
        <v>120</v>
      </c>
      <c r="Q208" t="s">
        <v>120</v>
      </c>
      <c r="R208" t="s">
        <v>120</v>
      </c>
      <c r="S208" t="s">
        <v>141</v>
      </c>
      <c r="T208" t="s">
        <v>120</v>
      </c>
      <c r="U208" t="s">
        <v>120</v>
      </c>
      <c r="V208" t="s">
        <v>120</v>
      </c>
      <c r="W208" t="s">
        <v>120</v>
      </c>
      <c r="X208" t="s">
        <v>120</v>
      </c>
      <c r="Y208" t="s">
        <v>141</v>
      </c>
      <c r="Z208" t="s">
        <v>120</v>
      </c>
      <c r="AA208" t="s">
        <v>120</v>
      </c>
      <c r="AB208" t="s">
        <v>120</v>
      </c>
      <c r="AC208" t="s">
        <v>120</v>
      </c>
      <c r="AD208" t="s">
        <v>120</v>
      </c>
      <c r="AE208" t="s">
        <v>120</v>
      </c>
      <c r="AF208" t="s">
        <v>120</v>
      </c>
      <c r="AG208" t="s">
        <v>120</v>
      </c>
      <c r="AH208" t="s">
        <v>120</v>
      </c>
      <c r="AJ208">
        <v>0</v>
      </c>
      <c r="AK208">
        <v>40</v>
      </c>
      <c r="AL208">
        <v>24</v>
      </c>
      <c r="AM208">
        <v>16</v>
      </c>
      <c r="AN208">
        <v>0</v>
      </c>
      <c r="AO208">
        <v>4200</v>
      </c>
      <c r="AP208">
        <v>40</v>
      </c>
      <c r="AQ208">
        <v>0</v>
      </c>
      <c r="AR208">
        <v>70.875</v>
      </c>
      <c r="AS208">
        <v>2100</v>
      </c>
    </row>
    <row r="209" spans="1:45" x14ac:dyDescent="0.25">
      <c r="A209" t="s">
        <v>613</v>
      </c>
      <c r="B209" t="s">
        <v>614</v>
      </c>
      <c r="C209" t="s">
        <v>610</v>
      </c>
      <c r="D209" t="s">
        <v>602</v>
      </c>
      <c r="E209" t="s">
        <v>120</v>
      </c>
      <c r="F209" t="s">
        <v>120</v>
      </c>
      <c r="G209" t="s">
        <v>120</v>
      </c>
      <c r="H209" t="s">
        <v>120</v>
      </c>
      <c r="I209" t="s">
        <v>120</v>
      </c>
      <c r="J209" t="s">
        <v>120</v>
      </c>
      <c r="K209" t="s">
        <v>120</v>
      </c>
      <c r="L209" t="s">
        <v>120</v>
      </c>
      <c r="M209" t="s">
        <v>120</v>
      </c>
      <c r="N209" t="s">
        <v>120</v>
      </c>
      <c r="O209" t="s">
        <v>120</v>
      </c>
      <c r="P209" t="s">
        <v>120</v>
      </c>
      <c r="Q209" t="s">
        <v>120</v>
      </c>
      <c r="R209" t="s">
        <v>141</v>
      </c>
      <c r="S209" t="s">
        <v>120</v>
      </c>
      <c r="T209" t="s">
        <v>120</v>
      </c>
      <c r="U209" t="s">
        <v>120</v>
      </c>
      <c r="V209" t="s">
        <v>120</v>
      </c>
      <c r="W209" t="s">
        <v>120</v>
      </c>
      <c r="X209" t="s">
        <v>120</v>
      </c>
      <c r="Y209" t="s">
        <v>141</v>
      </c>
      <c r="Z209" t="s">
        <v>120</v>
      </c>
      <c r="AA209" t="s">
        <v>120</v>
      </c>
      <c r="AB209" t="s">
        <v>120</v>
      </c>
      <c r="AC209" t="s">
        <v>120</v>
      </c>
      <c r="AD209" t="s">
        <v>141</v>
      </c>
      <c r="AE209" t="s">
        <v>120</v>
      </c>
      <c r="AF209" t="s">
        <v>120</v>
      </c>
      <c r="AG209" t="s">
        <v>120</v>
      </c>
      <c r="AH209" t="s">
        <v>120</v>
      </c>
      <c r="AJ209">
        <v>0</v>
      </c>
      <c r="AK209">
        <v>24</v>
      </c>
      <c r="AL209">
        <v>24</v>
      </c>
      <c r="AM209">
        <v>0</v>
      </c>
      <c r="AN209">
        <v>0</v>
      </c>
      <c r="AO209">
        <v>4200</v>
      </c>
      <c r="AP209">
        <v>24</v>
      </c>
      <c r="AQ209">
        <v>0</v>
      </c>
      <c r="AR209">
        <v>70.875</v>
      </c>
      <c r="AS209">
        <v>1260</v>
      </c>
    </row>
    <row r="210" spans="1:45" x14ac:dyDescent="0.25">
      <c r="A210" t="s">
        <v>615</v>
      </c>
      <c r="B210" t="s">
        <v>616</v>
      </c>
      <c r="C210" t="s">
        <v>610</v>
      </c>
      <c r="D210" t="s">
        <v>602</v>
      </c>
      <c r="E210" t="s">
        <v>120</v>
      </c>
      <c r="F210" t="s">
        <v>120</v>
      </c>
      <c r="G210" t="s">
        <v>141</v>
      </c>
      <c r="H210" t="s">
        <v>120</v>
      </c>
      <c r="I210" t="s">
        <v>120</v>
      </c>
      <c r="J210" t="s">
        <v>120</v>
      </c>
      <c r="K210" t="s">
        <v>120</v>
      </c>
      <c r="L210" t="s">
        <v>120</v>
      </c>
      <c r="M210" t="s">
        <v>120</v>
      </c>
      <c r="N210" t="s">
        <v>120</v>
      </c>
      <c r="O210" t="s">
        <v>120</v>
      </c>
      <c r="P210" t="s">
        <v>120</v>
      </c>
      <c r="Q210" t="s">
        <v>120</v>
      </c>
      <c r="R210" t="s">
        <v>120</v>
      </c>
      <c r="S210" t="s">
        <v>141</v>
      </c>
      <c r="T210" t="s">
        <v>120</v>
      </c>
      <c r="U210" t="s">
        <v>120</v>
      </c>
      <c r="V210" t="s">
        <v>120</v>
      </c>
      <c r="W210" t="s">
        <v>120</v>
      </c>
      <c r="X210" t="s">
        <v>120</v>
      </c>
      <c r="Y210" t="s">
        <v>120</v>
      </c>
      <c r="Z210" t="s">
        <v>120</v>
      </c>
      <c r="AA210" t="s">
        <v>120</v>
      </c>
      <c r="AB210" t="s">
        <v>120</v>
      </c>
      <c r="AC210" t="s">
        <v>120</v>
      </c>
      <c r="AD210" t="s">
        <v>141</v>
      </c>
      <c r="AE210" t="s">
        <v>120</v>
      </c>
      <c r="AF210" t="s">
        <v>120</v>
      </c>
      <c r="AG210" t="s">
        <v>120</v>
      </c>
      <c r="AH210" t="s">
        <v>120</v>
      </c>
      <c r="AJ210">
        <v>0</v>
      </c>
      <c r="AK210">
        <v>24</v>
      </c>
      <c r="AL210">
        <v>24</v>
      </c>
      <c r="AM210">
        <v>0</v>
      </c>
      <c r="AN210">
        <v>0</v>
      </c>
      <c r="AO210">
        <v>4200</v>
      </c>
      <c r="AP210">
        <v>24</v>
      </c>
      <c r="AQ210">
        <v>0</v>
      </c>
      <c r="AR210">
        <v>70.875</v>
      </c>
      <c r="AS210">
        <v>1260</v>
      </c>
    </row>
    <row r="211" spans="1:45" x14ac:dyDescent="0.25">
      <c r="A211" t="s">
        <v>617</v>
      </c>
      <c r="B211" t="s">
        <v>618</v>
      </c>
      <c r="C211" t="s">
        <v>605</v>
      </c>
      <c r="D211" t="s">
        <v>602</v>
      </c>
      <c r="E211" t="s">
        <v>120</v>
      </c>
      <c r="F211" t="s">
        <v>120</v>
      </c>
      <c r="G211" t="s">
        <v>120</v>
      </c>
      <c r="H211" t="s">
        <v>120</v>
      </c>
      <c r="I211" t="s">
        <v>120</v>
      </c>
      <c r="J211" t="s">
        <v>120</v>
      </c>
      <c r="K211" t="s">
        <v>120</v>
      </c>
      <c r="L211" t="s">
        <v>120</v>
      </c>
      <c r="M211" t="s">
        <v>120</v>
      </c>
      <c r="N211" t="s">
        <v>120</v>
      </c>
      <c r="O211" t="s">
        <v>120</v>
      </c>
      <c r="P211" t="s">
        <v>120</v>
      </c>
      <c r="Q211" t="s">
        <v>120</v>
      </c>
      <c r="R211" t="s">
        <v>120</v>
      </c>
      <c r="S211" t="s">
        <v>120</v>
      </c>
      <c r="T211" t="s">
        <v>120</v>
      </c>
      <c r="U211" t="s">
        <v>120</v>
      </c>
      <c r="V211" t="s">
        <v>120</v>
      </c>
      <c r="W211" t="s">
        <v>120</v>
      </c>
      <c r="X211" t="s">
        <v>120</v>
      </c>
      <c r="Y211" t="s">
        <v>120</v>
      </c>
      <c r="Z211" t="s">
        <v>120</v>
      </c>
      <c r="AA211" t="s">
        <v>120</v>
      </c>
      <c r="AB211" t="s">
        <v>120</v>
      </c>
      <c r="AC211" t="s">
        <v>141</v>
      </c>
      <c r="AD211" t="s">
        <v>120</v>
      </c>
      <c r="AE211" t="s">
        <v>120</v>
      </c>
      <c r="AF211" t="s">
        <v>120</v>
      </c>
      <c r="AG211" t="s">
        <v>120</v>
      </c>
      <c r="AH211" t="s">
        <v>120</v>
      </c>
      <c r="AJ211">
        <v>0</v>
      </c>
      <c r="AK211">
        <v>8</v>
      </c>
      <c r="AL211">
        <v>8</v>
      </c>
      <c r="AM211">
        <v>0</v>
      </c>
      <c r="AN211">
        <v>0</v>
      </c>
      <c r="AO211">
        <v>4200</v>
      </c>
      <c r="AP211">
        <v>8</v>
      </c>
      <c r="AQ211">
        <v>0</v>
      </c>
      <c r="AR211">
        <v>70.875</v>
      </c>
      <c r="AS211">
        <v>420</v>
      </c>
    </row>
    <row r="212" spans="1:45" x14ac:dyDescent="0.25">
      <c r="A212" t="s">
        <v>619</v>
      </c>
      <c r="B212" t="s">
        <v>620</v>
      </c>
      <c r="C212" t="s">
        <v>610</v>
      </c>
      <c r="D212" t="s">
        <v>602</v>
      </c>
      <c r="E212" t="s">
        <v>120</v>
      </c>
      <c r="F212" t="s">
        <v>120</v>
      </c>
      <c r="G212" t="s">
        <v>120</v>
      </c>
      <c r="H212" t="s">
        <v>120</v>
      </c>
      <c r="I212" t="s">
        <v>120</v>
      </c>
      <c r="J212" t="s">
        <v>120</v>
      </c>
      <c r="K212" t="s">
        <v>120</v>
      </c>
      <c r="L212" t="s">
        <v>120</v>
      </c>
      <c r="M212" t="s">
        <v>120</v>
      </c>
      <c r="N212" t="s">
        <v>120</v>
      </c>
      <c r="O212" t="s">
        <v>120</v>
      </c>
      <c r="P212" t="s">
        <v>120</v>
      </c>
      <c r="Q212" t="s">
        <v>120</v>
      </c>
      <c r="R212" t="s">
        <v>120</v>
      </c>
      <c r="S212" t="s">
        <v>120</v>
      </c>
      <c r="T212" t="s">
        <v>120</v>
      </c>
      <c r="U212" t="s">
        <v>120</v>
      </c>
      <c r="V212" t="s">
        <v>135</v>
      </c>
      <c r="W212" t="s">
        <v>120</v>
      </c>
      <c r="X212" t="s">
        <v>120</v>
      </c>
      <c r="Y212" t="s">
        <v>120</v>
      </c>
      <c r="Z212" t="s">
        <v>120</v>
      </c>
      <c r="AA212" t="s">
        <v>120</v>
      </c>
      <c r="AB212" t="s">
        <v>120</v>
      </c>
      <c r="AC212" t="s">
        <v>120</v>
      </c>
      <c r="AD212" t="s">
        <v>120</v>
      </c>
      <c r="AE212" t="s">
        <v>120</v>
      </c>
      <c r="AF212" t="s">
        <v>120</v>
      </c>
      <c r="AG212" t="s">
        <v>120</v>
      </c>
      <c r="AH212" t="s">
        <v>120</v>
      </c>
      <c r="AJ212">
        <v>0</v>
      </c>
      <c r="AK212">
        <v>8</v>
      </c>
      <c r="AL212">
        <v>0</v>
      </c>
      <c r="AM212">
        <v>8</v>
      </c>
      <c r="AN212">
        <v>0</v>
      </c>
      <c r="AO212">
        <v>4200</v>
      </c>
      <c r="AP212">
        <v>8</v>
      </c>
      <c r="AQ212">
        <v>0</v>
      </c>
      <c r="AR212">
        <v>70.875</v>
      </c>
      <c r="AS212">
        <v>420</v>
      </c>
    </row>
    <row r="213" spans="1:45" x14ac:dyDescent="0.25">
      <c r="A213" t="s">
        <v>621</v>
      </c>
      <c r="B213" t="s">
        <v>622</v>
      </c>
      <c r="C213" t="s">
        <v>605</v>
      </c>
      <c r="D213" t="s">
        <v>602</v>
      </c>
      <c r="E213" t="s">
        <v>120</v>
      </c>
      <c r="F213" t="s">
        <v>120</v>
      </c>
      <c r="G213" t="s">
        <v>120</v>
      </c>
      <c r="H213" t="s">
        <v>120</v>
      </c>
      <c r="I213" t="s">
        <v>120</v>
      </c>
      <c r="J213" t="s">
        <v>120</v>
      </c>
      <c r="K213" t="s">
        <v>120</v>
      </c>
      <c r="L213" t="s">
        <v>120</v>
      </c>
      <c r="M213" t="s">
        <v>120</v>
      </c>
      <c r="N213" t="s">
        <v>120</v>
      </c>
      <c r="O213" t="s">
        <v>120</v>
      </c>
      <c r="P213" t="s">
        <v>120</v>
      </c>
      <c r="Q213" t="s">
        <v>141</v>
      </c>
      <c r="R213" t="s">
        <v>120</v>
      </c>
      <c r="S213" t="s">
        <v>120</v>
      </c>
      <c r="T213" t="s">
        <v>120</v>
      </c>
      <c r="U213" t="s">
        <v>120</v>
      </c>
      <c r="V213" t="s">
        <v>135</v>
      </c>
      <c r="W213" t="s">
        <v>135</v>
      </c>
      <c r="X213" t="s">
        <v>120</v>
      </c>
      <c r="Y213" t="s">
        <v>120</v>
      </c>
      <c r="Z213" t="s">
        <v>120</v>
      </c>
      <c r="AA213" t="s">
        <v>141</v>
      </c>
      <c r="AB213" t="s">
        <v>141</v>
      </c>
      <c r="AC213" t="s">
        <v>120</v>
      </c>
      <c r="AD213" t="s">
        <v>120</v>
      </c>
      <c r="AE213" t="s">
        <v>120</v>
      </c>
      <c r="AF213" t="s">
        <v>120</v>
      </c>
      <c r="AG213" t="s">
        <v>120</v>
      </c>
      <c r="AH213" t="s">
        <v>141</v>
      </c>
      <c r="AJ213">
        <v>0</v>
      </c>
      <c r="AK213">
        <v>48</v>
      </c>
      <c r="AL213">
        <v>32</v>
      </c>
      <c r="AM213">
        <v>16</v>
      </c>
      <c r="AN213">
        <v>0</v>
      </c>
      <c r="AO213">
        <v>4200</v>
      </c>
      <c r="AP213">
        <v>48</v>
      </c>
      <c r="AQ213">
        <v>0</v>
      </c>
      <c r="AR213">
        <v>70.875</v>
      </c>
      <c r="AS213">
        <v>2520</v>
      </c>
    </row>
    <row r="214" spans="1:45" x14ac:dyDescent="0.25">
      <c r="A214" t="s">
        <v>623</v>
      </c>
      <c r="B214" t="s">
        <v>624</v>
      </c>
      <c r="C214" t="s">
        <v>610</v>
      </c>
      <c r="D214" t="s">
        <v>602</v>
      </c>
      <c r="E214" t="s">
        <v>120</v>
      </c>
      <c r="F214" t="s">
        <v>120</v>
      </c>
      <c r="G214" t="s">
        <v>120</v>
      </c>
      <c r="H214" t="s">
        <v>120</v>
      </c>
      <c r="I214" t="s">
        <v>120</v>
      </c>
      <c r="J214" t="s">
        <v>120</v>
      </c>
      <c r="K214" t="s">
        <v>120</v>
      </c>
      <c r="L214" t="s">
        <v>120</v>
      </c>
      <c r="M214" t="s">
        <v>120</v>
      </c>
      <c r="N214" t="s">
        <v>120</v>
      </c>
      <c r="O214" t="s">
        <v>120</v>
      </c>
      <c r="P214" t="s">
        <v>120</v>
      </c>
      <c r="Q214" t="s">
        <v>141</v>
      </c>
      <c r="R214" t="s">
        <v>120</v>
      </c>
      <c r="S214" t="s">
        <v>120</v>
      </c>
      <c r="T214" t="s">
        <v>135</v>
      </c>
      <c r="U214" t="s">
        <v>135</v>
      </c>
      <c r="V214" t="s">
        <v>120</v>
      </c>
      <c r="W214" t="s">
        <v>120</v>
      </c>
      <c r="X214" t="s">
        <v>120</v>
      </c>
      <c r="Y214" t="s">
        <v>120</v>
      </c>
      <c r="Z214" t="s">
        <v>120</v>
      </c>
      <c r="AA214" t="s">
        <v>120</v>
      </c>
      <c r="AB214" t="s">
        <v>120</v>
      </c>
      <c r="AC214" t="s">
        <v>141</v>
      </c>
      <c r="AD214" t="s">
        <v>120</v>
      </c>
      <c r="AE214" t="s">
        <v>120</v>
      </c>
      <c r="AF214" t="s">
        <v>120</v>
      </c>
      <c r="AG214" t="s">
        <v>120</v>
      </c>
      <c r="AH214" t="s">
        <v>120</v>
      </c>
      <c r="AJ214">
        <v>0</v>
      </c>
      <c r="AK214">
        <v>32</v>
      </c>
      <c r="AL214">
        <v>16</v>
      </c>
      <c r="AM214">
        <v>16</v>
      </c>
      <c r="AN214">
        <v>0</v>
      </c>
      <c r="AO214">
        <v>4200</v>
      </c>
      <c r="AP214">
        <v>32</v>
      </c>
      <c r="AQ214">
        <v>0</v>
      </c>
      <c r="AR214">
        <v>70.875</v>
      </c>
      <c r="AS214">
        <v>1680</v>
      </c>
    </row>
    <row r="215" spans="1:45" x14ac:dyDescent="0.25">
      <c r="A215" t="s">
        <v>625</v>
      </c>
      <c r="B215" t="s">
        <v>626</v>
      </c>
      <c r="C215" t="s">
        <v>605</v>
      </c>
      <c r="D215" t="s">
        <v>602</v>
      </c>
      <c r="E215" t="s">
        <v>120</v>
      </c>
      <c r="F215" t="s">
        <v>120</v>
      </c>
      <c r="G215" t="s">
        <v>120</v>
      </c>
      <c r="H215" t="s">
        <v>120</v>
      </c>
      <c r="I215" t="s">
        <v>120</v>
      </c>
      <c r="J215" t="s">
        <v>120</v>
      </c>
      <c r="K215" t="s">
        <v>120</v>
      </c>
      <c r="L215" t="s">
        <v>120</v>
      </c>
      <c r="M215" t="s">
        <v>120</v>
      </c>
      <c r="N215" t="s">
        <v>120</v>
      </c>
      <c r="O215" t="s">
        <v>120</v>
      </c>
      <c r="P215" t="s">
        <v>120</v>
      </c>
      <c r="Q215" t="s">
        <v>120</v>
      </c>
      <c r="R215" t="s">
        <v>120</v>
      </c>
      <c r="S215" t="s">
        <v>120</v>
      </c>
      <c r="T215" t="s">
        <v>120</v>
      </c>
      <c r="U215" t="s">
        <v>120</v>
      </c>
      <c r="V215" t="s">
        <v>120</v>
      </c>
      <c r="W215" t="s">
        <v>120</v>
      </c>
      <c r="X215" t="s">
        <v>120</v>
      </c>
      <c r="Y215" t="s">
        <v>120</v>
      </c>
      <c r="Z215" t="s">
        <v>120</v>
      </c>
      <c r="AA215" t="s">
        <v>120</v>
      </c>
      <c r="AB215" t="s">
        <v>120</v>
      </c>
      <c r="AC215" t="s">
        <v>120</v>
      </c>
      <c r="AD215" t="s">
        <v>120</v>
      </c>
      <c r="AE215" t="s">
        <v>120</v>
      </c>
      <c r="AF215" t="s">
        <v>120</v>
      </c>
      <c r="AG215" t="s">
        <v>120</v>
      </c>
      <c r="AH215" t="s">
        <v>141</v>
      </c>
      <c r="AJ215">
        <v>0</v>
      </c>
      <c r="AK215">
        <v>8</v>
      </c>
      <c r="AL215">
        <v>8</v>
      </c>
      <c r="AM215">
        <v>0</v>
      </c>
      <c r="AN215">
        <v>0</v>
      </c>
      <c r="AO215">
        <v>4200</v>
      </c>
      <c r="AP215">
        <v>8</v>
      </c>
      <c r="AQ215">
        <v>0</v>
      </c>
      <c r="AR215">
        <v>70.875</v>
      </c>
      <c r="AS215">
        <v>420</v>
      </c>
    </row>
    <row r="216" spans="1:45" x14ac:dyDescent="0.25">
      <c r="A216" t="s">
        <v>627</v>
      </c>
      <c r="B216" t="s">
        <v>628</v>
      </c>
      <c r="C216" t="s">
        <v>605</v>
      </c>
      <c r="D216" t="s">
        <v>602</v>
      </c>
      <c r="E216" t="s">
        <v>120</v>
      </c>
      <c r="F216" t="s">
        <v>120</v>
      </c>
      <c r="G216" t="s">
        <v>120</v>
      </c>
      <c r="H216" t="s">
        <v>120</v>
      </c>
      <c r="I216" t="s">
        <v>120</v>
      </c>
      <c r="J216" t="s">
        <v>120</v>
      </c>
      <c r="K216" t="s">
        <v>135</v>
      </c>
      <c r="L216" t="s">
        <v>120</v>
      </c>
      <c r="M216" t="s">
        <v>120</v>
      </c>
      <c r="N216" t="s">
        <v>120</v>
      </c>
      <c r="O216" t="s">
        <v>120</v>
      </c>
      <c r="P216" t="s">
        <v>120</v>
      </c>
      <c r="Q216" t="s">
        <v>120</v>
      </c>
      <c r="R216" t="s">
        <v>120</v>
      </c>
      <c r="S216" t="s">
        <v>120</v>
      </c>
      <c r="T216" t="s">
        <v>120</v>
      </c>
      <c r="U216" t="s">
        <v>135</v>
      </c>
      <c r="V216" t="s">
        <v>120</v>
      </c>
      <c r="W216" t="s">
        <v>120</v>
      </c>
      <c r="X216" t="s">
        <v>120</v>
      </c>
      <c r="Y216" t="s">
        <v>120</v>
      </c>
      <c r="Z216" t="s">
        <v>120</v>
      </c>
      <c r="AA216" t="s">
        <v>120</v>
      </c>
      <c r="AB216" t="s">
        <v>120</v>
      </c>
      <c r="AC216" t="s">
        <v>120</v>
      </c>
      <c r="AD216" t="s">
        <v>120</v>
      </c>
      <c r="AE216" t="s">
        <v>120</v>
      </c>
      <c r="AF216" t="s">
        <v>120</v>
      </c>
      <c r="AG216" t="s">
        <v>141</v>
      </c>
      <c r="AH216" t="s">
        <v>120</v>
      </c>
      <c r="AJ216">
        <v>0</v>
      </c>
      <c r="AK216">
        <v>24</v>
      </c>
      <c r="AL216">
        <v>8</v>
      </c>
      <c r="AM216">
        <v>16</v>
      </c>
      <c r="AN216">
        <v>0</v>
      </c>
      <c r="AO216">
        <v>4200</v>
      </c>
      <c r="AP216">
        <v>24</v>
      </c>
      <c r="AQ216">
        <v>0</v>
      </c>
      <c r="AR216">
        <v>70.875</v>
      </c>
      <c r="AS216">
        <v>1260</v>
      </c>
    </row>
    <row r="217" spans="1:45" x14ac:dyDescent="0.25">
      <c r="A217" t="s">
        <v>629</v>
      </c>
      <c r="B217" t="s">
        <v>630</v>
      </c>
      <c r="C217" t="s">
        <v>605</v>
      </c>
      <c r="D217" t="s">
        <v>602</v>
      </c>
      <c r="E217" t="s">
        <v>120</v>
      </c>
      <c r="F217" t="s">
        <v>120</v>
      </c>
      <c r="G217" t="s">
        <v>120</v>
      </c>
      <c r="H217" t="s">
        <v>120</v>
      </c>
      <c r="I217" t="s">
        <v>120</v>
      </c>
      <c r="J217" t="s">
        <v>135</v>
      </c>
      <c r="K217" t="s">
        <v>120</v>
      </c>
      <c r="L217" t="s">
        <v>120</v>
      </c>
      <c r="M217" t="s">
        <v>120</v>
      </c>
      <c r="N217" t="s">
        <v>120</v>
      </c>
      <c r="O217" t="s">
        <v>120</v>
      </c>
      <c r="P217" t="s">
        <v>120</v>
      </c>
      <c r="Q217" t="s">
        <v>120</v>
      </c>
      <c r="R217" t="s">
        <v>120</v>
      </c>
      <c r="S217" t="s">
        <v>120</v>
      </c>
      <c r="T217" t="s">
        <v>120</v>
      </c>
      <c r="U217" t="s">
        <v>120</v>
      </c>
      <c r="V217" t="s">
        <v>120</v>
      </c>
      <c r="W217" t="s">
        <v>120</v>
      </c>
      <c r="X217" t="s">
        <v>120</v>
      </c>
      <c r="Y217" t="s">
        <v>120</v>
      </c>
      <c r="Z217" t="s">
        <v>120</v>
      </c>
      <c r="AA217" t="s">
        <v>120</v>
      </c>
      <c r="AB217" t="s">
        <v>120</v>
      </c>
      <c r="AC217" t="s">
        <v>120</v>
      </c>
      <c r="AD217" t="s">
        <v>120</v>
      </c>
      <c r="AE217" t="s">
        <v>120</v>
      </c>
      <c r="AF217" t="s">
        <v>141</v>
      </c>
      <c r="AG217" t="s">
        <v>120</v>
      </c>
      <c r="AH217" t="s">
        <v>120</v>
      </c>
      <c r="AJ217">
        <v>0</v>
      </c>
      <c r="AK217">
        <v>16</v>
      </c>
      <c r="AL217">
        <v>8</v>
      </c>
      <c r="AM217">
        <v>8</v>
      </c>
      <c r="AN217">
        <v>0</v>
      </c>
      <c r="AO217">
        <v>4200</v>
      </c>
      <c r="AP217">
        <v>16</v>
      </c>
      <c r="AQ217">
        <v>0</v>
      </c>
      <c r="AR217">
        <v>70.875</v>
      </c>
      <c r="AS217">
        <v>840</v>
      </c>
    </row>
    <row r="218" spans="1:45" x14ac:dyDescent="0.25">
      <c r="A218" t="s">
        <v>631</v>
      </c>
      <c r="B218" t="s">
        <v>632</v>
      </c>
      <c r="C218" t="s">
        <v>605</v>
      </c>
      <c r="D218" t="s">
        <v>602</v>
      </c>
      <c r="E218" t="s">
        <v>120</v>
      </c>
      <c r="F218" t="s">
        <v>120</v>
      </c>
      <c r="G218" t="s">
        <v>120</v>
      </c>
      <c r="H218" t="s">
        <v>120</v>
      </c>
      <c r="I218" t="s">
        <v>120</v>
      </c>
      <c r="J218" t="s">
        <v>135</v>
      </c>
      <c r="K218" t="s">
        <v>120</v>
      </c>
      <c r="L218" t="s">
        <v>120</v>
      </c>
      <c r="M218" t="s">
        <v>120</v>
      </c>
      <c r="N218" t="s">
        <v>120</v>
      </c>
      <c r="O218" t="s">
        <v>120</v>
      </c>
      <c r="P218" t="s">
        <v>120</v>
      </c>
      <c r="Q218" t="s">
        <v>120</v>
      </c>
      <c r="R218" t="s">
        <v>120</v>
      </c>
      <c r="S218" t="s">
        <v>120</v>
      </c>
      <c r="T218" t="s">
        <v>120</v>
      </c>
      <c r="U218" t="s">
        <v>120</v>
      </c>
      <c r="V218" t="s">
        <v>120</v>
      </c>
      <c r="W218" t="s">
        <v>120</v>
      </c>
      <c r="X218" t="s">
        <v>120</v>
      </c>
      <c r="Y218" t="s">
        <v>120</v>
      </c>
      <c r="Z218" t="s">
        <v>141</v>
      </c>
      <c r="AA218" t="s">
        <v>120</v>
      </c>
      <c r="AB218" t="s">
        <v>120</v>
      </c>
      <c r="AC218" t="s">
        <v>120</v>
      </c>
      <c r="AD218" t="s">
        <v>120</v>
      </c>
      <c r="AE218" t="s">
        <v>120</v>
      </c>
      <c r="AF218" t="s">
        <v>141</v>
      </c>
      <c r="AG218" t="s">
        <v>120</v>
      </c>
      <c r="AH218" t="s">
        <v>120</v>
      </c>
      <c r="AJ218">
        <v>0</v>
      </c>
      <c r="AK218">
        <v>24</v>
      </c>
      <c r="AL218">
        <v>16</v>
      </c>
      <c r="AM218">
        <v>8</v>
      </c>
      <c r="AN218">
        <v>0</v>
      </c>
      <c r="AO218">
        <v>4200</v>
      </c>
      <c r="AP218">
        <v>24</v>
      </c>
      <c r="AQ218">
        <v>0</v>
      </c>
      <c r="AR218">
        <v>70.875</v>
      </c>
      <c r="AS218">
        <v>1260</v>
      </c>
    </row>
    <row r="219" spans="1:45" x14ac:dyDescent="0.25">
      <c r="A219" t="s">
        <v>633</v>
      </c>
      <c r="B219" t="s">
        <v>634</v>
      </c>
      <c r="C219" t="s">
        <v>605</v>
      </c>
      <c r="D219" t="s">
        <v>602</v>
      </c>
      <c r="E219" t="s">
        <v>120</v>
      </c>
      <c r="F219" t="s">
        <v>120</v>
      </c>
      <c r="G219" t="s">
        <v>120</v>
      </c>
      <c r="H219" t="s">
        <v>120</v>
      </c>
      <c r="I219" t="s">
        <v>120</v>
      </c>
      <c r="J219" t="s">
        <v>120</v>
      </c>
      <c r="K219" t="s">
        <v>135</v>
      </c>
      <c r="L219" t="s">
        <v>120</v>
      </c>
      <c r="M219" t="s">
        <v>120</v>
      </c>
      <c r="N219" t="s">
        <v>120</v>
      </c>
      <c r="O219" t="s">
        <v>135</v>
      </c>
      <c r="P219" t="s">
        <v>120</v>
      </c>
      <c r="Q219" t="s">
        <v>120</v>
      </c>
      <c r="R219" t="s">
        <v>120</v>
      </c>
      <c r="S219" t="s">
        <v>120</v>
      </c>
      <c r="T219" t="s">
        <v>120</v>
      </c>
      <c r="U219" t="s">
        <v>120</v>
      </c>
      <c r="V219" t="s">
        <v>120</v>
      </c>
      <c r="W219" t="s">
        <v>120</v>
      </c>
      <c r="X219" t="s">
        <v>120</v>
      </c>
      <c r="Y219" t="s">
        <v>120</v>
      </c>
      <c r="Z219" t="s">
        <v>120</v>
      </c>
      <c r="AA219" t="s">
        <v>120</v>
      </c>
      <c r="AB219" t="s">
        <v>120</v>
      </c>
      <c r="AC219" t="s">
        <v>120</v>
      </c>
      <c r="AD219" t="s">
        <v>120</v>
      </c>
      <c r="AE219" t="s">
        <v>120</v>
      </c>
      <c r="AF219" t="s">
        <v>120</v>
      </c>
      <c r="AG219" t="s">
        <v>141</v>
      </c>
      <c r="AH219" t="s">
        <v>120</v>
      </c>
      <c r="AJ219">
        <v>0</v>
      </c>
      <c r="AK219">
        <v>24</v>
      </c>
      <c r="AL219">
        <v>8</v>
      </c>
      <c r="AM219">
        <v>16</v>
      </c>
      <c r="AN219">
        <v>0</v>
      </c>
      <c r="AO219">
        <v>4200</v>
      </c>
      <c r="AP219">
        <v>24</v>
      </c>
      <c r="AQ219">
        <v>0</v>
      </c>
      <c r="AR219">
        <v>70.875</v>
      </c>
      <c r="AS219">
        <v>1260</v>
      </c>
    </row>
    <row r="220" spans="1:45" x14ac:dyDescent="0.25">
      <c r="A220" t="s">
        <v>635</v>
      </c>
      <c r="B220" t="s">
        <v>636</v>
      </c>
      <c r="C220" t="s">
        <v>605</v>
      </c>
      <c r="D220" t="s">
        <v>602</v>
      </c>
      <c r="E220" t="s">
        <v>120</v>
      </c>
      <c r="F220" t="s">
        <v>120</v>
      </c>
      <c r="G220" t="s">
        <v>120</v>
      </c>
      <c r="H220" t="s">
        <v>120</v>
      </c>
      <c r="I220" t="s">
        <v>120</v>
      </c>
      <c r="J220" t="s">
        <v>120</v>
      </c>
      <c r="K220" t="s">
        <v>120</v>
      </c>
      <c r="L220" t="s">
        <v>120</v>
      </c>
      <c r="M220" t="s">
        <v>120</v>
      </c>
      <c r="N220" t="s">
        <v>120</v>
      </c>
      <c r="O220" t="s">
        <v>135</v>
      </c>
      <c r="P220" t="s">
        <v>120</v>
      </c>
      <c r="Q220" t="s">
        <v>120</v>
      </c>
      <c r="R220" t="s">
        <v>120</v>
      </c>
      <c r="S220" t="s">
        <v>120</v>
      </c>
      <c r="T220" t="s">
        <v>120</v>
      </c>
      <c r="U220" t="s">
        <v>120</v>
      </c>
      <c r="V220" t="s">
        <v>120</v>
      </c>
      <c r="W220" t="s">
        <v>120</v>
      </c>
      <c r="X220" t="s">
        <v>120</v>
      </c>
      <c r="Y220" t="s">
        <v>120</v>
      </c>
      <c r="Z220" t="s">
        <v>120</v>
      </c>
      <c r="AA220" t="s">
        <v>120</v>
      </c>
      <c r="AB220" t="s">
        <v>120</v>
      </c>
      <c r="AC220" t="s">
        <v>120</v>
      </c>
      <c r="AD220" t="s">
        <v>120</v>
      </c>
      <c r="AE220" t="s">
        <v>120</v>
      </c>
      <c r="AF220" t="s">
        <v>120</v>
      </c>
      <c r="AG220" t="s">
        <v>120</v>
      </c>
      <c r="AH220" t="s">
        <v>120</v>
      </c>
      <c r="AJ220">
        <v>0</v>
      </c>
      <c r="AK220">
        <v>8</v>
      </c>
      <c r="AL220">
        <v>0</v>
      </c>
      <c r="AM220">
        <v>8</v>
      </c>
      <c r="AN220">
        <v>0</v>
      </c>
      <c r="AO220">
        <v>4200</v>
      </c>
      <c r="AP220">
        <v>8</v>
      </c>
      <c r="AQ220">
        <v>0</v>
      </c>
      <c r="AR220">
        <v>70.875</v>
      </c>
      <c r="AS220">
        <v>420</v>
      </c>
    </row>
    <row r="221" spans="1:45" x14ac:dyDescent="0.25">
      <c r="A221" t="s">
        <v>637</v>
      </c>
      <c r="B221" t="s">
        <v>638</v>
      </c>
      <c r="C221" t="s">
        <v>639</v>
      </c>
      <c r="D221" t="s">
        <v>640</v>
      </c>
      <c r="E221" t="s">
        <v>120</v>
      </c>
      <c r="F221" t="s">
        <v>120</v>
      </c>
      <c r="G221" t="s">
        <v>120</v>
      </c>
      <c r="H221" t="s">
        <v>120</v>
      </c>
      <c r="I221" t="s">
        <v>120</v>
      </c>
      <c r="J221" t="s">
        <v>120</v>
      </c>
      <c r="K221" t="s">
        <v>120</v>
      </c>
      <c r="L221" t="s">
        <v>120</v>
      </c>
      <c r="M221" t="s">
        <v>120</v>
      </c>
      <c r="N221" t="s">
        <v>120</v>
      </c>
      <c r="O221" t="s">
        <v>120</v>
      </c>
      <c r="P221" t="s">
        <v>120</v>
      </c>
      <c r="Q221" t="s">
        <v>120</v>
      </c>
      <c r="R221" t="s">
        <v>120</v>
      </c>
      <c r="S221" t="s">
        <v>120</v>
      </c>
      <c r="T221" t="s">
        <v>120</v>
      </c>
      <c r="U221" t="s">
        <v>120</v>
      </c>
      <c r="V221" t="s">
        <v>120</v>
      </c>
      <c r="W221" t="s">
        <v>120</v>
      </c>
      <c r="X221" t="s">
        <v>120</v>
      </c>
      <c r="Y221" t="s">
        <v>120</v>
      </c>
      <c r="Z221" t="s">
        <v>120</v>
      </c>
      <c r="AA221" t="s">
        <v>120</v>
      </c>
      <c r="AB221" t="s">
        <v>120</v>
      </c>
      <c r="AC221" t="s">
        <v>120</v>
      </c>
      <c r="AD221" t="s">
        <v>120</v>
      </c>
      <c r="AE221" t="s">
        <v>120</v>
      </c>
      <c r="AF221" t="s">
        <v>120</v>
      </c>
      <c r="AG221" t="s">
        <v>120</v>
      </c>
      <c r="AH221" t="s">
        <v>120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4800</v>
      </c>
      <c r="AP221">
        <v>0</v>
      </c>
      <c r="AQ221">
        <v>0</v>
      </c>
      <c r="AR221">
        <v>81</v>
      </c>
      <c r="AS221">
        <v>0</v>
      </c>
    </row>
    <row r="222" spans="1:45" x14ac:dyDescent="0.25">
      <c r="A222" t="s">
        <v>641</v>
      </c>
      <c r="B222" t="s">
        <v>642</v>
      </c>
      <c r="C222" t="s">
        <v>639</v>
      </c>
      <c r="D222" t="s">
        <v>640</v>
      </c>
      <c r="E222" t="s">
        <v>120</v>
      </c>
      <c r="F222" t="s">
        <v>120</v>
      </c>
      <c r="G222" t="s">
        <v>120</v>
      </c>
      <c r="H222" t="s">
        <v>120</v>
      </c>
      <c r="I222" t="s">
        <v>120</v>
      </c>
      <c r="J222" t="s">
        <v>120</v>
      </c>
      <c r="K222" t="s">
        <v>120</v>
      </c>
      <c r="L222" t="s">
        <v>120</v>
      </c>
      <c r="M222" t="s">
        <v>120</v>
      </c>
      <c r="N222" t="s">
        <v>120</v>
      </c>
      <c r="O222" t="s">
        <v>120</v>
      </c>
      <c r="P222" t="s">
        <v>120</v>
      </c>
      <c r="Q222" t="s">
        <v>120</v>
      </c>
      <c r="R222" t="s">
        <v>120</v>
      </c>
      <c r="S222" t="s">
        <v>120</v>
      </c>
      <c r="T222" t="s">
        <v>120</v>
      </c>
      <c r="U222" t="s">
        <v>120</v>
      </c>
      <c r="V222" t="s">
        <v>120</v>
      </c>
      <c r="W222" t="s">
        <v>120</v>
      </c>
      <c r="X222" t="s">
        <v>120</v>
      </c>
      <c r="Y222" t="s">
        <v>120</v>
      </c>
      <c r="Z222" t="s">
        <v>120</v>
      </c>
      <c r="AA222" t="s">
        <v>120</v>
      </c>
      <c r="AB222" t="s">
        <v>120</v>
      </c>
      <c r="AC222" t="s">
        <v>120</v>
      </c>
      <c r="AE222" t="s">
        <v>120</v>
      </c>
      <c r="AF222" t="s">
        <v>120</v>
      </c>
      <c r="AG222" t="s">
        <v>120</v>
      </c>
      <c r="AH222" t="s">
        <v>120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4800</v>
      </c>
      <c r="AP222">
        <v>0</v>
      </c>
      <c r="AQ222">
        <v>0</v>
      </c>
      <c r="AR222">
        <v>81</v>
      </c>
      <c r="AS222">
        <v>0</v>
      </c>
    </row>
    <row r="223" spans="1:45" x14ac:dyDescent="0.25">
      <c r="A223" t="s">
        <v>643</v>
      </c>
      <c r="B223" t="s">
        <v>644</v>
      </c>
      <c r="C223" t="s">
        <v>639</v>
      </c>
      <c r="D223" t="s">
        <v>640</v>
      </c>
      <c r="E223" t="s">
        <v>120</v>
      </c>
      <c r="F223" t="s">
        <v>120</v>
      </c>
      <c r="G223" t="s">
        <v>120</v>
      </c>
      <c r="H223" t="s">
        <v>120</v>
      </c>
      <c r="I223" t="s">
        <v>120</v>
      </c>
      <c r="J223" t="s">
        <v>120</v>
      </c>
      <c r="K223" t="s">
        <v>120</v>
      </c>
      <c r="L223" t="s">
        <v>120</v>
      </c>
      <c r="M223" t="s">
        <v>645</v>
      </c>
      <c r="N223" t="s">
        <v>120</v>
      </c>
      <c r="O223" t="s">
        <v>120</v>
      </c>
      <c r="P223" t="s">
        <v>120</v>
      </c>
      <c r="Q223" t="s">
        <v>120</v>
      </c>
      <c r="R223" t="s">
        <v>120</v>
      </c>
      <c r="S223" t="s">
        <v>120</v>
      </c>
      <c r="T223" t="s">
        <v>120</v>
      </c>
      <c r="U223" t="s">
        <v>120</v>
      </c>
      <c r="V223" t="s">
        <v>120</v>
      </c>
      <c r="W223" t="s">
        <v>120</v>
      </c>
      <c r="X223" t="s">
        <v>120</v>
      </c>
      <c r="Y223" t="s">
        <v>120</v>
      </c>
      <c r="Z223" t="s">
        <v>120</v>
      </c>
      <c r="AA223" t="s">
        <v>120</v>
      </c>
      <c r="AB223" t="s">
        <v>120</v>
      </c>
      <c r="AC223" t="s">
        <v>120</v>
      </c>
      <c r="AD223" t="s">
        <v>120</v>
      </c>
      <c r="AE223" t="s">
        <v>120</v>
      </c>
      <c r="AF223" t="s">
        <v>120</v>
      </c>
      <c r="AG223" t="s">
        <v>120</v>
      </c>
      <c r="AH223" t="s">
        <v>69</v>
      </c>
      <c r="AJ223">
        <v>0</v>
      </c>
      <c r="AK223">
        <v>9</v>
      </c>
      <c r="AL223">
        <v>9</v>
      </c>
      <c r="AM223">
        <v>0</v>
      </c>
      <c r="AN223">
        <v>0</v>
      </c>
      <c r="AO223">
        <v>4800</v>
      </c>
      <c r="AP223">
        <v>9</v>
      </c>
      <c r="AQ223">
        <v>0</v>
      </c>
      <c r="AR223">
        <v>81</v>
      </c>
      <c r="AS223">
        <v>540</v>
      </c>
    </row>
    <row r="224" spans="1:45" x14ac:dyDescent="0.25">
      <c r="A224" t="s">
        <v>646</v>
      </c>
      <c r="B224" t="s">
        <v>647</v>
      </c>
      <c r="C224" t="s">
        <v>639</v>
      </c>
      <c r="D224" t="s">
        <v>640</v>
      </c>
      <c r="E224" t="s">
        <v>120</v>
      </c>
      <c r="F224" t="s">
        <v>120</v>
      </c>
      <c r="G224" t="s">
        <v>120</v>
      </c>
      <c r="H224" t="s">
        <v>120</v>
      </c>
      <c r="I224" t="s">
        <v>120</v>
      </c>
      <c r="J224" t="s">
        <v>120</v>
      </c>
      <c r="K224" t="s">
        <v>120</v>
      </c>
      <c r="L224" t="s">
        <v>120</v>
      </c>
      <c r="M224" t="s">
        <v>120</v>
      </c>
      <c r="N224" t="s">
        <v>120</v>
      </c>
      <c r="O224" t="s">
        <v>120</v>
      </c>
      <c r="P224" t="s">
        <v>120</v>
      </c>
      <c r="Q224" t="s">
        <v>120</v>
      </c>
      <c r="R224" t="s">
        <v>120</v>
      </c>
      <c r="S224" t="s">
        <v>120</v>
      </c>
      <c r="T224" t="s">
        <v>120</v>
      </c>
      <c r="U224" t="s">
        <v>120</v>
      </c>
      <c r="V224" t="s">
        <v>120</v>
      </c>
      <c r="W224" t="s">
        <v>120</v>
      </c>
      <c r="X224" t="s">
        <v>120</v>
      </c>
      <c r="Y224" t="s">
        <v>120</v>
      </c>
      <c r="Z224" t="s">
        <v>120</v>
      </c>
      <c r="AA224" t="s">
        <v>120</v>
      </c>
      <c r="AB224" t="s">
        <v>120</v>
      </c>
      <c r="AC224" t="s">
        <v>120</v>
      </c>
      <c r="AD224" t="s">
        <v>120</v>
      </c>
      <c r="AE224" t="s">
        <v>120</v>
      </c>
      <c r="AF224" t="s">
        <v>120</v>
      </c>
      <c r="AG224" t="s">
        <v>120</v>
      </c>
      <c r="AH224" t="s">
        <v>55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4800</v>
      </c>
      <c r="AP224">
        <v>0</v>
      </c>
      <c r="AQ224">
        <v>0</v>
      </c>
      <c r="AR224">
        <v>81</v>
      </c>
      <c r="AS224">
        <v>0</v>
      </c>
    </row>
    <row r="225" spans="1:45" x14ac:dyDescent="0.25">
      <c r="A225" t="s">
        <v>648</v>
      </c>
      <c r="B225" t="s">
        <v>649</v>
      </c>
      <c r="C225" t="s">
        <v>639</v>
      </c>
      <c r="D225" t="s">
        <v>640</v>
      </c>
      <c r="E225" t="s">
        <v>120</v>
      </c>
      <c r="F225" t="s">
        <v>332</v>
      </c>
      <c r="G225" t="s">
        <v>120</v>
      </c>
      <c r="H225" t="s">
        <v>120</v>
      </c>
      <c r="I225" t="s">
        <v>120</v>
      </c>
      <c r="J225" t="s">
        <v>120</v>
      </c>
      <c r="K225" t="s">
        <v>120</v>
      </c>
      <c r="L225" t="s">
        <v>120</v>
      </c>
      <c r="M225" t="s">
        <v>120</v>
      </c>
      <c r="N225" t="s">
        <v>120</v>
      </c>
      <c r="O225" t="s">
        <v>120</v>
      </c>
      <c r="P225" t="s">
        <v>120</v>
      </c>
      <c r="Q225" t="s">
        <v>120</v>
      </c>
      <c r="R225" t="s">
        <v>120</v>
      </c>
      <c r="S225" t="s">
        <v>120</v>
      </c>
      <c r="T225" t="s">
        <v>120</v>
      </c>
      <c r="U225" t="s">
        <v>120</v>
      </c>
      <c r="V225" t="s">
        <v>120</v>
      </c>
      <c r="W225" t="s">
        <v>120</v>
      </c>
      <c r="X225" t="s">
        <v>120</v>
      </c>
      <c r="Y225" t="s">
        <v>120</v>
      </c>
      <c r="Z225" t="s">
        <v>120</v>
      </c>
      <c r="AA225" t="s">
        <v>120</v>
      </c>
      <c r="AB225" t="s">
        <v>120</v>
      </c>
      <c r="AC225" t="s">
        <v>120</v>
      </c>
      <c r="AD225" t="s">
        <v>120</v>
      </c>
      <c r="AE225" t="s">
        <v>120</v>
      </c>
      <c r="AF225" t="s">
        <v>120</v>
      </c>
      <c r="AG225" t="s">
        <v>120</v>
      </c>
      <c r="AH225" t="s">
        <v>69</v>
      </c>
      <c r="AJ225">
        <v>0</v>
      </c>
      <c r="AK225">
        <v>7</v>
      </c>
      <c r="AL225">
        <v>7</v>
      </c>
      <c r="AM225">
        <v>0</v>
      </c>
      <c r="AN225">
        <v>0</v>
      </c>
      <c r="AO225">
        <v>4800</v>
      </c>
      <c r="AP225">
        <v>7</v>
      </c>
      <c r="AQ225">
        <v>0</v>
      </c>
      <c r="AR225">
        <v>81</v>
      </c>
      <c r="AS225">
        <v>420</v>
      </c>
    </row>
    <row r="226" spans="1:45" x14ac:dyDescent="0.25">
      <c r="A226" t="s">
        <v>650</v>
      </c>
      <c r="B226" t="s">
        <v>651</v>
      </c>
      <c r="C226" t="s">
        <v>639</v>
      </c>
      <c r="D226" t="s">
        <v>640</v>
      </c>
      <c r="E226" t="s">
        <v>120</v>
      </c>
      <c r="F226" t="s">
        <v>120</v>
      </c>
      <c r="G226" t="s">
        <v>120</v>
      </c>
      <c r="H226" t="s">
        <v>120</v>
      </c>
      <c r="I226" t="s">
        <v>120</v>
      </c>
      <c r="J226" t="s">
        <v>120</v>
      </c>
      <c r="K226" t="s">
        <v>120</v>
      </c>
      <c r="L226" t="s">
        <v>120</v>
      </c>
      <c r="M226" t="s">
        <v>120</v>
      </c>
      <c r="N226" t="s">
        <v>120</v>
      </c>
      <c r="O226" t="s">
        <v>120</v>
      </c>
      <c r="P226" t="s">
        <v>120</v>
      </c>
      <c r="Q226" t="s">
        <v>120</v>
      </c>
      <c r="R226" t="s">
        <v>120</v>
      </c>
      <c r="S226" t="s">
        <v>120</v>
      </c>
      <c r="T226" t="s">
        <v>120</v>
      </c>
      <c r="U226" t="s">
        <v>120</v>
      </c>
      <c r="V226" t="s">
        <v>120</v>
      </c>
      <c r="W226" t="s">
        <v>120</v>
      </c>
      <c r="X226" t="s">
        <v>120</v>
      </c>
      <c r="Y226" t="s">
        <v>120</v>
      </c>
      <c r="Z226" t="s">
        <v>120</v>
      </c>
      <c r="AA226" t="s">
        <v>120</v>
      </c>
      <c r="AB226" t="s">
        <v>120</v>
      </c>
      <c r="AC226" t="s">
        <v>120</v>
      </c>
      <c r="AD226" t="s">
        <v>120</v>
      </c>
      <c r="AE226" t="s">
        <v>120</v>
      </c>
      <c r="AF226" t="s">
        <v>120</v>
      </c>
      <c r="AG226" t="s">
        <v>120</v>
      </c>
      <c r="AH226" t="s">
        <v>120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4800</v>
      </c>
      <c r="AP226">
        <v>0</v>
      </c>
      <c r="AQ226">
        <v>0</v>
      </c>
      <c r="AR226">
        <v>81</v>
      </c>
      <c r="AS226">
        <v>0</v>
      </c>
    </row>
    <row r="227" spans="1:45" x14ac:dyDescent="0.25">
      <c r="A227" t="s">
        <v>652</v>
      </c>
      <c r="B227" t="s">
        <v>653</v>
      </c>
      <c r="C227" t="s">
        <v>639</v>
      </c>
      <c r="D227" t="s">
        <v>640</v>
      </c>
      <c r="E227" t="s">
        <v>120</v>
      </c>
      <c r="F227" t="s">
        <v>120</v>
      </c>
      <c r="G227" t="s">
        <v>120</v>
      </c>
      <c r="H227" t="s">
        <v>120</v>
      </c>
      <c r="I227" t="s">
        <v>120</v>
      </c>
      <c r="J227" t="s">
        <v>120</v>
      </c>
      <c r="K227" t="s">
        <v>120</v>
      </c>
      <c r="L227" t="s">
        <v>120</v>
      </c>
      <c r="M227" t="s">
        <v>141</v>
      </c>
      <c r="N227" t="s">
        <v>120</v>
      </c>
      <c r="O227" t="s">
        <v>120</v>
      </c>
      <c r="P227" t="s">
        <v>120</v>
      </c>
      <c r="Q227" t="s">
        <v>120</v>
      </c>
      <c r="R227" t="s">
        <v>120</v>
      </c>
      <c r="S227" t="s">
        <v>120</v>
      </c>
      <c r="T227" t="s">
        <v>120</v>
      </c>
      <c r="U227" t="s">
        <v>120</v>
      </c>
      <c r="V227" t="s">
        <v>120</v>
      </c>
      <c r="W227" t="s">
        <v>120</v>
      </c>
      <c r="X227" t="s">
        <v>120</v>
      </c>
      <c r="Y227" t="s">
        <v>120</v>
      </c>
      <c r="Z227" t="s">
        <v>120</v>
      </c>
      <c r="AA227" t="s">
        <v>120</v>
      </c>
      <c r="AB227" t="s">
        <v>120</v>
      </c>
      <c r="AC227" t="s">
        <v>120</v>
      </c>
      <c r="AD227" t="s">
        <v>120</v>
      </c>
      <c r="AE227" t="s">
        <v>120</v>
      </c>
      <c r="AF227" t="s">
        <v>120</v>
      </c>
      <c r="AG227" t="s">
        <v>120</v>
      </c>
      <c r="AH227" t="s">
        <v>120</v>
      </c>
      <c r="AJ227">
        <v>0</v>
      </c>
      <c r="AK227">
        <v>8</v>
      </c>
      <c r="AL227">
        <v>8</v>
      </c>
      <c r="AM227">
        <v>0</v>
      </c>
      <c r="AN227">
        <v>0</v>
      </c>
      <c r="AO227">
        <v>4800</v>
      </c>
      <c r="AP227">
        <v>8</v>
      </c>
      <c r="AQ227">
        <v>0</v>
      </c>
      <c r="AR227">
        <v>81</v>
      </c>
      <c r="AS227">
        <v>480</v>
      </c>
    </row>
    <row r="228" spans="1:45" x14ac:dyDescent="0.25">
      <c r="A228" t="s">
        <v>654</v>
      </c>
      <c r="B228" t="s">
        <v>655</v>
      </c>
      <c r="C228" t="s">
        <v>639</v>
      </c>
      <c r="D228" t="s">
        <v>640</v>
      </c>
      <c r="E228" t="s">
        <v>120</v>
      </c>
      <c r="F228" t="s">
        <v>120</v>
      </c>
      <c r="G228" t="s">
        <v>120</v>
      </c>
      <c r="H228" t="s">
        <v>120</v>
      </c>
      <c r="I228" t="s">
        <v>120</v>
      </c>
      <c r="J228" t="s">
        <v>120</v>
      </c>
      <c r="K228" t="s">
        <v>120</v>
      </c>
      <c r="L228" t="s">
        <v>120</v>
      </c>
      <c r="M228" t="s">
        <v>120</v>
      </c>
      <c r="N228" t="s">
        <v>120</v>
      </c>
      <c r="O228" t="s">
        <v>120</v>
      </c>
      <c r="P228" t="s">
        <v>120</v>
      </c>
      <c r="Q228" t="s">
        <v>120</v>
      </c>
      <c r="R228" t="s">
        <v>120</v>
      </c>
      <c r="S228" t="s">
        <v>120</v>
      </c>
      <c r="T228" t="s">
        <v>120</v>
      </c>
      <c r="U228" t="s">
        <v>120</v>
      </c>
      <c r="V228" t="s">
        <v>120</v>
      </c>
      <c r="W228" t="s">
        <v>120</v>
      </c>
      <c r="X228" t="s">
        <v>120</v>
      </c>
      <c r="Y228" t="s">
        <v>120</v>
      </c>
      <c r="Z228" t="s">
        <v>120</v>
      </c>
      <c r="AA228" t="s">
        <v>120</v>
      </c>
      <c r="AB228" t="s">
        <v>120</v>
      </c>
      <c r="AC228" t="s">
        <v>120</v>
      </c>
      <c r="AD228" t="s">
        <v>120</v>
      </c>
      <c r="AE228" t="s">
        <v>120</v>
      </c>
      <c r="AF228" t="s">
        <v>120</v>
      </c>
      <c r="AG228" t="s">
        <v>120</v>
      </c>
      <c r="AH228" t="s">
        <v>120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4800</v>
      </c>
      <c r="AP228">
        <v>0</v>
      </c>
      <c r="AQ228">
        <v>0</v>
      </c>
      <c r="AR228">
        <v>81</v>
      </c>
      <c r="AS228">
        <v>0</v>
      </c>
    </row>
    <row r="229" spans="1:45" x14ac:dyDescent="0.25">
      <c r="A229" t="s">
        <v>656</v>
      </c>
      <c r="B229" t="s">
        <v>657</v>
      </c>
      <c r="C229" t="s">
        <v>130</v>
      </c>
      <c r="D229" t="s">
        <v>640</v>
      </c>
      <c r="E229" t="s">
        <v>120</v>
      </c>
      <c r="F229" t="s">
        <v>120</v>
      </c>
      <c r="G229" t="s">
        <v>141</v>
      </c>
      <c r="H229" t="s">
        <v>120</v>
      </c>
      <c r="I229" t="s">
        <v>120</v>
      </c>
      <c r="J229" t="s">
        <v>120</v>
      </c>
      <c r="K229" t="s">
        <v>124</v>
      </c>
      <c r="L229" t="s">
        <v>120</v>
      </c>
      <c r="M229" t="s">
        <v>120</v>
      </c>
      <c r="N229" t="s">
        <v>658</v>
      </c>
      <c r="O229" t="s">
        <v>124</v>
      </c>
      <c r="P229" t="s">
        <v>124</v>
      </c>
      <c r="Q229" t="s">
        <v>124</v>
      </c>
      <c r="R229" t="s">
        <v>120</v>
      </c>
      <c r="S229" t="s">
        <v>120</v>
      </c>
      <c r="T229" t="s">
        <v>120</v>
      </c>
      <c r="U229" t="s">
        <v>120</v>
      </c>
      <c r="V229" t="s">
        <v>120</v>
      </c>
      <c r="W229" t="s">
        <v>120</v>
      </c>
      <c r="X229" t="s">
        <v>120</v>
      </c>
      <c r="Y229" t="s">
        <v>120</v>
      </c>
      <c r="Z229" t="s">
        <v>120</v>
      </c>
      <c r="AA229" t="s">
        <v>120</v>
      </c>
      <c r="AB229" t="s">
        <v>120</v>
      </c>
      <c r="AC229" t="s">
        <v>120</v>
      </c>
      <c r="AD229" t="s">
        <v>124</v>
      </c>
      <c r="AE229" t="s">
        <v>124</v>
      </c>
      <c r="AF229" t="s">
        <v>141</v>
      </c>
      <c r="AG229" t="s">
        <v>120</v>
      </c>
      <c r="AH229" t="s">
        <v>120</v>
      </c>
      <c r="AJ229">
        <v>0</v>
      </c>
      <c r="AK229">
        <v>45</v>
      </c>
      <c r="AL229">
        <v>16</v>
      </c>
      <c r="AM229">
        <v>29</v>
      </c>
      <c r="AN229">
        <v>0</v>
      </c>
      <c r="AO229">
        <v>7500</v>
      </c>
      <c r="AP229">
        <v>45</v>
      </c>
      <c r="AQ229">
        <v>0</v>
      </c>
      <c r="AR229">
        <v>126.56250000000001</v>
      </c>
      <c r="AS229">
        <v>4218.75</v>
      </c>
    </row>
    <row r="230" spans="1:45" x14ac:dyDescent="0.25">
      <c r="A230" t="s">
        <v>659</v>
      </c>
      <c r="B230" t="s">
        <v>660</v>
      </c>
      <c r="C230" t="s">
        <v>255</v>
      </c>
      <c r="D230" t="s">
        <v>640</v>
      </c>
      <c r="E230" t="s">
        <v>120</v>
      </c>
      <c r="F230" t="s">
        <v>120</v>
      </c>
      <c r="G230" t="s">
        <v>120</v>
      </c>
      <c r="H230" t="s">
        <v>120</v>
      </c>
      <c r="I230" t="s">
        <v>120</v>
      </c>
      <c r="J230" t="s">
        <v>120</v>
      </c>
      <c r="K230" t="s">
        <v>120</v>
      </c>
      <c r="L230" t="s">
        <v>120</v>
      </c>
      <c r="M230" t="s">
        <v>645</v>
      </c>
      <c r="N230" t="s">
        <v>120</v>
      </c>
      <c r="O230" t="s">
        <v>120</v>
      </c>
      <c r="P230" t="s">
        <v>120</v>
      </c>
      <c r="Q230" t="s">
        <v>120</v>
      </c>
      <c r="R230" t="s">
        <v>120</v>
      </c>
      <c r="S230" t="s">
        <v>120</v>
      </c>
      <c r="T230" t="s">
        <v>120</v>
      </c>
      <c r="U230" t="s">
        <v>120</v>
      </c>
      <c r="V230" t="s">
        <v>120</v>
      </c>
      <c r="W230" t="s">
        <v>120</v>
      </c>
      <c r="X230" t="s">
        <v>120</v>
      </c>
      <c r="Y230" t="s">
        <v>120</v>
      </c>
      <c r="Z230" t="s">
        <v>120</v>
      </c>
      <c r="AA230" t="s">
        <v>120</v>
      </c>
      <c r="AB230" t="s">
        <v>120</v>
      </c>
      <c r="AC230" t="s">
        <v>120</v>
      </c>
      <c r="AD230" t="s">
        <v>120</v>
      </c>
      <c r="AE230" t="s">
        <v>120</v>
      </c>
      <c r="AF230" t="s">
        <v>120</v>
      </c>
      <c r="AG230" t="s">
        <v>120</v>
      </c>
      <c r="AH230" t="s">
        <v>120</v>
      </c>
      <c r="AJ230">
        <v>0</v>
      </c>
      <c r="AK230">
        <v>9</v>
      </c>
      <c r="AL230">
        <v>9</v>
      </c>
      <c r="AM230">
        <v>0</v>
      </c>
      <c r="AN230">
        <v>0</v>
      </c>
      <c r="AO230">
        <v>4800</v>
      </c>
      <c r="AP230">
        <v>9</v>
      </c>
      <c r="AQ230">
        <v>0</v>
      </c>
      <c r="AR230">
        <v>81</v>
      </c>
      <c r="AS230">
        <v>540</v>
      </c>
    </row>
    <row r="231" spans="1:45" x14ac:dyDescent="0.25">
      <c r="A231" t="s">
        <v>661</v>
      </c>
      <c r="B231" t="s">
        <v>662</v>
      </c>
      <c r="C231" t="s">
        <v>255</v>
      </c>
      <c r="D231" t="s">
        <v>640</v>
      </c>
      <c r="E231" t="s">
        <v>120</v>
      </c>
      <c r="F231" t="s">
        <v>120</v>
      </c>
      <c r="G231" t="s">
        <v>120</v>
      </c>
      <c r="H231" t="s">
        <v>120</v>
      </c>
      <c r="I231" t="s">
        <v>120</v>
      </c>
      <c r="J231" t="s">
        <v>120</v>
      </c>
      <c r="K231" t="s">
        <v>120</v>
      </c>
      <c r="L231" t="s">
        <v>120</v>
      </c>
      <c r="M231" t="s">
        <v>120</v>
      </c>
      <c r="N231" t="s">
        <v>120</v>
      </c>
      <c r="O231" t="s">
        <v>120</v>
      </c>
      <c r="P231" t="s">
        <v>120</v>
      </c>
      <c r="Q231" t="s">
        <v>120</v>
      </c>
      <c r="R231" t="s">
        <v>120</v>
      </c>
      <c r="S231" t="s">
        <v>120</v>
      </c>
      <c r="T231" t="s">
        <v>120</v>
      </c>
      <c r="U231" t="s">
        <v>120</v>
      </c>
      <c r="V231" t="s">
        <v>120</v>
      </c>
      <c r="W231" t="s">
        <v>120</v>
      </c>
      <c r="X231" t="s">
        <v>120</v>
      </c>
      <c r="Y231" t="s">
        <v>120</v>
      </c>
      <c r="Z231" t="s">
        <v>120</v>
      </c>
      <c r="AA231" t="s">
        <v>120</v>
      </c>
      <c r="AB231" t="s">
        <v>120</v>
      </c>
      <c r="AC231" t="s">
        <v>120</v>
      </c>
      <c r="AD231" t="s">
        <v>120</v>
      </c>
      <c r="AE231" t="s">
        <v>120</v>
      </c>
      <c r="AF231" t="s">
        <v>120</v>
      </c>
      <c r="AG231" t="s">
        <v>120</v>
      </c>
      <c r="AH231" t="s">
        <v>120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4800</v>
      </c>
      <c r="AP231">
        <v>0</v>
      </c>
      <c r="AQ231">
        <v>0</v>
      </c>
      <c r="AR231">
        <v>81</v>
      </c>
      <c r="AS231">
        <v>0</v>
      </c>
    </row>
    <row r="232" spans="1:45" x14ac:dyDescent="0.25">
      <c r="A232" t="s">
        <v>663</v>
      </c>
      <c r="B232" t="s">
        <v>664</v>
      </c>
      <c r="C232" t="s">
        <v>255</v>
      </c>
      <c r="D232" t="s">
        <v>640</v>
      </c>
      <c r="E232" t="s">
        <v>120</v>
      </c>
      <c r="F232" t="s">
        <v>120</v>
      </c>
      <c r="G232" t="s">
        <v>120</v>
      </c>
      <c r="I232" t="s">
        <v>120</v>
      </c>
      <c r="J232" t="s">
        <v>120</v>
      </c>
      <c r="K232" t="s">
        <v>120</v>
      </c>
      <c r="L232" t="s">
        <v>120</v>
      </c>
      <c r="M232" t="s">
        <v>120</v>
      </c>
      <c r="N232" t="s">
        <v>120</v>
      </c>
      <c r="O232" t="s">
        <v>120</v>
      </c>
      <c r="P232" t="s">
        <v>120</v>
      </c>
      <c r="Q232" t="s">
        <v>120</v>
      </c>
      <c r="R232" t="s">
        <v>120</v>
      </c>
      <c r="S232" t="s">
        <v>120</v>
      </c>
      <c r="T232" t="s">
        <v>120</v>
      </c>
      <c r="U232" t="s">
        <v>120</v>
      </c>
      <c r="V232" t="s">
        <v>120</v>
      </c>
      <c r="W232" t="s">
        <v>120</v>
      </c>
      <c r="X232" t="s">
        <v>120</v>
      </c>
      <c r="Y232" t="s">
        <v>120</v>
      </c>
      <c r="Z232" t="s">
        <v>120</v>
      </c>
      <c r="AA232" t="s">
        <v>120</v>
      </c>
      <c r="AB232" t="s">
        <v>120</v>
      </c>
      <c r="AC232" t="s">
        <v>120</v>
      </c>
      <c r="AD232" t="s">
        <v>120</v>
      </c>
      <c r="AE232" t="s">
        <v>120</v>
      </c>
      <c r="AF232" t="s">
        <v>120</v>
      </c>
      <c r="AG232" t="s">
        <v>120</v>
      </c>
      <c r="AH232" t="s">
        <v>120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4800</v>
      </c>
      <c r="AP232">
        <v>0</v>
      </c>
      <c r="AQ232">
        <v>0</v>
      </c>
      <c r="AR232">
        <v>81</v>
      </c>
      <c r="AS232">
        <v>0</v>
      </c>
    </row>
    <row r="233" spans="1:45" x14ac:dyDescent="0.25">
      <c r="A233" t="s">
        <v>665</v>
      </c>
      <c r="B233" t="s">
        <v>666</v>
      </c>
      <c r="C233" t="s">
        <v>255</v>
      </c>
      <c r="D233" t="s">
        <v>640</v>
      </c>
      <c r="E233" t="s">
        <v>120</v>
      </c>
      <c r="F233" t="s">
        <v>120</v>
      </c>
      <c r="G233" t="s">
        <v>120</v>
      </c>
      <c r="H233" t="s">
        <v>120</v>
      </c>
      <c r="I233" t="s">
        <v>120</v>
      </c>
      <c r="J233" t="s">
        <v>120</v>
      </c>
      <c r="K233" t="s">
        <v>120</v>
      </c>
      <c r="L233" t="s">
        <v>120</v>
      </c>
      <c r="M233" t="s">
        <v>120</v>
      </c>
      <c r="N233" t="s">
        <v>120</v>
      </c>
      <c r="O233" t="s">
        <v>120</v>
      </c>
      <c r="P233" t="s">
        <v>120</v>
      </c>
      <c r="Q233" t="s">
        <v>120</v>
      </c>
      <c r="R233" t="s">
        <v>120</v>
      </c>
      <c r="S233" t="s">
        <v>120</v>
      </c>
      <c r="T233" t="s">
        <v>120</v>
      </c>
      <c r="U233" t="s">
        <v>120</v>
      </c>
      <c r="V233" t="s">
        <v>120</v>
      </c>
      <c r="W233" t="s">
        <v>120</v>
      </c>
      <c r="X233" t="s">
        <v>120</v>
      </c>
      <c r="Y233" t="s">
        <v>120</v>
      </c>
      <c r="Z233" t="s">
        <v>120</v>
      </c>
      <c r="AA233" t="s">
        <v>120</v>
      </c>
      <c r="AB233" t="s">
        <v>120</v>
      </c>
      <c r="AC233" t="s">
        <v>120</v>
      </c>
      <c r="AD233" t="s">
        <v>120</v>
      </c>
      <c r="AE233" t="s">
        <v>120</v>
      </c>
      <c r="AF233" t="s">
        <v>120</v>
      </c>
      <c r="AG233" t="s">
        <v>120</v>
      </c>
      <c r="AH233" t="s">
        <v>120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4800</v>
      </c>
      <c r="AP233">
        <v>0</v>
      </c>
      <c r="AQ233">
        <v>0</v>
      </c>
      <c r="AR233">
        <v>81</v>
      </c>
      <c r="AS233">
        <v>0</v>
      </c>
    </row>
    <row r="234" spans="1:45" x14ac:dyDescent="0.25">
      <c r="A234" t="s">
        <v>667</v>
      </c>
      <c r="B234" t="s">
        <v>668</v>
      </c>
      <c r="C234" t="s">
        <v>255</v>
      </c>
      <c r="D234" t="s">
        <v>640</v>
      </c>
      <c r="E234" t="s">
        <v>120</v>
      </c>
      <c r="F234" t="s">
        <v>120</v>
      </c>
      <c r="G234" t="s">
        <v>120</v>
      </c>
      <c r="H234" t="s">
        <v>120</v>
      </c>
      <c r="I234" t="s">
        <v>120</v>
      </c>
      <c r="J234" t="s">
        <v>120</v>
      </c>
      <c r="K234" t="s">
        <v>120</v>
      </c>
      <c r="L234" t="s">
        <v>120</v>
      </c>
      <c r="M234" t="s">
        <v>120</v>
      </c>
      <c r="N234" t="s">
        <v>120</v>
      </c>
      <c r="O234" t="s">
        <v>120</v>
      </c>
      <c r="P234" t="s">
        <v>120</v>
      </c>
      <c r="Q234" t="s">
        <v>120</v>
      </c>
      <c r="R234" t="s">
        <v>120</v>
      </c>
      <c r="S234" t="s">
        <v>120</v>
      </c>
      <c r="T234" t="s">
        <v>120</v>
      </c>
      <c r="U234" t="s">
        <v>120</v>
      </c>
      <c r="V234" t="s">
        <v>120</v>
      </c>
      <c r="W234" t="s">
        <v>120</v>
      </c>
      <c r="X234" t="s">
        <v>120</v>
      </c>
      <c r="Y234" t="s">
        <v>120</v>
      </c>
      <c r="Z234" t="s">
        <v>120</v>
      </c>
      <c r="AA234" t="s">
        <v>120</v>
      </c>
      <c r="AB234" t="s">
        <v>120</v>
      </c>
      <c r="AC234" t="s">
        <v>120</v>
      </c>
      <c r="AD234" t="s">
        <v>120</v>
      </c>
      <c r="AE234" t="s">
        <v>120</v>
      </c>
      <c r="AF234" t="s">
        <v>120</v>
      </c>
      <c r="AG234" t="s">
        <v>120</v>
      </c>
      <c r="AH234" t="s">
        <v>120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4800</v>
      </c>
      <c r="AP234">
        <v>0</v>
      </c>
      <c r="AQ234">
        <v>0</v>
      </c>
      <c r="AR234">
        <v>81</v>
      </c>
      <c r="AS234">
        <v>0</v>
      </c>
    </row>
    <row r="235" spans="1:45" x14ac:dyDescent="0.25">
      <c r="A235" t="s">
        <v>669</v>
      </c>
      <c r="B235" t="s">
        <v>670</v>
      </c>
      <c r="C235" t="s">
        <v>255</v>
      </c>
      <c r="D235" t="s">
        <v>640</v>
      </c>
      <c r="E235" t="s">
        <v>120</v>
      </c>
      <c r="F235" t="s">
        <v>120</v>
      </c>
      <c r="G235" t="s">
        <v>120</v>
      </c>
      <c r="H235" t="s">
        <v>120</v>
      </c>
      <c r="I235" t="s">
        <v>120</v>
      </c>
      <c r="J235" t="s">
        <v>120</v>
      </c>
      <c r="K235" t="s">
        <v>120</v>
      </c>
      <c r="L235" t="s">
        <v>120</v>
      </c>
      <c r="M235" t="s">
        <v>645</v>
      </c>
      <c r="N235" t="s">
        <v>120</v>
      </c>
      <c r="O235" t="s">
        <v>120</v>
      </c>
      <c r="P235" t="s">
        <v>120</v>
      </c>
      <c r="Q235" t="s">
        <v>120</v>
      </c>
      <c r="R235" t="s">
        <v>120</v>
      </c>
      <c r="S235" t="s">
        <v>120</v>
      </c>
      <c r="T235" t="s">
        <v>120</v>
      </c>
      <c r="U235" t="s">
        <v>120</v>
      </c>
      <c r="V235" t="s">
        <v>120</v>
      </c>
      <c r="W235" t="s">
        <v>120</v>
      </c>
      <c r="X235" t="s">
        <v>120</v>
      </c>
      <c r="Y235" t="s">
        <v>120</v>
      </c>
      <c r="Z235" t="s">
        <v>120</v>
      </c>
      <c r="AA235" t="s">
        <v>120</v>
      </c>
      <c r="AB235" t="s">
        <v>120</v>
      </c>
      <c r="AC235" t="s">
        <v>120</v>
      </c>
      <c r="AD235" t="s">
        <v>120</v>
      </c>
      <c r="AE235" t="s">
        <v>120</v>
      </c>
      <c r="AF235" t="s">
        <v>120</v>
      </c>
      <c r="AG235" t="s">
        <v>120</v>
      </c>
      <c r="AH235" t="s">
        <v>85</v>
      </c>
      <c r="AJ235">
        <v>0</v>
      </c>
      <c r="AK235">
        <v>9</v>
      </c>
      <c r="AL235">
        <v>9</v>
      </c>
      <c r="AM235">
        <v>0</v>
      </c>
      <c r="AN235">
        <v>0</v>
      </c>
      <c r="AO235">
        <v>4800</v>
      </c>
      <c r="AP235">
        <v>9</v>
      </c>
      <c r="AQ235">
        <v>0</v>
      </c>
      <c r="AR235">
        <v>81</v>
      </c>
      <c r="AS235">
        <v>540</v>
      </c>
    </row>
    <row r="236" spans="1:45" s="23" customFormat="1" x14ac:dyDescent="0.25">
      <c r="A236" s="23" t="s">
        <v>671</v>
      </c>
      <c r="B236" s="23" t="s">
        <v>672</v>
      </c>
      <c r="C236" s="23" t="s">
        <v>255</v>
      </c>
      <c r="D236" s="23" t="s">
        <v>640</v>
      </c>
      <c r="E236" s="23" t="s">
        <v>120</v>
      </c>
      <c r="F236" s="23" t="s">
        <v>120</v>
      </c>
      <c r="G236" s="23" t="s">
        <v>120</v>
      </c>
      <c r="H236" s="23" t="s">
        <v>120</v>
      </c>
      <c r="I236" s="23" t="s">
        <v>120</v>
      </c>
      <c r="J236" s="23" t="s">
        <v>120</v>
      </c>
      <c r="L236" s="23" t="s">
        <v>120</v>
      </c>
      <c r="M236" s="23" t="s">
        <v>120</v>
      </c>
      <c r="N236" s="23" t="s">
        <v>120</v>
      </c>
      <c r="O236" s="23" t="s">
        <v>120</v>
      </c>
      <c r="P236" s="23" t="s">
        <v>120</v>
      </c>
      <c r="Q236" s="23" t="s">
        <v>120</v>
      </c>
      <c r="R236" s="23" t="s">
        <v>120</v>
      </c>
      <c r="S236" s="23" t="s">
        <v>120</v>
      </c>
      <c r="T236" s="23" t="s">
        <v>120</v>
      </c>
      <c r="U236" s="23" t="s">
        <v>120</v>
      </c>
      <c r="V236" s="23" t="s">
        <v>120</v>
      </c>
      <c r="W236" s="23" t="s">
        <v>120</v>
      </c>
      <c r="X236" s="23" t="s">
        <v>120</v>
      </c>
      <c r="Y236" s="23" t="s">
        <v>120</v>
      </c>
      <c r="Z236" s="23" t="s">
        <v>120</v>
      </c>
      <c r="AA236" s="23" t="s">
        <v>120</v>
      </c>
      <c r="AB236" s="23" t="s">
        <v>120</v>
      </c>
      <c r="AC236" s="23" t="s">
        <v>120</v>
      </c>
      <c r="AD236" s="23" t="s">
        <v>120</v>
      </c>
      <c r="AE236" s="23" t="s">
        <v>120</v>
      </c>
      <c r="AF236" s="23" t="s">
        <v>120</v>
      </c>
      <c r="AG236" s="23" t="s">
        <v>120</v>
      </c>
      <c r="AH236" s="23" t="s">
        <v>120</v>
      </c>
      <c r="AJ236" s="23">
        <v>0</v>
      </c>
      <c r="AK236" s="23">
        <v>0</v>
      </c>
      <c r="AL236" s="23">
        <v>0</v>
      </c>
      <c r="AM236" s="23">
        <v>0</v>
      </c>
      <c r="AN236" s="23">
        <v>0</v>
      </c>
      <c r="AO236" s="23">
        <v>4800</v>
      </c>
      <c r="AP236" s="23">
        <v>0</v>
      </c>
      <c r="AQ236" s="23">
        <v>0</v>
      </c>
      <c r="AR236" s="23">
        <v>81</v>
      </c>
      <c r="AS236" s="23">
        <v>0</v>
      </c>
    </row>
    <row r="237" spans="1:45" s="23" customFormat="1" x14ac:dyDescent="0.25">
      <c r="A237" s="23" t="s">
        <v>673</v>
      </c>
      <c r="B237" s="23" t="s">
        <v>674</v>
      </c>
      <c r="C237" s="23" t="s">
        <v>255</v>
      </c>
      <c r="D237" s="23" t="s">
        <v>640</v>
      </c>
      <c r="E237" s="23" t="s">
        <v>120</v>
      </c>
      <c r="F237" s="23" t="s">
        <v>120</v>
      </c>
      <c r="G237" s="23" t="s">
        <v>120</v>
      </c>
      <c r="H237" s="23" t="s">
        <v>120</v>
      </c>
      <c r="I237" s="23" t="s">
        <v>120</v>
      </c>
      <c r="J237" s="23" t="s">
        <v>120</v>
      </c>
      <c r="K237" s="23" t="s">
        <v>120</v>
      </c>
      <c r="L237" s="23" t="s">
        <v>120</v>
      </c>
      <c r="M237" s="23" t="s">
        <v>120</v>
      </c>
      <c r="N237" s="23" t="s">
        <v>120</v>
      </c>
      <c r="P237" s="23" t="s">
        <v>120</v>
      </c>
      <c r="Q237" s="23" t="s">
        <v>120</v>
      </c>
      <c r="R237" s="23" t="s">
        <v>120</v>
      </c>
      <c r="S237" s="23" t="s">
        <v>120</v>
      </c>
      <c r="T237" s="23" t="s">
        <v>120</v>
      </c>
      <c r="U237" s="23" t="s">
        <v>120</v>
      </c>
      <c r="V237" s="23" t="s">
        <v>120</v>
      </c>
      <c r="W237" s="23" t="s">
        <v>120</v>
      </c>
      <c r="X237" s="23" t="s">
        <v>120</v>
      </c>
      <c r="Y237" s="23" t="s">
        <v>120</v>
      </c>
      <c r="Z237" s="23" t="s">
        <v>120</v>
      </c>
      <c r="AA237" s="23" t="s">
        <v>120</v>
      </c>
      <c r="AB237" s="23" t="s">
        <v>120</v>
      </c>
      <c r="AC237" s="23" t="s">
        <v>120</v>
      </c>
      <c r="AD237" s="23" t="s">
        <v>120</v>
      </c>
      <c r="AE237" s="23" t="s">
        <v>120</v>
      </c>
      <c r="AF237" s="23" t="s">
        <v>120</v>
      </c>
      <c r="AG237" s="23" t="s">
        <v>120</v>
      </c>
      <c r="AH237" s="23" t="s">
        <v>323</v>
      </c>
      <c r="AJ237" s="23">
        <v>0</v>
      </c>
      <c r="AK237" s="23">
        <v>1</v>
      </c>
      <c r="AL237" s="23">
        <v>0</v>
      </c>
      <c r="AM237" s="23">
        <v>1</v>
      </c>
      <c r="AN237" s="23">
        <v>0</v>
      </c>
      <c r="AO237" s="23">
        <v>4800</v>
      </c>
      <c r="AP237" s="23">
        <v>1</v>
      </c>
      <c r="AQ237" s="23">
        <v>0</v>
      </c>
      <c r="AR237" s="23">
        <v>81</v>
      </c>
      <c r="AS237" s="23">
        <v>60</v>
      </c>
    </row>
    <row r="238" spans="1:45" s="23" customFormat="1" x14ac:dyDescent="0.25">
      <c r="A238" s="23" t="s">
        <v>675</v>
      </c>
      <c r="B238" s="23" t="s">
        <v>676</v>
      </c>
      <c r="C238" s="23" t="s">
        <v>255</v>
      </c>
      <c r="D238" s="23" t="s">
        <v>640</v>
      </c>
      <c r="E238" s="23" t="s">
        <v>120</v>
      </c>
      <c r="F238" s="23" t="s">
        <v>120</v>
      </c>
      <c r="G238" s="23" t="s">
        <v>120</v>
      </c>
      <c r="H238" s="23" t="s">
        <v>120</v>
      </c>
      <c r="I238" s="23" t="s">
        <v>120</v>
      </c>
      <c r="J238" s="23" t="s">
        <v>120</v>
      </c>
      <c r="K238" s="23" t="s">
        <v>120</v>
      </c>
      <c r="L238" s="23" t="s">
        <v>120</v>
      </c>
      <c r="M238" s="23" t="s">
        <v>120</v>
      </c>
      <c r="N238" s="23" t="s">
        <v>120</v>
      </c>
      <c r="O238" s="23" t="s">
        <v>120</v>
      </c>
      <c r="P238" s="23" t="s">
        <v>120</v>
      </c>
      <c r="Q238" s="23" t="s">
        <v>120</v>
      </c>
      <c r="R238" s="23" t="s">
        <v>120</v>
      </c>
      <c r="S238" s="23" t="s">
        <v>120</v>
      </c>
      <c r="T238" s="23" t="s">
        <v>120</v>
      </c>
      <c r="U238" s="23" t="s">
        <v>120</v>
      </c>
      <c r="V238" s="23" t="s">
        <v>120</v>
      </c>
      <c r="W238" s="23" t="s">
        <v>120</v>
      </c>
      <c r="X238" s="23" t="s">
        <v>120</v>
      </c>
      <c r="Y238" s="23" t="s">
        <v>120</v>
      </c>
      <c r="Z238" s="23" t="s">
        <v>120</v>
      </c>
      <c r="AA238" s="23" t="s">
        <v>120</v>
      </c>
      <c r="AB238" s="23" t="s">
        <v>120</v>
      </c>
      <c r="AC238" s="23" t="s">
        <v>120</v>
      </c>
      <c r="AD238" s="23" t="s">
        <v>120</v>
      </c>
      <c r="AE238" s="23" t="s">
        <v>120</v>
      </c>
      <c r="AF238" s="23" t="s">
        <v>120</v>
      </c>
      <c r="AG238" s="23" t="s">
        <v>120</v>
      </c>
      <c r="AH238" s="23" t="s">
        <v>120</v>
      </c>
      <c r="AJ238" s="23">
        <v>0</v>
      </c>
      <c r="AK238" s="23">
        <v>0</v>
      </c>
      <c r="AL238" s="23">
        <v>0</v>
      </c>
      <c r="AM238" s="23">
        <v>0</v>
      </c>
      <c r="AN238" s="23">
        <v>0</v>
      </c>
      <c r="AO238" s="23">
        <v>4800</v>
      </c>
      <c r="AP238" s="23">
        <v>0</v>
      </c>
      <c r="AQ238" s="23">
        <v>0</v>
      </c>
      <c r="AR238" s="23">
        <v>81</v>
      </c>
      <c r="AS238" s="23">
        <v>0</v>
      </c>
    </row>
    <row r="239" spans="1:45" x14ac:dyDescent="0.25">
      <c r="A239" t="s">
        <v>677</v>
      </c>
      <c r="B239" t="s">
        <v>678</v>
      </c>
      <c r="C239" t="s">
        <v>255</v>
      </c>
      <c r="D239" t="s">
        <v>640</v>
      </c>
      <c r="E239" t="s">
        <v>120</v>
      </c>
      <c r="F239" t="s">
        <v>120</v>
      </c>
      <c r="G239" t="s">
        <v>120</v>
      </c>
      <c r="H239" t="s">
        <v>120</v>
      </c>
      <c r="I239" t="s">
        <v>120</v>
      </c>
      <c r="J239" t="s">
        <v>120</v>
      </c>
      <c r="K239" t="s">
        <v>120</v>
      </c>
      <c r="L239" t="s">
        <v>120</v>
      </c>
      <c r="M239" t="s">
        <v>120</v>
      </c>
      <c r="N239" t="s">
        <v>120</v>
      </c>
      <c r="O239" t="s">
        <v>120</v>
      </c>
      <c r="P239" t="s">
        <v>120</v>
      </c>
      <c r="Q239" t="s">
        <v>120</v>
      </c>
      <c r="R239" t="s">
        <v>120</v>
      </c>
      <c r="S239" t="s">
        <v>120</v>
      </c>
      <c r="T239" t="s">
        <v>120</v>
      </c>
      <c r="U239" t="s">
        <v>120</v>
      </c>
      <c r="V239" t="s">
        <v>120</v>
      </c>
      <c r="W239" t="s">
        <v>120</v>
      </c>
      <c r="X239" t="s">
        <v>120</v>
      </c>
      <c r="Y239" t="s">
        <v>120</v>
      </c>
      <c r="Z239" t="s">
        <v>120</v>
      </c>
      <c r="AA239" t="s">
        <v>120</v>
      </c>
      <c r="AB239" t="s">
        <v>120</v>
      </c>
      <c r="AC239" t="s">
        <v>120</v>
      </c>
      <c r="AD239" t="s">
        <v>120</v>
      </c>
      <c r="AE239" t="s">
        <v>120</v>
      </c>
      <c r="AF239" t="s">
        <v>120</v>
      </c>
      <c r="AG239" t="s">
        <v>120</v>
      </c>
      <c r="AH239" t="s">
        <v>95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4800</v>
      </c>
      <c r="AP239">
        <v>0</v>
      </c>
      <c r="AQ239">
        <v>0</v>
      </c>
      <c r="AR239">
        <v>81</v>
      </c>
      <c r="AS239">
        <v>0</v>
      </c>
    </row>
    <row r="240" spans="1:45" x14ac:dyDescent="0.25">
      <c r="A240" t="s">
        <v>679</v>
      </c>
      <c r="B240" t="s">
        <v>680</v>
      </c>
      <c r="C240" t="s">
        <v>255</v>
      </c>
      <c r="D240" t="s">
        <v>640</v>
      </c>
      <c r="F240" t="s">
        <v>120</v>
      </c>
      <c r="G240" t="s">
        <v>120</v>
      </c>
      <c r="H240" t="s">
        <v>120</v>
      </c>
      <c r="I240" t="s">
        <v>120</v>
      </c>
      <c r="J240" t="s">
        <v>120</v>
      </c>
      <c r="K240" t="s">
        <v>120</v>
      </c>
      <c r="L240" t="s">
        <v>120</v>
      </c>
      <c r="M240" t="s">
        <v>120</v>
      </c>
      <c r="N240" t="s">
        <v>120</v>
      </c>
      <c r="O240" t="s">
        <v>120</v>
      </c>
      <c r="P240" t="s">
        <v>120</v>
      </c>
      <c r="Q240" t="s">
        <v>120</v>
      </c>
      <c r="R240" t="s">
        <v>120</v>
      </c>
      <c r="S240" t="s">
        <v>120</v>
      </c>
      <c r="T240" t="s">
        <v>120</v>
      </c>
      <c r="U240" t="s">
        <v>120</v>
      </c>
      <c r="V240" t="s">
        <v>120</v>
      </c>
      <c r="W240" t="s">
        <v>120</v>
      </c>
      <c r="X240" t="s">
        <v>120</v>
      </c>
      <c r="Y240" t="s">
        <v>120</v>
      </c>
      <c r="Z240" t="s">
        <v>120</v>
      </c>
      <c r="AA240" t="s">
        <v>120</v>
      </c>
      <c r="AB240" t="s">
        <v>120</v>
      </c>
      <c r="AC240" t="s">
        <v>120</v>
      </c>
      <c r="AD240" t="s">
        <v>120</v>
      </c>
      <c r="AE240" t="s">
        <v>120</v>
      </c>
      <c r="AF240" t="s">
        <v>120</v>
      </c>
      <c r="AG240" t="s">
        <v>120</v>
      </c>
      <c r="AH240" t="s">
        <v>326</v>
      </c>
      <c r="AJ240">
        <v>0</v>
      </c>
      <c r="AK240">
        <v>2</v>
      </c>
      <c r="AL240">
        <v>0</v>
      </c>
      <c r="AM240">
        <v>2</v>
      </c>
      <c r="AN240">
        <v>0</v>
      </c>
      <c r="AO240">
        <v>4800</v>
      </c>
      <c r="AP240">
        <v>2</v>
      </c>
      <c r="AQ240">
        <v>0</v>
      </c>
      <c r="AR240">
        <v>81</v>
      </c>
      <c r="AS240">
        <v>120</v>
      </c>
    </row>
    <row r="241" spans="1:45" x14ac:dyDescent="0.25">
      <c r="A241" t="s">
        <v>681</v>
      </c>
      <c r="B241" t="s">
        <v>682</v>
      </c>
      <c r="C241" t="s">
        <v>255</v>
      </c>
      <c r="D241" t="s">
        <v>640</v>
      </c>
      <c r="E241" t="s">
        <v>120</v>
      </c>
      <c r="F241" t="s">
        <v>120</v>
      </c>
      <c r="G241" t="s">
        <v>120</v>
      </c>
      <c r="H241" t="s">
        <v>120</v>
      </c>
      <c r="I241" t="s">
        <v>120</v>
      </c>
      <c r="J241" t="s">
        <v>120</v>
      </c>
      <c r="K241" t="s">
        <v>120</v>
      </c>
      <c r="L241" t="s">
        <v>120</v>
      </c>
      <c r="M241" t="s">
        <v>120</v>
      </c>
      <c r="N241" t="s">
        <v>120</v>
      </c>
      <c r="O241" t="s">
        <v>120</v>
      </c>
      <c r="P241" t="s">
        <v>120</v>
      </c>
      <c r="Q241" t="s">
        <v>120</v>
      </c>
      <c r="R241" t="s">
        <v>120</v>
      </c>
      <c r="S241" t="s">
        <v>120</v>
      </c>
      <c r="T241" t="s">
        <v>120</v>
      </c>
      <c r="U241" t="s">
        <v>120</v>
      </c>
      <c r="V241" t="s">
        <v>120</v>
      </c>
      <c r="W241" t="s">
        <v>120</v>
      </c>
      <c r="X241" t="s">
        <v>120</v>
      </c>
      <c r="Y241" t="s">
        <v>120</v>
      </c>
      <c r="Z241" t="s">
        <v>120</v>
      </c>
      <c r="AB241" t="s">
        <v>120</v>
      </c>
      <c r="AC241" t="s">
        <v>120</v>
      </c>
      <c r="AD241" t="s">
        <v>120</v>
      </c>
      <c r="AE241" t="s">
        <v>120</v>
      </c>
      <c r="AF241" t="s">
        <v>120</v>
      </c>
      <c r="AG241" t="s">
        <v>120</v>
      </c>
      <c r="AH241" t="s">
        <v>120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4800</v>
      </c>
      <c r="AP241">
        <v>0</v>
      </c>
      <c r="AQ241">
        <v>0</v>
      </c>
      <c r="AR241">
        <v>81</v>
      </c>
      <c r="AS241">
        <v>0</v>
      </c>
    </row>
    <row r="242" spans="1:45" x14ac:dyDescent="0.25">
      <c r="A242" t="s">
        <v>683</v>
      </c>
      <c r="B242" t="s">
        <v>684</v>
      </c>
      <c r="C242" t="s">
        <v>255</v>
      </c>
      <c r="D242" t="s">
        <v>640</v>
      </c>
      <c r="E242" t="s">
        <v>120</v>
      </c>
      <c r="F242" t="s">
        <v>120</v>
      </c>
      <c r="G242" t="s">
        <v>120</v>
      </c>
      <c r="H242" t="s">
        <v>120</v>
      </c>
      <c r="I242" t="s">
        <v>120</v>
      </c>
      <c r="J242" t="s">
        <v>120</v>
      </c>
      <c r="K242" t="s">
        <v>120</v>
      </c>
      <c r="L242" t="s">
        <v>120</v>
      </c>
      <c r="M242" t="s">
        <v>120</v>
      </c>
      <c r="N242" t="s">
        <v>120</v>
      </c>
      <c r="O242" t="s">
        <v>120</v>
      </c>
      <c r="P242" t="s">
        <v>120</v>
      </c>
      <c r="Q242" t="s">
        <v>120</v>
      </c>
      <c r="R242" t="s">
        <v>120</v>
      </c>
      <c r="S242" t="s">
        <v>120</v>
      </c>
      <c r="T242" t="s">
        <v>120</v>
      </c>
      <c r="U242" t="s">
        <v>120</v>
      </c>
      <c r="V242" t="s">
        <v>120</v>
      </c>
      <c r="W242" t="s">
        <v>120</v>
      </c>
      <c r="X242" t="s">
        <v>120</v>
      </c>
      <c r="Y242" t="s">
        <v>120</v>
      </c>
      <c r="Z242" t="s">
        <v>120</v>
      </c>
      <c r="AA242" t="s">
        <v>120</v>
      </c>
      <c r="AB242" t="s">
        <v>120</v>
      </c>
      <c r="AC242" t="s">
        <v>120</v>
      </c>
      <c r="AD242" t="s">
        <v>120</v>
      </c>
      <c r="AE242" t="s">
        <v>120</v>
      </c>
      <c r="AF242" t="s">
        <v>120</v>
      </c>
      <c r="AG242" t="s">
        <v>120</v>
      </c>
      <c r="AH242" t="s">
        <v>69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4800</v>
      </c>
      <c r="AP242">
        <v>0</v>
      </c>
      <c r="AQ242">
        <v>0</v>
      </c>
      <c r="AR242">
        <v>81</v>
      </c>
      <c r="AS242">
        <v>0</v>
      </c>
    </row>
    <row r="243" spans="1:45" x14ac:dyDescent="0.25">
      <c r="A243" t="s">
        <v>685</v>
      </c>
      <c r="B243" t="s">
        <v>686</v>
      </c>
      <c r="C243" t="s">
        <v>255</v>
      </c>
      <c r="D243" t="s">
        <v>640</v>
      </c>
      <c r="E243" t="s">
        <v>124</v>
      </c>
      <c r="F243" t="s">
        <v>120</v>
      </c>
      <c r="G243" t="s">
        <v>120</v>
      </c>
      <c r="H243" t="s">
        <v>120</v>
      </c>
      <c r="I243" t="s">
        <v>120</v>
      </c>
      <c r="J243" t="s">
        <v>120</v>
      </c>
      <c r="K243" t="s">
        <v>120</v>
      </c>
      <c r="L243" t="s">
        <v>120</v>
      </c>
      <c r="M243" t="s">
        <v>120</v>
      </c>
      <c r="N243" t="s">
        <v>120</v>
      </c>
      <c r="O243" t="s">
        <v>120</v>
      </c>
      <c r="P243" t="s">
        <v>120</v>
      </c>
      <c r="Q243" t="s">
        <v>120</v>
      </c>
      <c r="R243" t="s">
        <v>120</v>
      </c>
      <c r="S243" t="s">
        <v>120</v>
      </c>
      <c r="T243" t="s">
        <v>120</v>
      </c>
      <c r="U243" t="s">
        <v>120</v>
      </c>
      <c r="V243" t="s">
        <v>120</v>
      </c>
      <c r="W243" t="s">
        <v>120</v>
      </c>
      <c r="X243" t="s">
        <v>120</v>
      </c>
      <c r="Y243" t="s">
        <v>120</v>
      </c>
      <c r="Z243" t="s">
        <v>120</v>
      </c>
      <c r="AA243" t="s">
        <v>120</v>
      </c>
      <c r="AB243" t="s">
        <v>120</v>
      </c>
      <c r="AC243" t="s">
        <v>120</v>
      </c>
      <c r="AD243" t="s">
        <v>120</v>
      </c>
      <c r="AE243" t="s">
        <v>120</v>
      </c>
      <c r="AF243" t="s">
        <v>120</v>
      </c>
      <c r="AG243" t="s">
        <v>120</v>
      </c>
      <c r="AH243" t="s">
        <v>120</v>
      </c>
      <c r="AJ243">
        <v>0</v>
      </c>
      <c r="AK243">
        <v>4</v>
      </c>
      <c r="AL243">
        <v>0</v>
      </c>
      <c r="AM243">
        <v>4</v>
      </c>
      <c r="AN243">
        <v>0</v>
      </c>
      <c r="AO243">
        <v>4800</v>
      </c>
      <c r="AP243">
        <v>4</v>
      </c>
      <c r="AQ243">
        <v>0</v>
      </c>
      <c r="AR243">
        <v>81</v>
      </c>
      <c r="AS243">
        <v>240</v>
      </c>
    </row>
    <row r="244" spans="1:45" x14ac:dyDescent="0.25">
      <c r="A244" t="s">
        <v>687</v>
      </c>
      <c r="B244" t="s">
        <v>688</v>
      </c>
      <c r="C244" t="s">
        <v>255</v>
      </c>
      <c r="D244" t="s">
        <v>640</v>
      </c>
      <c r="E244" t="s">
        <v>120</v>
      </c>
      <c r="F244" t="s">
        <v>120</v>
      </c>
      <c r="G244" t="s">
        <v>120</v>
      </c>
      <c r="H244" t="s">
        <v>120</v>
      </c>
      <c r="I244" t="s">
        <v>120</v>
      </c>
      <c r="J244" t="s">
        <v>120</v>
      </c>
      <c r="K244" t="s">
        <v>120</v>
      </c>
      <c r="L244" t="s">
        <v>120</v>
      </c>
      <c r="M244" t="s">
        <v>120</v>
      </c>
      <c r="N244" t="s">
        <v>120</v>
      </c>
      <c r="P244" t="s">
        <v>120</v>
      </c>
      <c r="Q244" t="s">
        <v>120</v>
      </c>
      <c r="R244" t="s">
        <v>120</v>
      </c>
      <c r="S244" t="s">
        <v>120</v>
      </c>
      <c r="T244" t="s">
        <v>120</v>
      </c>
      <c r="U244" t="s">
        <v>120</v>
      </c>
      <c r="V244" t="s">
        <v>120</v>
      </c>
      <c r="W244" t="s">
        <v>120</v>
      </c>
      <c r="X244" t="s">
        <v>120</v>
      </c>
      <c r="Y244" t="s">
        <v>141</v>
      </c>
      <c r="Z244" t="s">
        <v>120</v>
      </c>
      <c r="AA244" t="s">
        <v>120</v>
      </c>
      <c r="AB244" t="s">
        <v>120</v>
      </c>
      <c r="AC244" t="s">
        <v>120</v>
      </c>
      <c r="AD244" t="s">
        <v>120</v>
      </c>
      <c r="AE244" t="s">
        <v>120</v>
      </c>
      <c r="AF244" t="s">
        <v>120</v>
      </c>
      <c r="AG244" t="s">
        <v>120</v>
      </c>
      <c r="AH244" t="s">
        <v>689</v>
      </c>
      <c r="AJ244">
        <v>0</v>
      </c>
      <c r="AK244">
        <v>8</v>
      </c>
      <c r="AL244">
        <v>8</v>
      </c>
      <c r="AM244">
        <v>0</v>
      </c>
      <c r="AN244">
        <v>0</v>
      </c>
      <c r="AO244">
        <v>4800</v>
      </c>
      <c r="AP244">
        <v>8</v>
      </c>
      <c r="AQ244">
        <v>0</v>
      </c>
      <c r="AR244">
        <v>81</v>
      </c>
      <c r="AS244">
        <v>480</v>
      </c>
    </row>
    <row r="245" spans="1:45" x14ac:dyDescent="0.25">
      <c r="A245" t="s">
        <v>690</v>
      </c>
      <c r="B245" t="s">
        <v>691</v>
      </c>
      <c r="C245" t="s">
        <v>639</v>
      </c>
      <c r="D245" t="s">
        <v>640</v>
      </c>
      <c r="E245" t="s">
        <v>120</v>
      </c>
      <c r="F245" t="s">
        <v>120</v>
      </c>
      <c r="G245" t="s">
        <v>120</v>
      </c>
      <c r="H245" t="s">
        <v>120</v>
      </c>
      <c r="I245" t="s">
        <v>120</v>
      </c>
      <c r="J245" t="s">
        <v>120</v>
      </c>
      <c r="K245" t="s">
        <v>120</v>
      </c>
      <c r="L245" t="s">
        <v>120</v>
      </c>
      <c r="M245" t="s">
        <v>120</v>
      </c>
      <c r="N245" t="s">
        <v>120</v>
      </c>
      <c r="O245" t="s">
        <v>120</v>
      </c>
      <c r="P245" t="s">
        <v>120</v>
      </c>
      <c r="Q245" t="s">
        <v>120</v>
      </c>
      <c r="R245" t="s">
        <v>120</v>
      </c>
      <c r="S245" t="s">
        <v>120</v>
      </c>
      <c r="T245" t="s">
        <v>120</v>
      </c>
      <c r="U245" t="s">
        <v>120</v>
      </c>
      <c r="V245" t="s">
        <v>120</v>
      </c>
      <c r="W245" t="s">
        <v>120</v>
      </c>
      <c r="X245" t="s">
        <v>120</v>
      </c>
      <c r="Y245" t="s">
        <v>141</v>
      </c>
      <c r="Z245" t="s">
        <v>120</v>
      </c>
      <c r="AA245" t="s">
        <v>120</v>
      </c>
      <c r="AB245" t="s">
        <v>120</v>
      </c>
      <c r="AC245" t="s">
        <v>120</v>
      </c>
      <c r="AD245" t="s">
        <v>120</v>
      </c>
      <c r="AE245" t="s">
        <v>120</v>
      </c>
      <c r="AF245" t="s">
        <v>120</v>
      </c>
      <c r="AG245" t="s">
        <v>120</v>
      </c>
      <c r="AH245" t="s">
        <v>69</v>
      </c>
      <c r="AJ245">
        <v>0</v>
      </c>
      <c r="AK245">
        <v>8</v>
      </c>
      <c r="AL245">
        <v>8</v>
      </c>
      <c r="AM245">
        <v>0</v>
      </c>
      <c r="AN245">
        <v>0</v>
      </c>
      <c r="AO245">
        <v>4800</v>
      </c>
      <c r="AP245">
        <v>8</v>
      </c>
      <c r="AQ245">
        <v>0</v>
      </c>
      <c r="AR245">
        <v>81</v>
      </c>
      <c r="AS245">
        <v>480</v>
      </c>
    </row>
    <row r="246" spans="1:45" x14ac:dyDescent="0.25">
      <c r="A246" t="s">
        <v>692</v>
      </c>
      <c r="B246" t="s">
        <v>693</v>
      </c>
      <c r="C246" t="s">
        <v>255</v>
      </c>
      <c r="D246" t="s">
        <v>640</v>
      </c>
      <c r="E246" t="s">
        <v>120</v>
      </c>
      <c r="F246" t="s">
        <v>120</v>
      </c>
      <c r="G246" t="s">
        <v>120</v>
      </c>
      <c r="H246" t="s">
        <v>120</v>
      </c>
      <c r="I246" t="s">
        <v>120</v>
      </c>
      <c r="J246" t="s">
        <v>120</v>
      </c>
      <c r="K246" t="s">
        <v>120</v>
      </c>
      <c r="L246" t="s">
        <v>120</v>
      </c>
      <c r="M246" t="s">
        <v>120</v>
      </c>
      <c r="N246" t="s">
        <v>120</v>
      </c>
      <c r="O246" t="s">
        <v>120</v>
      </c>
      <c r="P246" t="s">
        <v>120</v>
      </c>
      <c r="Q246" t="s">
        <v>120</v>
      </c>
      <c r="R246" t="s">
        <v>120</v>
      </c>
      <c r="S246" t="s">
        <v>120</v>
      </c>
      <c r="T246" t="s">
        <v>120</v>
      </c>
      <c r="U246" t="s">
        <v>120</v>
      </c>
      <c r="V246" t="s">
        <v>120</v>
      </c>
      <c r="W246" t="s">
        <v>120</v>
      </c>
      <c r="X246" t="s">
        <v>120</v>
      </c>
      <c r="Y246" t="s">
        <v>141</v>
      </c>
      <c r="Z246" t="s">
        <v>120</v>
      </c>
      <c r="AA246" t="s">
        <v>120</v>
      </c>
      <c r="AB246" t="s">
        <v>120</v>
      </c>
      <c r="AC246" t="s">
        <v>120</v>
      </c>
      <c r="AD246" t="s">
        <v>120</v>
      </c>
      <c r="AE246" t="s">
        <v>120</v>
      </c>
      <c r="AF246" t="s">
        <v>120</v>
      </c>
      <c r="AG246" t="s">
        <v>120</v>
      </c>
      <c r="AH246" t="s">
        <v>73</v>
      </c>
      <c r="AJ246">
        <v>0</v>
      </c>
      <c r="AK246">
        <v>8</v>
      </c>
      <c r="AL246">
        <v>8</v>
      </c>
      <c r="AM246">
        <v>0</v>
      </c>
      <c r="AN246">
        <v>0</v>
      </c>
      <c r="AO246">
        <v>4800</v>
      </c>
      <c r="AP246">
        <v>8</v>
      </c>
      <c r="AQ246">
        <v>0</v>
      </c>
      <c r="AR246">
        <v>81</v>
      </c>
      <c r="AS246">
        <v>480</v>
      </c>
    </row>
    <row r="247" spans="1:45" x14ac:dyDescent="0.25">
      <c r="A247" t="s">
        <v>694</v>
      </c>
      <c r="B247" t="s">
        <v>695</v>
      </c>
      <c r="C247" t="s">
        <v>255</v>
      </c>
      <c r="D247" t="s">
        <v>640</v>
      </c>
      <c r="E247" t="s">
        <v>120</v>
      </c>
      <c r="F247" t="s">
        <v>120</v>
      </c>
      <c r="G247" t="s">
        <v>120</v>
      </c>
      <c r="H247" t="s">
        <v>120</v>
      </c>
      <c r="I247" t="s">
        <v>120</v>
      </c>
      <c r="J247" t="s">
        <v>120</v>
      </c>
      <c r="K247" t="s">
        <v>120</v>
      </c>
      <c r="L247" t="s">
        <v>120</v>
      </c>
      <c r="M247" t="s">
        <v>120</v>
      </c>
      <c r="N247" t="s">
        <v>120</v>
      </c>
      <c r="O247" t="s">
        <v>120</v>
      </c>
      <c r="P247" t="s">
        <v>120</v>
      </c>
      <c r="Q247" t="s">
        <v>120</v>
      </c>
      <c r="R247" t="s">
        <v>120</v>
      </c>
      <c r="S247" t="s">
        <v>120</v>
      </c>
      <c r="T247" t="s">
        <v>120</v>
      </c>
      <c r="U247" t="s">
        <v>120</v>
      </c>
      <c r="V247" t="s">
        <v>120</v>
      </c>
      <c r="W247" t="s">
        <v>120</v>
      </c>
      <c r="X247" t="s">
        <v>120</v>
      </c>
      <c r="Y247" t="s">
        <v>141</v>
      </c>
      <c r="Z247" t="s">
        <v>120</v>
      </c>
      <c r="AA247" t="s">
        <v>120</v>
      </c>
      <c r="AB247" t="s">
        <v>120</v>
      </c>
      <c r="AC247" t="s">
        <v>120</v>
      </c>
      <c r="AD247" t="s">
        <v>120</v>
      </c>
      <c r="AE247" t="s">
        <v>120</v>
      </c>
      <c r="AF247" t="s">
        <v>120</v>
      </c>
      <c r="AG247" t="s">
        <v>120</v>
      </c>
      <c r="AH247" t="s">
        <v>88</v>
      </c>
      <c r="AJ247">
        <v>0</v>
      </c>
      <c r="AK247">
        <v>8</v>
      </c>
      <c r="AL247">
        <v>8</v>
      </c>
      <c r="AM247">
        <v>0</v>
      </c>
      <c r="AN247">
        <v>0</v>
      </c>
      <c r="AO247">
        <v>4800</v>
      </c>
      <c r="AP247">
        <v>8</v>
      </c>
      <c r="AQ247">
        <v>0</v>
      </c>
      <c r="AR247">
        <v>81</v>
      </c>
      <c r="AS247">
        <v>480</v>
      </c>
    </row>
    <row r="248" spans="1:45" x14ac:dyDescent="0.25">
      <c r="A248" t="s">
        <v>696</v>
      </c>
      <c r="B248" t="s">
        <v>697</v>
      </c>
      <c r="C248" t="s">
        <v>147</v>
      </c>
      <c r="D248" t="s">
        <v>71</v>
      </c>
      <c r="E248" t="s">
        <v>120</v>
      </c>
      <c r="F248" t="s">
        <v>120</v>
      </c>
      <c r="G248" t="s">
        <v>120</v>
      </c>
      <c r="H248" t="s">
        <v>120</v>
      </c>
      <c r="I248" t="s">
        <v>120</v>
      </c>
      <c r="J248" t="s">
        <v>120</v>
      </c>
      <c r="K248" t="s">
        <v>120</v>
      </c>
      <c r="L248" t="s">
        <v>120</v>
      </c>
      <c r="M248" t="s">
        <v>120</v>
      </c>
      <c r="N248" t="s">
        <v>120</v>
      </c>
      <c r="O248" t="s">
        <v>120</v>
      </c>
      <c r="P248" t="s">
        <v>120</v>
      </c>
      <c r="Q248" t="s">
        <v>120</v>
      </c>
      <c r="R248" t="s">
        <v>120</v>
      </c>
      <c r="S248" t="s">
        <v>120</v>
      </c>
      <c r="T248" t="s">
        <v>120</v>
      </c>
      <c r="U248" t="s">
        <v>120</v>
      </c>
      <c r="V248" t="s">
        <v>120</v>
      </c>
      <c r="W248" t="s">
        <v>120</v>
      </c>
      <c r="X248" t="s">
        <v>120</v>
      </c>
      <c r="Y248" t="s">
        <v>120</v>
      </c>
      <c r="Z248" t="s">
        <v>120</v>
      </c>
      <c r="AA248" t="s">
        <v>120</v>
      </c>
      <c r="AB248" t="s">
        <v>120</v>
      </c>
      <c r="AC248" t="s">
        <v>120</v>
      </c>
      <c r="AD248" t="s">
        <v>120</v>
      </c>
      <c r="AE248" t="s">
        <v>120</v>
      </c>
      <c r="AF248" t="s">
        <v>120</v>
      </c>
      <c r="AG248" t="s">
        <v>120</v>
      </c>
      <c r="AH248" t="s">
        <v>120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31.55</v>
      </c>
      <c r="AP248">
        <v>0</v>
      </c>
      <c r="AQ248">
        <v>0</v>
      </c>
      <c r="AR248">
        <v>70.2</v>
      </c>
      <c r="AS248">
        <v>0</v>
      </c>
    </row>
    <row r="249" spans="1:45" x14ac:dyDescent="0.25">
      <c r="A249" t="s">
        <v>698</v>
      </c>
      <c r="B249" t="s">
        <v>699</v>
      </c>
      <c r="C249" t="s">
        <v>127</v>
      </c>
      <c r="D249" t="s">
        <v>71</v>
      </c>
      <c r="E249" t="s">
        <v>120</v>
      </c>
      <c r="F249" t="s">
        <v>120</v>
      </c>
      <c r="G249" t="s">
        <v>120</v>
      </c>
      <c r="H249" t="s">
        <v>120</v>
      </c>
      <c r="I249" t="s">
        <v>120</v>
      </c>
      <c r="J249" t="s">
        <v>120</v>
      </c>
      <c r="K249" t="s">
        <v>120</v>
      </c>
      <c r="L249" t="s">
        <v>120</v>
      </c>
      <c r="M249" t="s">
        <v>120</v>
      </c>
      <c r="N249" t="s">
        <v>120</v>
      </c>
      <c r="O249" t="s">
        <v>120</v>
      </c>
      <c r="P249" t="s">
        <v>120</v>
      </c>
      <c r="Q249" t="s">
        <v>120</v>
      </c>
      <c r="R249" t="s">
        <v>120</v>
      </c>
      <c r="S249" t="s">
        <v>120</v>
      </c>
      <c r="T249" t="s">
        <v>120</v>
      </c>
      <c r="U249" t="s">
        <v>120</v>
      </c>
      <c r="V249" t="s">
        <v>120</v>
      </c>
      <c r="W249" t="s">
        <v>120</v>
      </c>
      <c r="X249" t="s">
        <v>120</v>
      </c>
      <c r="Y249" t="s">
        <v>120</v>
      </c>
      <c r="Z249" t="s">
        <v>120</v>
      </c>
      <c r="AA249" t="s">
        <v>120</v>
      </c>
      <c r="AB249" t="s">
        <v>120</v>
      </c>
      <c r="AC249" t="s">
        <v>120</v>
      </c>
      <c r="AD249" t="s">
        <v>120</v>
      </c>
      <c r="AE249" t="s">
        <v>120</v>
      </c>
      <c r="AF249" t="s">
        <v>120</v>
      </c>
      <c r="AG249" t="s">
        <v>120</v>
      </c>
      <c r="AH249" t="s">
        <v>120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33.43</v>
      </c>
      <c r="AP249">
        <v>0</v>
      </c>
      <c r="AQ249">
        <v>0</v>
      </c>
      <c r="AR249">
        <v>75.06</v>
      </c>
      <c r="AS249">
        <v>0</v>
      </c>
    </row>
    <row r="250" spans="1:45" x14ac:dyDescent="0.25">
      <c r="A250" t="s">
        <v>700</v>
      </c>
      <c r="B250" t="s">
        <v>701</v>
      </c>
      <c r="C250" t="s">
        <v>147</v>
      </c>
      <c r="D250" t="s">
        <v>71</v>
      </c>
      <c r="E250" t="s">
        <v>120</v>
      </c>
      <c r="F250" t="s">
        <v>120</v>
      </c>
      <c r="G250" t="s">
        <v>120</v>
      </c>
      <c r="H250" t="s">
        <v>120</v>
      </c>
      <c r="I250" t="s">
        <v>120</v>
      </c>
      <c r="J250" t="s">
        <v>120</v>
      </c>
      <c r="K250" t="s">
        <v>120</v>
      </c>
      <c r="L250" t="s">
        <v>120</v>
      </c>
      <c r="M250" t="s">
        <v>120</v>
      </c>
      <c r="N250" t="s">
        <v>120</v>
      </c>
      <c r="O250" t="s">
        <v>120</v>
      </c>
      <c r="P250" t="s">
        <v>120</v>
      </c>
      <c r="Q250" t="s">
        <v>120</v>
      </c>
      <c r="R250" t="s">
        <v>120</v>
      </c>
      <c r="S250" t="s">
        <v>120</v>
      </c>
      <c r="T250" t="s">
        <v>120</v>
      </c>
      <c r="U250" t="s">
        <v>120</v>
      </c>
      <c r="V250" t="s">
        <v>120</v>
      </c>
      <c r="W250" t="s">
        <v>120</v>
      </c>
      <c r="X250" t="s">
        <v>120</v>
      </c>
      <c r="Y250" t="s">
        <v>120</v>
      </c>
      <c r="Z250" t="s">
        <v>120</v>
      </c>
      <c r="AA250" t="s">
        <v>120</v>
      </c>
      <c r="AB250" t="s">
        <v>120</v>
      </c>
      <c r="AC250" t="s">
        <v>120</v>
      </c>
      <c r="AD250" t="s">
        <v>120</v>
      </c>
      <c r="AE250" t="s">
        <v>120</v>
      </c>
      <c r="AF250" t="s">
        <v>120</v>
      </c>
      <c r="AG250" t="s">
        <v>120</v>
      </c>
      <c r="AH250" t="s">
        <v>120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31.55</v>
      </c>
      <c r="AP250">
        <v>0</v>
      </c>
      <c r="AQ250">
        <v>0</v>
      </c>
      <c r="AR250">
        <v>70.2</v>
      </c>
      <c r="AS250">
        <v>0</v>
      </c>
    </row>
    <row r="251" spans="1:45" x14ac:dyDescent="0.25">
      <c r="A251" t="s">
        <v>702</v>
      </c>
      <c r="B251" t="s">
        <v>703</v>
      </c>
      <c r="C251" t="s">
        <v>147</v>
      </c>
      <c r="D251" t="s">
        <v>71</v>
      </c>
      <c r="E251" t="s">
        <v>120</v>
      </c>
      <c r="F251" t="s">
        <v>120</v>
      </c>
      <c r="G251" t="s">
        <v>120</v>
      </c>
      <c r="H251" t="s">
        <v>120</v>
      </c>
      <c r="I251" t="s">
        <v>120</v>
      </c>
      <c r="J251" t="s">
        <v>120</v>
      </c>
      <c r="K251" t="s">
        <v>120</v>
      </c>
      <c r="L251" t="s">
        <v>120</v>
      </c>
      <c r="M251" t="s">
        <v>120</v>
      </c>
      <c r="N251" t="s">
        <v>120</v>
      </c>
      <c r="O251" t="s">
        <v>120</v>
      </c>
      <c r="P251" t="s">
        <v>120</v>
      </c>
      <c r="Q251" t="s">
        <v>120</v>
      </c>
      <c r="R251" t="s">
        <v>120</v>
      </c>
      <c r="S251" t="s">
        <v>120</v>
      </c>
      <c r="T251" t="s">
        <v>120</v>
      </c>
      <c r="U251" t="s">
        <v>120</v>
      </c>
      <c r="V251" t="s">
        <v>120</v>
      </c>
      <c r="W251" t="s">
        <v>120</v>
      </c>
      <c r="X251" t="s">
        <v>120</v>
      </c>
      <c r="Y251" t="s">
        <v>135</v>
      </c>
      <c r="Z251" t="s">
        <v>120</v>
      </c>
      <c r="AA251" t="s">
        <v>120</v>
      </c>
      <c r="AB251" t="s">
        <v>120</v>
      </c>
      <c r="AC251" t="s">
        <v>120</v>
      </c>
      <c r="AD251" t="s">
        <v>120</v>
      </c>
      <c r="AE251" t="s">
        <v>120</v>
      </c>
      <c r="AF251" t="s">
        <v>120</v>
      </c>
      <c r="AG251" t="s">
        <v>120</v>
      </c>
      <c r="AH251" t="s">
        <v>120</v>
      </c>
      <c r="AJ251">
        <v>0</v>
      </c>
      <c r="AK251">
        <v>8</v>
      </c>
      <c r="AL251">
        <v>0</v>
      </c>
      <c r="AM251">
        <v>8</v>
      </c>
      <c r="AN251">
        <v>0</v>
      </c>
      <c r="AO251">
        <v>31.55</v>
      </c>
      <c r="AP251">
        <v>8</v>
      </c>
      <c r="AQ251">
        <v>0</v>
      </c>
      <c r="AR251">
        <v>70.2</v>
      </c>
      <c r="AS251">
        <v>504.8</v>
      </c>
    </row>
    <row r="252" spans="1:45" x14ac:dyDescent="0.25">
      <c r="A252" t="s">
        <v>704</v>
      </c>
      <c r="B252" t="s">
        <v>705</v>
      </c>
      <c r="C252" t="s">
        <v>127</v>
      </c>
      <c r="D252" t="s">
        <v>71</v>
      </c>
      <c r="E252" t="s">
        <v>120</v>
      </c>
      <c r="F252" t="s">
        <v>120</v>
      </c>
      <c r="G252" t="s">
        <v>120</v>
      </c>
      <c r="H252" t="s">
        <v>120</v>
      </c>
      <c r="I252" t="s">
        <v>120</v>
      </c>
      <c r="J252" t="s">
        <v>120</v>
      </c>
      <c r="K252" t="s">
        <v>120</v>
      </c>
      <c r="L252" t="s">
        <v>120</v>
      </c>
      <c r="M252" t="s">
        <v>120</v>
      </c>
      <c r="N252" t="s">
        <v>120</v>
      </c>
      <c r="O252" t="s">
        <v>120</v>
      </c>
      <c r="P252" t="s">
        <v>120</v>
      </c>
      <c r="Q252" t="s">
        <v>120</v>
      </c>
      <c r="R252" t="s">
        <v>120</v>
      </c>
      <c r="S252" t="s">
        <v>120</v>
      </c>
      <c r="T252" t="s">
        <v>120</v>
      </c>
      <c r="U252" t="s">
        <v>120</v>
      </c>
      <c r="V252" t="s">
        <v>120</v>
      </c>
      <c r="W252" t="s">
        <v>120</v>
      </c>
      <c r="X252" t="s">
        <v>120</v>
      </c>
      <c r="Y252" t="s">
        <v>120</v>
      </c>
      <c r="Z252" t="s">
        <v>120</v>
      </c>
      <c r="AA252" t="s">
        <v>120</v>
      </c>
      <c r="AB252" t="s">
        <v>120</v>
      </c>
      <c r="AC252" t="s">
        <v>120</v>
      </c>
      <c r="AD252" t="s">
        <v>120</v>
      </c>
      <c r="AE252" t="s">
        <v>120</v>
      </c>
      <c r="AF252" t="s">
        <v>120</v>
      </c>
      <c r="AG252" t="s">
        <v>120</v>
      </c>
      <c r="AH252" t="s">
        <v>120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33.43</v>
      </c>
      <c r="AP252">
        <v>0</v>
      </c>
      <c r="AQ252">
        <v>0</v>
      </c>
      <c r="AR252">
        <v>75.06</v>
      </c>
      <c r="AS252">
        <v>0</v>
      </c>
    </row>
    <row r="253" spans="1:45" x14ac:dyDescent="0.25">
      <c r="A253" t="s">
        <v>706</v>
      </c>
      <c r="B253" t="s">
        <v>707</v>
      </c>
      <c r="C253" t="s">
        <v>130</v>
      </c>
      <c r="D253" t="s">
        <v>71</v>
      </c>
      <c r="E253" t="s">
        <v>120</v>
      </c>
      <c r="F253" t="s">
        <v>120</v>
      </c>
      <c r="G253" t="s">
        <v>120</v>
      </c>
      <c r="H253" t="s">
        <v>120</v>
      </c>
      <c r="I253" t="s">
        <v>120</v>
      </c>
      <c r="J253" t="s">
        <v>120</v>
      </c>
      <c r="K253" t="s">
        <v>120</v>
      </c>
      <c r="L253" t="s">
        <v>120</v>
      </c>
      <c r="M253" t="s">
        <v>120</v>
      </c>
      <c r="N253" t="s">
        <v>120</v>
      </c>
      <c r="O253" t="s">
        <v>120</v>
      </c>
      <c r="P253" t="s">
        <v>120</v>
      </c>
      <c r="Q253" t="s">
        <v>120</v>
      </c>
      <c r="R253" t="s">
        <v>120</v>
      </c>
      <c r="S253" t="s">
        <v>120</v>
      </c>
      <c r="T253" t="s">
        <v>120</v>
      </c>
      <c r="U253" t="s">
        <v>120</v>
      </c>
      <c r="V253" t="s">
        <v>120</v>
      </c>
      <c r="W253" t="s">
        <v>120</v>
      </c>
      <c r="X253" t="s">
        <v>120</v>
      </c>
      <c r="Y253" t="s">
        <v>135</v>
      </c>
      <c r="Z253" t="s">
        <v>120</v>
      </c>
      <c r="AA253" t="s">
        <v>120</v>
      </c>
      <c r="AB253" t="s">
        <v>120</v>
      </c>
      <c r="AC253" t="s">
        <v>120</v>
      </c>
      <c r="AD253" t="s">
        <v>120</v>
      </c>
      <c r="AE253" t="s">
        <v>120</v>
      </c>
      <c r="AF253" t="s">
        <v>120</v>
      </c>
      <c r="AG253" t="s">
        <v>120</v>
      </c>
      <c r="AH253" t="s">
        <v>120</v>
      </c>
      <c r="AJ253">
        <v>0</v>
      </c>
      <c r="AK253">
        <v>8</v>
      </c>
      <c r="AL253">
        <v>0</v>
      </c>
      <c r="AM253">
        <v>8</v>
      </c>
      <c r="AN253">
        <v>0</v>
      </c>
      <c r="AO253">
        <v>7500</v>
      </c>
      <c r="AP253">
        <v>8</v>
      </c>
      <c r="AQ253">
        <v>0</v>
      </c>
      <c r="AR253">
        <v>126.56250000000001</v>
      </c>
      <c r="AS253">
        <v>750</v>
      </c>
    </row>
    <row r="254" spans="1:45" x14ac:dyDescent="0.25">
      <c r="A254" t="s">
        <v>708</v>
      </c>
      <c r="B254" t="s">
        <v>709</v>
      </c>
      <c r="C254" t="s">
        <v>127</v>
      </c>
      <c r="D254" t="s">
        <v>71</v>
      </c>
      <c r="E254" t="s">
        <v>120</v>
      </c>
      <c r="F254" t="s">
        <v>120</v>
      </c>
      <c r="G254" t="s">
        <v>120</v>
      </c>
      <c r="H254" t="s">
        <v>120</v>
      </c>
      <c r="I254" t="s">
        <v>120</v>
      </c>
      <c r="J254" t="s">
        <v>120</v>
      </c>
      <c r="K254" t="s">
        <v>120</v>
      </c>
      <c r="L254" t="s">
        <v>120</v>
      </c>
      <c r="M254" t="s">
        <v>120</v>
      </c>
      <c r="N254" t="s">
        <v>120</v>
      </c>
      <c r="O254" t="s">
        <v>120</v>
      </c>
      <c r="P254" t="s">
        <v>120</v>
      </c>
      <c r="Q254" t="s">
        <v>120</v>
      </c>
      <c r="R254" t="s">
        <v>120</v>
      </c>
      <c r="S254" t="s">
        <v>120</v>
      </c>
      <c r="T254" t="s">
        <v>120</v>
      </c>
      <c r="U254" t="s">
        <v>120</v>
      </c>
      <c r="V254" t="s">
        <v>120</v>
      </c>
      <c r="W254" t="s">
        <v>120</v>
      </c>
      <c r="X254" t="s">
        <v>120</v>
      </c>
      <c r="Y254" t="s">
        <v>120</v>
      </c>
      <c r="Z254" t="s">
        <v>120</v>
      </c>
      <c r="AA254" t="s">
        <v>120</v>
      </c>
      <c r="AB254" t="s">
        <v>120</v>
      </c>
      <c r="AC254" t="s">
        <v>120</v>
      </c>
      <c r="AD254" t="s">
        <v>120</v>
      </c>
      <c r="AE254" t="s">
        <v>120</v>
      </c>
      <c r="AF254" t="s">
        <v>120</v>
      </c>
      <c r="AG254" t="s">
        <v>120</v>
      </c>
      <c r="AH254" t="s">
        <v>120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33.43</v>
      </c>
      <c r="AP254">
        <v>0</v>
      </c>
      <c r="AQ254">
        <v>0</v>
      </c>
      <c r="AR254">
        <v>75.06</v>
      </c>
      <c r="AS254">
        <v>0</v>
      </c>
    </row>
    <row r="255" spans="1:45" x14ac:dyDescent="0.25">
      <c r="A255" t="s">
        <v>710</v>
      </c>
      <c r="B255" t="s">
        <v>711</v>
      </c>
      <c r="C255" t="s">
        <v>127</v>
      </c>
      <c r="D255" t="s">
        <v>71</v>
      </c>
      <c r="E255" t="s">
        <v>120</v>
      </c>
      <c r="F255" t="s">
        <v>120</v>
      </c>
      <c r="G255" t="s">
        <v>120</v>
      </c>
      <c r="H255" t="s">
        <v>120</v>
      </c>
      <c r="I255" t="s">
        <v>120</v>
      </c>
      <c r="J255" t="s">
        <v>120</v>
      </c>
      <c r="K255" t="s">
        <v>120</v>
      </c>
      <c r="L255" t="s">
        <v>120</v>
      </c>
      <c r="M255" t="s">
        <v>120</v>
      </c>
      <c r="N255" t="s">
        <v>120</v>
      </c>
      <c r="O255" t="s">
        <v>120</v>
      </c>
      <c r="P255" t="s">
        <v>120</v>
      </c>
      <c r="Q255" t="s">
        <v>120</v>
      </c>
      <c r="R255" t="s">
        <v>120</v>
      </c>
      <c r="S255" t="s">
        <v>120</v>
      </c>
      <c r="T255" t="s">
        <v>120</v>
      </c>
      <c r="U255" t="s">
        <v>120</v>
      </c>
      <c r="V255" t="s">
        <v>120</v>
      </c>
      <c r="W255" t="s">
        <v>120</v>
      </c>
      <c r="X255" t="s">
        <v>120</v>
      </c>
      <c r="Y255" t="s">
        <v>120</v>
      </c>
      <c r="Z255" t="s">
        <v>120</v>
      </c>
      <c r="AA255" t="s">
        <v>120</v>
      </c>
      <c r="AB255" t="s">
        <v>120</v>
      </c>
      <c r="AC255" t="s">
        <v>120</v>
      </c>
      <c r="AD255" t="s">
        <v>120</v>
      </c>
      <c r="AE255" t="s">
        <v>120</v>
      </c>
      <c r="AF255" t="s">
        <v>120</v>
      </c>
      <c r="AG255" t="s">
        <v>120</v>
      </c>
      <c r="AH255" t="s">
        <v>120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33.43</v>
      </c>
      <c r="AP255">
        <v>0</v>
      </c>
      <c r="AQ255">
        <v>0</v>
      </c>
      <c r="AR255">
        <v>75.06</v>
      </c>
      <c r="AS255">
        <v>0</v>
      </c>
    </row>
    <row r="256" spans="1:45" x14ac:dyDescent="0.25">
      <c r="A256" t="s">
        <v>712</v>
      </c>
      <c r="B256" t="s">
        <v>713</v>
      </c>
      <c r="C256" t="s">
        <v>127</v>
      </c>
      <c r="D256" t="s">
        <v>71</v>
      </c>
      <c r="E256" t="s">
        <v>120</v>
      </c>
      <c r="F256" t="s">
        <v>120</v>
      </c>
      <c r="G256" t="s">
        <v>120</v>
      </c>
      <c r="H256" t="s">
        <v>120</v>
      </c>
      <c r="I256" t="s">
        <v>120</v>
      </c>
      <c r="J256" t="s">
        <v>120</v>
      </c>
      <c r="K256" t="s">
        <v>120</v>
      </c>
      <c r="L256" t="s">
        <v>120</v>
      </c>
      <c r="M256" t="s">
        <v>120</v>
      </c>
      <c r="N256" t="s">
        <v>120</v>
      </c>
      <c r="O256" t="s">
        <v>120</v>
      </c>
      <c r="P256" t="s">
        <v>120</v>
      </c>
      <c r="Q256" t="s">
        <v>120</v>
      </c>
      <c r="R256" t="s">
        <v>120</v>
      </c>
      <c r="S256" t="s">
        <v>120</v>
      </c>
      <c r="T256" t="s">
        <v>120</v>
      </c>
      <c r="U256" t="s">
        <v>120</v>
      </c>
      <c r="V256" t="s">
        <v>120</v>
      </c>
      <c r="W256" t="s">
        <v>120</v>
      </c>
      <c r="X256" t="s">
        <v>120</v>
      </c>
      <c r="Y256" t="s">
        <v>120</v>
      </c>
      <c r="Z256" t="s">
        <v>120</v>
      </c>
      <c r="AA256" t="s">
        <v>120</v>
      </c>
      <c r="AB256" t="s">
        <v>120</v>
      </c>
      <c r="AC256" t="s">
        <v>120</v>
      </c>
      <c r="AD256" t="s">
        <v>120</v>
      </c>
      <c r="AE256" t="s">
        <v>120</v>
      </c>
      <c r="AF256" t="s">
        <v>120</v>
      </c>
      <c r="AG256" t="s">
        <v>120</v>
      </c>
      <c r="AH256" t="s">
        <v>120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33.43</v>
      </c>
      <c r="AP256">
        <v>0</v>
      </c>
      <c r="AQ256">
        <v>0</v>
      </c>
      <c r="AR256">
        <v>75.06</v>
      </c>
      <c r="AS256">
        <v>0</v>
      </c>
    </row>
    <row r="257" spans="1:45" x14ac:dyDescent="0.25">
      <c r="A257" t="s">
        <v>714</v>
      </c>
      <c r="B257" t="s">
        <v>715</v>
      </c>
      <c r="C257" t="s">
        <v>127</v>
      </c>
      <c r="D257" t="s">
        <v>71</v>
      </c>
      <c r="E257" t="s">
        <v>120</v>
      </c>
      <c r="F257" t="s">
        <v>120</v>
      </c>
      <c r="G257" t="s">
        <v>120</v>
      </c>
      <c r="H257" t="s">
        <v>120</v>
      </c>
      <c r="I257" t="s">
        <v>120</v>
      </c>
      <c r="J257" t="s">
        <v>120</v>
      </c>
      <c r="K257" t="s">
        <v>120</v>
      </c>
      <c r="L257" t="s">
        <v>120</v>
      </c>
      <c r="M257" t="s">
        <v>120</v>
      </c>
      <c r="N257" t="s">
        <v>120</v>
      </c>
      <c r="O257" t="s">
        <v>120</v>
      </c>
      <c r="P257" t="s">
        <v>120</v>
      </c>
      <c r="Q257" t="s">
        <v>120</v>
      </c>
      <c r="R257" t="s">
        <v>120</v>
      </c>
      <c r="S257" t="s">
        <v>120</v>
      </c>
      <c r="T257" t="s">
        <v>120</v>
      </c>
      <c r="U257" t="s">
        <v>120</v>
      </c>
      <c r="V257" t="s">
        <v>120</v>
      </c>
      <c r="W257" t="s">
        <v>120</v>
      </c>
      <c r="X257" t="s">
        <v>120</v>
      </c>
      <c r="Y257" t="s">
        <v>120</v>
      </c>
      <c r="Z257" t="s">
        <v>120</v>
      </c>
      <c r="AA257" t="s">
        <v>120</v>
      </c>
      <c r="AB257" t="s">
        <v>120</v>
      </c>
      <c r="AC257" t="s">
        <v>120</v>
      </c>
      <c r="AD257" t="s">
        <v>120</v>
      </c>
      <c r="AE257" t="s">
        <v>120</v>
      </c>
      <c r="AF257" t="s">
        <v>120</v>
      </c>
      <c r="AG257" t="s">
        <v>120</v>
      </c>
      <c r="AH257" t="s">
        <v>120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33.43</v>
      </c>
      <c r="AP257">
        <v>0</v>
      </c>
      <c r="AQ257">
        <v>0</v>
      </c>
      <c r="AR257">
        <v>75.06</v>
      </c>
      <c r="AS257">
        <v>0</v>
      </c>
    </row>
    <row r="258" spans="1:45" x14ac:dyDescent="0.25">
      <c r="A258" t="s">
        <v>716</v>
      </c>
      <c r="B258" t="s">
        <v>717</v>
      </c>
      <c r="C258" t="s">
        <v>127</v>
      </c>
      <c r="D258" t="s">
        <v>71</v>
      </c>
      <c r="E258" t="s">
        <v>120</v>
      </c>
      <c r="F258" t="s">
        <v>120</v>
      </c>
      <c r="G258" t="s">
        <v>120</v>
      </c>
      <c r="H258" t="s">
        <v>120</v>
      </c>
      <c r="I258" t="s">
        <v>120</v>
      </c>
      <c r="J258" t="s">
        <v>120</v>
      </c>
      <c r="K258" t="s">
        <v>120</v>
      </c>
      <c r="L258" t="s">
        <v>120</v>
      </c>
      <c r="M258" t="s">
        <v>120</v>
      </c>
      <c r="N258" t="s">
        <v>120</v>
      </c>
      <c r="O258" t="s">
        <v>120</v>
      </c>
      <c r="P258" t="s">
        <v>120</v>
      </c>
      <c r="Q258" t="s">
        <v>120</v>
      </c>
      <c r="R258" t="s">
        <v>120</v>
      </c>
      <c r="S258" t="s">
        <v>120</v>
      </c>
      <c r="T258" t="s">
        <v>120</v>
      </c>
      <c r="U258" t="s">
        <v>120</v>
      </c>
      <c r="V258" t="s">
        <v>120</v>
      </c>
      <c r="W258" t="s">
        <v>120</v>
      </c>
      <c r="X258" t="s">
        <v>120</v>
      </c>
      <c r="Y258" t="s">
        <v>135</v>
      </c>
      <c r="Z258" t="s">
        <v>120</v>
      </c>
      <c r="AA258" t="s">
        <v>120</v>
      </c>
      <c r="AB258" t="s">
        <v>120</v>
      </c>
      <c r="AC258" t="s">
        <v>120</v>
      </c>
      <c r="AD258" t="s">
        <v>120</v>
      </c>
      <c r="AE258" t="s">
        <v>120</v>
      </c>
      <c r="AF258" t="s">
        <v>120</v>
      </c>
      <c r="AG258" t="s">
        <v>120</v>
      </c>
      <c r="AH258" t="s">
        <v>120</v>
      </c>
      <c r="AJ258">
        <v>0</v>
      </c>
      <c r="AK258">
        <v>8</v>
      </c>
      <c r="AL258">
        <v>0</v>
      </c>
      <c r="AM258">
        <v>8</v>
      </c>
      <c r="AN258">
        <v>0</v>
      </c>
      <c r="AO258">
        <v>33.43</v>
      </c>
      <c r="AP258">
        <v>8</v>
      </c>
      <c r="AQ258">
        <v>0</v>
      </c>
      <c r="AR258">
        <v>75.06</v>
      </c>
      <c r="AS258">
        <v>534.88</v>
      </c>
    </row>
    <row r="259" spans="1:45" x14ac:dyDescent="0.25">
      <c r="A259" t="s">
        <v>718</v>
      </c>
      <c r="B259" t="s">
        <v>719</v>
      </c>
      <c r="C259" t="s">
        <v>127</v>
      </c>
      <c r="D259" t="s">
        <v>71</v>
      </c>
      <c r="E259" t="s">
        <v>120</v>
      </c>
      <c r="F259" t="s">
        <v>120</v>
      </c>
      <c r="G259" t="s">
        <v>120</v>
      </c>
      <c r="H259" t="s">
        <v>120</v>
      </c>
      <c r="I259" t="s">
        <v>120</v>
      </c>
      <c r="J259" t="s">
        <v>120</v>
      </c>
      <c r="K259" t="s">
        <v>120</v>
      </c>
      <c r="L259" t="s">
        <v>120</v>
      </c>
      <c r="M259" t="s">
        <v>120</v>
      </c>
      <c r="N259" t="s">
        <v>120</v>
      </c>
      <c r="O259" t="s">
        <v>120</v>
      </c>
      <c r="P259" t="s">
        <v>120</v>
      </c>
      <c r="Q259" t="s">
        <v>120</v>
      </c>
      <c r="R259" t="s">
        <v>120</v>
      </c>
      <c r="S259" t="s">
        <v>120</v>
      </c>
      <c r="T259" t="s">
        <v>120</v>
      </c>
      <c r="U259" t="s">
        <v>120</v>
      </c>
      <c r="V259" t="s">
        <v>120</v>
      </c>
      <c r="W259" t="s">
        <v>120</v>
      </c>
      <c r="X259" t="s">
        <v>120</v>
      </c>
      <c r="Y259" t="s">
        <v>124</v>
      </c>
      <c r="Z259" t="s">
        <v>120</v>
      </c>
      <c r="AA259" t="s">
        <v>120</v>
      </c>
      <c r="AB259" t="s">
        <v>120</v>
      </c>
      <c r="AC259" t="s">
        <v>120</v>
      </c>
      <c r="AD259" t="s">
        <v>120</v>
      </c>
      <c r="AE259" t="s">
        <v>120</v>
      </c>
      <c r="AF259" t="s">
        <v>120</v>
      </c>
      <c r="AG259" t="s">
        <v>120</v>
      </c>
      <c r="AH259" t="s">
        <v>120</v>
      </c>
      <c r="AJ259">
        <v>0</v>
      </c>
      <c r="AK259">
        <v>4</v>
      </c>
      <c r="AL259">
        <v>0</v>
      </c>
      <c r="AM259">
        <v>4</v>
      </c>
      <c r="AN259">
        <v>0</v>
      </c>
      <c r="AO259">
        <v>33.43</v>
      </c>
      <c r="AP259">
        <v>4</v>
      </c>
      <c r="AQ259">
        <v>0</v>
      </c>
      <c r="AR259">
        <v>75.06</v>
      </c>
      <c r="AS259">
        <v>267.44</v>
      </c>
    </row>
    <row r="260" spans="1:45" x14ac:dyDescent="0.25">
      <c r="A260" t="s">
        <v>720</v>
      </c>
      <c r="B260" t="s">
        <v>721</v>
      </c>
      <c r="C260" t="s">
        <v>147</v>
      </c>
      <c r="D260" t="s">
        <v>71</v>
      </c>
      <c r="E260" t="s">
        <v>120</v>
      </c>
      <c r="F260" t="s">
        <v>120</v>
      </c>
      <c r="G260" t="s">
        <v>120</v>
      </c>
      <c r="H260" t="s">
        <v>120</v>
      </c>
      <c r="I260" t="s">
        <v>120</v>
      </c>
      <c r="J260" t="s">
        <v>120</v>
      </c>
      <c r="K260" t="s">
        <v>120</v>
      </c>
      <c r="L260" t="s">
        <v>120</v>
      </c>
      <c r="M260" t="s">
        <v>120</v>
      </c>
      <c r="N260" t="s">
        <v>120</v>
      </c>
      <c r="O260" t="s">
        <v>120</v>
      </c>
      <c r="P260" t="s">
        <v>120</v>
      </c>
      <c r="Q260" t="s">
        <v>120</v>
      </c>
      <c r="R260" t="s">
        <v>120</v>
      </c>
      <c r="S260" t="s">
        <v>120</v>
      </c>
      <c r="T260" t="s">
        <v>120</v>
      </c>
      <c r="U260" t="s">
        <v>120</v>
      </c>
      <c r="V260" t="s">
        <v>120</v>
      </c>
      <c r="W260" t="s">
        <v>120</v>
      </c>
      <c r="X260" t="s">
        <v>120</v>
      </c>
      <c r="Y260" t="s">
        <v>120</v>
      </c>
      <c r="Z260" t="s">
        <v>120</v>
      </c>
      <c r="AA260" t="s">
        <v>120</v>
      </c>
      <c r="AB260" t="s">
        <v>120</v>
      </c>
      <c r="AC260" t="s">
        <v>120</v>
      </c>
      <c r="AD260" t="s">
        <v>120</v>
      </c>
      <c r="AE260" t="s">
        <v>120</v>
      </c>
      <c r="AF260" t="s">
        <v>120</v>
      </c>
      <c r="AG260" t="s">
        <v>120</v>
      </c>
      <c r="AH260" t="s">
        <v>120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31.55</v>
      </c>
      <c r="AP260">
        <v>0</v>
      </c>
      <c r="AQ260">
        <v>0</v>
      </c>
      <c r="AR260">
        <v>70.2</v>
      </c>
      <c r="AS260">
        <v>0</v>
      </c>
    </row>
    <row r="261" spans="1:45" x14ac:dyDescent="0.25">
      <c r="A261" t="s">
        <v>722</v>
      </c>
      <c r="B261" t="s">
        <v>723</v>
      </c>
      <c r="C261" t="s">
        <v>127</v>
      </c>
      <c r="D261" t="s">
        <v>71</v>
      </c>
      <c r="E261" t="s">
        <v>120</v>
      </c>
      <c r="F261" t="s">
        <v>120</v>
      </c>
      <c r="G261" t="s">
        <v>120</v>
      </c>
      <c r="H261" t="s">
        <v>120</v>
      </c>
      <c r="I261" t="s">
        <v>120</v>
      </c>
      <c r="J261" t="s">
        <v>120</v>
      </c>
      <c r="K261" t="s">
        <v>120</v>
      </c>
      <c r="L261" t="s">
        <v>120</v>
      </c>
      <c r="M261" t="s">
        <v>120</v>
      </c>
      <c r="N261" t="s">
        <v>120</v>
      </c>
      <c r="O261" t="s">
        <v>120</v>
      </c>
      <c r="P261" t="s">
        <v>120</v>
      </c>
      <c r="Q261" t="s">
        <v>120</v>
      </c>
      <c r="R261" t="s">
        <v>120</v>
      </c>
      <c r="S261" t="s">
        <v>120</v>
      </c>
      <c r="T261" t="s">
        <v>120</v>
      </c>
      <c r="U261" t="s">
        <v>120</v>
      </c>
      <c r="V261" t="s">
        <v>120</v>
      </c>
      <c r="W261" t="s">
        <v>120</v>
      </c>
      <c r="X261" t="s">
        <v>120</v>
      </c>
      <c r="Y261" t="s">
        <v>120</v>
      </c>
      <c r="Z261" t="s">
        <v>120</v>
      </c>
      <c r="AA261" t="s">
        <v>120</v>
      </c>
      <c r="AB261" t="s">
        <v>120</v>
      </c>
      <c r="AC261" t="s">
        <v>120</v>
      </c>
      <c r="AD261" t="s">
        <v>120</v>
      </c>
      <c r="AE261" t="s">
        <v>120</v>
      </c>
      <c r="AF261" t="s">
        <v>120</v>
      </c>
      <c r="AG261" t="s">
        <v>120</v>
      </c>
      <c r="AH261" t="s">
        <v>120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33.43</v>
      </c>
      <c r="AP261">
        <v>0</v>
      </c>
      <c r="AQ261">
        <v>0</v>
      </c>
      <c r="AR261">
        <v>75.06</v>
      </c>
      <c r="AS261">
        <v>0</v>
      </c>
    </row>
    <row r="262" spans="1:45" x14ac:dyDescent="0.25">
      <c r="A262" t="s">
        <v>724</v>
      </c>
      <c r="B262" t="s">
        <v>725</v>
      </c>
      <c r="C262" t="s">
        <v>147</v>
      </c>
      <c r="D262" t="s">
        <v>71</v>
      </c>
      <c r="E262" t="s">
        <v>120</v>
      </c>
      <c r="F262" t="s">
        <v>120</v>
      </c>
      <c r="G262" t="s">
        <v>120</v>
      </c>
      <c r="H262" t="s">
        <v>120</v>
      </c>
      <c r="I262" t="s">
        <v>120</v>
      </c>
      <c r="J262" t="s">
        <v>120</v>
      </c>
      <c r="K262" t="s">
        <v>120</v>
      </c>
      <c r="L262" t="s">
        <v>120</v>
      </c>
      <c r="M262" t="s">
        <v>120</v>
      </c>
      <c r="N262" t="s">
        <v>120</v>
      </c>
      <c r="O262" t="s">
        <v>120</v>
      </c>
      <c r="P262" t="s">
        <v>120</v>
      </c>
      <c r="Q262" t="s">
        <v>120</v>
      </c>
      <c r="R262" t="s">
        <v>120</v>
      </c>
      <c r="S262" t="s">
        <v>120</v>
      </c>
      <c r="T262" t="s">
        <v>120</v>
      </c>
      <c r="U262" t="s">
        <v>120</v>
      </c>
      <c r="V262" t="s">
        <v>120</v>
      </c>
      <c r="W262" t="s">
        <v>120</v>
      </c>
      <c r="X262" t="s">
        <v>120</v>
      </c>
      <c r="Y262" t="s">
        <v>120</v>
      </c>
      <c r="Z262" t="s">
        <v>120</v>
      </c>
      <c r="AA262" t="s">
        <v>120</v>
      </c>
      <c r="AB262" t="s">
        <v>120</v>
      </c>
      <c r="AC262" t="s">
        <v>120</v>
      </c>
      <c r="AD262" t="s">
        <v>120</v>
      </c>
      <c r="AE262" t="s">
        <v>120</v>
      </c>
      <c r="AF262" t="s">
        <v>120</v>
      </c>
      <c r="AG262" t="s">
        <v>120</v>
      </c>
      <c r="AH262" t="s">
        <v>120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31.55</v>
      </c>
      <c r="AP262">
        <v>0</v>
      </c>
      <c r="AQ262">
        <v>0</v>
      </c>
      <c r="AR262">
        <v>70.2</v>
      </c>
      <c r="AS262">
        <v>0</v>
      </c>
    </row>
    <row r="263" spans="1:45" x14ac:dyDescent="0.25">
      <c r="A263" t="s">
        <v>726</v>
      </c>
      <c r="B263" t="s">
        <v>727</v>
      </c>
      <c r="C263" t="s">
        <v>147</v>
      </c>
      <c r="D263" t="s">
        <v>71</v>
      </c>
      <c r="E263" t="s">
        <v>120</v>
      </c>
      <c r="F263" t="s">
        <v>120</v>
      </c>
      <c r="G263" t="s">
        <v>120</v>
      </c>
      <c r="H263" t="s">
        <v>120</v>
      </c>
      <c r="I263" t="s">
        <v>120</v>
      </c>
      <c r="J263" t="s">
        <v>120</v>
      </c>
      <c r="K263" t="s">
        <v>120</v>
      </c>
      <c r="L263" t="s">
        <v>120</v>
      </c>
      <c r="M263" t="s">
        <v>120</v>
      </c>
      <c r="N263" t="s">
        <v>120</v>
      </c>
      <c r="O263" t="s">
        <v>120</v>
      </c>
      <c r="P263" t="s">
        <v>120</v>
      </c>
      <c r="Q263" t="s">
        <v>120</v>
      </c>
      <c r="R263" t="s">
        <v>120</v>
      </c>
      <c r="S263" t="s">
        <v>120</v>
      </c>
      <c r="T263" t="s">
        <v>120</v>
      </c>
      <c r="U263" t="s">
        <v>120</v>
      </c>
      <c r="V263" t="s">
        <v>120</v>
      </c>
      <c r="W263" t="s">
        <v>120</v>
      </c>
      <c r="X263" t="s">
        <v>120</v>
      </c>
      <c r="Y263" t="s">
        <v>120</v>
      </c>
      <c r="Z263" t="s">
        <v>120</v>
      </c>
      <c r="AA263" t="s">
        <v>120</v>
      </c>
      <c r="AB263" t="s">
        <v>120</v>
      </c>
      <c r="AC263" t="s">
        <v>120</v>
      </c>
      <c r="AD263" t="s">
        <v>120</v>
      </c>
      <c r="AE263" t="s">
        <v>120</v>
      </c>
      <c r="AF263" t="s">
        <v>120</v>
      </c>
      <c r="AG263" t="s">
        <v>120</v>
      </c>
      <c r="AH263" t="s">
        <v>120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31.55</v>
      </c>
      <c r="AP263">
        <v>0</v>
      </c>
      <c r="AQ263">
        <v>0</v>
      </c>
      <c r="AR263">
        <v>70.2</v>
      </c>
      <c r="AS263">
        <v>0</v>
      </c>
    </row>
    <row r="264" spans="1:45" x14ac:dyDescent="0.25">
      <c r="A264" t="s">
        <v>728</v>
      </c>
      <c r="B264" t="s">
        <v>729</v>
      </c>
      <c r="C264" t="s">
        <v>147</v>
      </c>
      <c r="D264" t="s">
        <v>71</v>
      </c>
      <c r="E264" t="s">
        <v>120</v>
      </c>
      <c r="F264" t="s">
        <v>120</v>
      </c>
      <c r="G264" t="s">
        <v>120</v>
      </c>
      <c r="H264" t="s">
        <v>120</v>
      </c>
      <c r="I264" t="s">
        <v>120</v>
      </c>
      <c r="J264" t="s">
        <v>120</v>
      </c>
      <c r="K264" t="s">
        <v>120</v>
      </c>
      <c r="L264" t="s">
        <v>120</v>
      </c>
      <c r="M264" t="s">
        <v>120</v>
      </c>
      <c r="N264" t="s">
        <v>120</v>
      </c>
      <c r="O264" t="s">
        <v>120</v>
      </c>
      <c r="P264" t="s">
        <v>120</v>
      </c>
      <c r="Q264" t="s">
        <v>120</v>
      </c>
      <c r="R264" t="s">
        <v>120</v>
      </c>
      <c r="S264" t="s">
        <v>120</v>
      </c>
      <c r="T264" t="s">
        <v>120</v>
      </c>
      <c r="U264" t="s">
        <v>120</v>
      </c>
      <c r="V264" t="s">
        <v>120</v>
      </c>
      <c r="W264" t="s">
        <v>120</v>
      </c>
      <c r="X264" t="s">
        <v>120</v>
      </c>
      <c r="Y264" t="s">
        <v>120</v>
      </c>
      <c r="Z264" t="s">
        <v>120</v>
      </c>
      <c r="AA264" t="s">
        <v>120</v>
      </c>
      <c r="AB264" t="s">
        <v>120</v>
      </c>
      <c r="AC264" t="s">
        <v>120</v>
      </c>
      <c r="AD264" t="s">
        <v>120</v>
      </c>
      <c r="AE264" t="s">
        <v>120</v>
      </c>
      <c r="AF264" t="s">
        <v>120</v>
      </c>
      <c r="AG264" t="s">
        <v>120</v>
      </c>
      <c r="AH264" t="s">
        <v>120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31.55</v>
      </c>
      <c r="AP264">
        <v>0</v>
      </c>
      <c r="AQ264">
        <v>0</v>
      </c>
      <c r="AR264">
        <v>70.2</v>
      </c>
      <c r="AS264">
        <v>0</v>
      </c>
    </row>
    <row r="265" spans="1:45" x14ac:dyDescent="0.25">
      <c r="A265" t="s">
        <v>730</v>
      </c>
      <c r="B265" t="s">
        <v>731</v>
      </c>
      <c r="C265" t="s">
        <v>127</v>
      </c>
      <c r="D265" t="s">
        <v>71</v>
      </c>
      <c r="E265" t="s">
        <v>120</v>
      </c>
      <c r="F265" t="s">
        <v>120</v>
      </c>
      <c r="G265" t="s">
        <v>120</v>
      </c>
      <c r="H265" t="s">
        <v>120</v>
      </c>
      <c r="I265" t="s">
        <v>120</v>
      </c>
      <c r="J265" t="s">
        <v>120</v>
      </c>
      <c r="K265" t="s">
        <v>120</v>
      </c>
      <c r="L265" t="s">
        <v>120</v>
      </c>
      <c r="M265" t="s">
        <v>120</v>
      </c>
      <c r="N265" t="s">
        <v>120</v>
      </c>
      <c r="O265" t="s">
        <v>120</v>
      </c>
      <c r="P265" t="s">
        <v>120</v>
      </c>
      <c r="Q265" t="s">
        <v>120</v>
      </c>
      <c r="R265" t="s">
        <v>120</v>
      </c>
      <c r="S265" t="s">
        <v>120</v>
      </c>
      <c r="T265" t="s">
        <v>120</v>
      </c>
      <c r="U265" t="s">
        <v>120</v>
      </c>
      <c r="V265" t="s">
        <v>120</v>
      </c>
      <c r="W265" t="s">
        <v>120</v>
      </c>
      <c r="X265" t="s">
        <v>120</v>
      </c>
      <c r="Y265" t="s">
        <v>120</v>
      </c>
      <c r="Z265" t="s">
        <v>120</v>
      </c>
      <c r="AA265" t="s">
        <v>120</v>
      </c>
      <c r="AB265" t="s">
        <v>120</v>
      </c>
      <c r="AC265" t="s">
        <v>120</v>
      </c>
      <c r="AD265" t="s">
        <v>120</v>
      </c>
      <c r="AE265" t="s">
        <v>120</v>
      </c>
      <c r="AF265" t="s">
        <v>120</v>
      </c>
      <c r="AG265" t="s">
        <v>120</v>
      </c>
      <c r="AH265" t="s">
        <v>120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33.43</v>
      </c>
      <c r="AP265">
        <v>0</v>
      </c>
      <c r="AQ265">
        <v>0</v>
      </c>
      <c r="AR265">
        <v>75.06</v>
      </c>
      <c r="AS265">
        <v>0</v>
      </c>
    </row>
    <row r="266" spans="1:45" x14ac:dyDescent="0.25">
      <c r="A266" t="s">
        <v>732</v>
      </c>
      <c r="B266" t="s">
        <v>733</v>
      </c>
      <c r="C266" t="s">
        <v>147</v>
      </c>
      <c r="D266" t="s">
        <v>71</v>
      </c>
      <c r="E266" t="s">
        <v>120</v>
      </c>
      <c r="F266" t="s">
        <v>120</v>
      </c>
      <c r="G266" t="s">
        <v>120</v>
      </c>
      <c r="H266" t="s">
        <v>120</v>
      </c>
      <c r="I266" t="s">
        <v>120</v>
      </c>
      <c r="J266" t="s">
        <v>120</v>
      </c>
      <c r="K266" t="s">
        <v>120</v>
      </c>
      <c r="L266" t="s">
        <v>120</v>
      </c>
      <c r="M266" t="s">
        <v>120</v>
      </c>
      <c r="N266" t="s">
        <v>120</v>
      </c>
      <c r="O266" t="s">
        <v>120</v>
      </c>
      <c r="P266" t="s">
        <v>120</v>
      </c>
      <c r="Q266" t="s">
        <v>120</v>
      </c>
      <c r="R266" t="s">
        <v>120</v>
      </c>
      <c r="S266" t="s">
        <v>120</v>
      </c>
      <c r="T266" t="s">
        <v>120</v>
      </c>
      <c r="U266" t="s">
        <v>120</v>
      </c>
      <c r="V266" t="s">
        <v>120</v>
      </c>
      <c r="W266" t="s">
        <v>120</v>
      </c>
      <c r="X266" t="s">
        <v>120</v>
      </c>
      <c r="Y266" t="s">
        <v>120</v>
      </c>
      <c r="Z266" t="s">
        <v>120</v>
      </c>
      <c r="AA266" t="s">
        <v>120</v>
      </c>
      <c r="AB266" t="s">
        <v>120</v>
      </c>
      <c r="AC266" t="s">
        <v>120</v>
      </c>
      <c r="AD266" t="s">
        <v>120</v>
      </c>
      <c r="AE266" t="s">
        <v>120</v>
      </c>
      <c r="AF266" t="s">
        <v>120</v>
      </c>
      <c r="AG266" t="s">
        <v>120</v>
      </c>
      <c r="AH266" t="s">
        <v>120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31.55</v>
      </c>
      <c r="AP266">
        <v>0</v>
      </c>
      <c r="AQ266">
        <v>0</v>
      </c>
      <c r="AR266">
        <v>70.2</v>
      </c>
      <c r="AS266">
        <v>0</v>
      </c>
    </row>
    <row r="267" spans="1:45" x14ac:dyDescent="0.25">
      <c r="A267" t="s">
        <v>734</v>
      </c>
      <c r="B267" t="s">
        <v>735</v>
      </c>
      <c r="C267" t="s">
        <v>127</v>
      </c>
      <c r="D267" t="s">
        <v>71</v>
      </c>
      <c r="E267" t="s">
        <v>120</v>
      </c>
      <c r="F267" t="s">
        <v>120</v>
      </c>
      <c r="G267" t="s">
        <v>120</v>
      </c>
      <c r="H267" t="s">
        <v>120</v>
      </c>
      <c r="I267" t="s">
        <v>120</v>
      </c>
      <c r="J267" t="s">
        <v>120</v>
      </c>
      <c r="K267" t="s">
        <v>120</v>
      </c>
      <c r="L267" t="s">
        <v>120</v>
      </c>
      <c r="M267" t="s">
        <v>120</v>
      </c>
      <c r="N267" t="s">
        <v>120</v>
      </c>
      <c r="O267" t="s">
        <v>120</v>
      </c>
      <c r="P267" t="s">
        <v>120</v>
      </c>
      <c r="Q267" t="s">
        <v>120</v>
      </c>
      <c r="R267" t="s">
        <v>120</v>
      </c>
      <c r="S267" t="s">
        <v>120</v>
      </c>
      <c r="T267" t="s">
        <v>120</v>
      </c>
      <c r="U267" t="s">
        <v>120</v>
      </c>
      <c r="V267" t="s">
        <v>120</v>
      </c>
      <c r="W267" t="s">
        <v>120</v>
      </c>
      <c r="X267" t="s">
        <v>120</v>
      </c>
      <c r="Y267" t="s">
        <v>120</v>
      </c>
      <c r="Z267" t="s">
        <v>120</v>
      </c>
      <c r="AA267" t="s">
        <v>120</v>
      </c>
      <c r="AB267" t="s">
        <v>120</v>
      </c>
      <c r="AC267" t="s">
        <v>120</v>
      </c>
      <c r="AD267" t="s">
        <v>120</v>
      </c>
      <c r="AE267" t="s">
        <v>120</v>
      </c>
      <c r="AF267" t="s">
        <v>120</v>
      </c>
      <c r="AG267" t="s">
        <v>120</v>
      </c>
      <c r="AH267" t="s">
        <v>120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33.43</v>
      </c>
      <c r="AP267">
        <v>0</v>
      </c>
      <c r="AQ267">
        <v>0</v>
      </c>
      <c r="AR267">
        <v>75.06</v>
      </c>
      <c r="AS267">
        <v>0</v>
      </c>
    </row>
    <row r="268" spans="1:45" x14ac:dyDescent="0.25">
      <c r="A268" t="s">
        <v>736</v>
      </c>
      <c r="B268" t="s">
        <v>737</v>
      </c>
      <c r="C268" t="s">
        <v>127</v>
      </c>
      <c r="D268" t="s">
        <v>71</v>
      </c>
      <c r="E268" t="s">
        <v>120</v>
      </c>
      <c r="F268" t="s">
        <v>120</v>
      </c>
      <c r="G268" t="s">
        <v>120</v>
      </c>
      <c r="H268" t="s">
        <v>120</v>
      </c>
      <c r="I268" t="s">
        <v>120</v>
      </c>
      <c r="J268" t="s">
        <v>120</v>
      </c>
      <c r="K268" t="s">
        <v>120</v>
      </c>
      <c r="L268" t="s">
        <v>120</v>
      </c>
      <c r="M268" t="s">
        <v>120</v>
      </c>
      <c r="N268" t="s">
        <v>120</v>
      </c>
      <c r="O268" t="s">
        <v>120</v>
      </c>
      <c r="P268" t="s">
        <v>120</v>
      </c>
      <c r="Q268" t="s">
        <v>120</v>
      </c>
      <c r="R268" t="s">
        <v>120</v>
      </c>
      <c r="S268" t="s">
        <v>120</v>
      </c>
      <c r="T268" t="s">
        <v>120</v>
      </c>
      <c r="U268" t="s">
        <v>120</v>
      </c>
      <c r="V268" t="s">
        <v>120</v>
      </c>
      <c r="W268" t="s">
        <v>120</v>
      </c>
      <c r="X268" t="s">
        <v>120</v>
      </c>
      <c r="Y268" t="s">
        <v>120</v>
      </c>
      <c r="Z268" t="s">
        <v>120</v>
      </c>
      <c r="AA268" t="s">
        <v>120</v>
      </c>
      <c r="AB268" t="s">
        <v>120</v>
      </c>
      <c r="AC268" t="s">
        <v>120</v>
      </c>
      <c r="AD268" t="s">
        <v>120</v>
      </c>
      <c r="AE268" t="s">
        <v>120</v>
      </c>
      <c r="AF268" t="s">
        <v>120</v>
      </c>
      <c r="AG268" t="s">
        <v>120</v>
      </c>
      <c r="AH268" t="s">
        <v>120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33.43</v>
      </c>
      <c r="AP268">
        <v>0</v>
      </c>
      <c r="AQ268">
        <v>0</v>
      </c>
      <c r="AR268">
        <v>75.06</v>
      </c>
      <c r="AS268">
        <v>0</v>
      </c>
    </row>
    <row r="269" spans="1:45" x14ac:dyDescent="0.25">
      <c r="A269" t="s">
        <v>738</v>
      </c>
      <c r="B269" t="s">
        <v>739</v>
      </c>
      <c r="C269" t="s">
        <v>127</v>
      </c>
      <c r="D269" t="s">
        <v>71</v>
      </c>
      <c r="E269" t="s">
        <v>120</v>
      </c>
      <c r="F269" t="s">
        <v>120</v>
      </c>
      <c r="G269" t="s">
        <v>120</v>
      </c>
      <c r="H269" t="s">
        <v>120</v>
      </c>
      <c r="I269" t="s">
        <v>120</v>
      </c>
      <c r="J269" t="s">
        <v>120</v>
      </c>
      <c r="K269" t="s">
        <v>120</v>
      </c>
      <c r="L269" t="s">
        <v>120</v>
      </c>
      <c r="M269" t="s">
        <v>120</v>
      </c>
      <c r="N269" t="s">
        <v>120</v>
      </c>
      <c r="O269" t="s">
        <v>120</v>
      </c>
      <c r="P269" t="s">
        <v>120</v>
      </c>
      <c r="Q269" t="s">
        <v>120</v>
      </c>
      <c r="R269" t="s">
        <v>120</v>
      </c>
      <c r="S269" t="s">
        <v>120</v>
      </c>
      <c r="T269" t="s">
        <v>120</v>
      </c>
      <c r="U269" t="s">
        <v>120</v>
      </c>
      <c r="V269" t="s">
        <v>120</v>
      </c>
      <c r="W269" t="s">
        <v>120</v>
      </c>
      <c r="X269" t="s">
        <v>120</v>
      </c>
      <c r="Y269" t="s">
        <v>120</v>
      </c>
      <c r="Z269" t="s">
        <v>120</v>
      </c>
      <c r="AA269" t="s">
        <v>120</v>
      </c>
      <c r="AB269" t="s">
        <v>120</v>
      </c>
      <c r="AC269" t="s">
        <v>120</v>
      </c>
      <c r="AD269" t="s">
        <v>120</v>
      </c>
      <c r="AE269" t="s">
        <v>120</v>
      </c>
      <c r="AF269" t="s">
        <v>120</v>
      </c>
      <c r="AG269" t="s">
        <v>120</v>
      </c>
      <c r="AH269" t="s">
        <v>120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33.43</v>
      </c>
      <c r="AP269">
        <v>0</v>
      </c>
      <c r="AQ269">
        <v>0</v>
      </c>
      <c r="AR269">
        <v>75.06</v>
      </c>
      <c r="AS269">
        <v>0</v>
      </c>
    </row>
    <row r="270" spans="1:45" x14ac:dyDescent="0.25">
      <c r="A270" t="s">
        <v>740</v>
      </c>
      <c r="B270" t="s">
        <v>741</v>
      </c>
      <c r="C270" t="s">
        <v>127</v>
      </c>
      <c r="D270" t="s">
        <v>71</v>
      </c>
      <c r="E270" t="s">
        <v>120</v>
      </c>
      <c r="F270" t="s">
        <v>120</v>
      </c>
      <c r="G270" t="s">
        <v>120</v>
      </c>
      <c r="H270" t="s">
        <v>120</v>
      </c>
      <c r="I270" t="s">
        <v>120</v>
      </c>
      <c r="J270" t="s">
        <v>120</v>
      </c>
      <c r="K270" t="s">
        <v>120</v>
      </c>
      <c r="L270" t="s">
        <v>120</v>
      </c>
      <c r="M270" t="s">
        <v>120</v>
      </c>
      <c r="N270" t="s">
        <v>120</v>
      </c>
      <c r="O270" t="s">
        <v>120</v>
      </c>
      <c r="P270" t="s">
        <v>120</v>
      </c>
      <c r="Q270" t="s">
        <v>120</v>
      </c>
      <c r="R270" t="s">
        <v>120</v>
      </c>
      <c r="S270" t="s">
        <v>120</v>
      </c>
      <c r="T270" t="s">
        <v>120</v>
      </c>
      <c r="U270" t="s">
        <v>120</v>
      </c>
      <c r="V270" t="s">
        <v>120</v>
      </c>
      <c r="W270" t="s">
        <v>120</v>
      </c>
      <c r="X270" t="s">
        <v>120</v>
      </c>
      <c r="Y270" t="s">
        <v>120</v>
      </c>
      <c r="Z270" t="s">
        <v>120</v>
      </c>
      <c r="AA270" t="s">
        <v>120</v>
      </c>
      <c r="AB270" t="s">
        <v>120</v>
      </c>
      <c r="AC270" t="s">
        <v>120</v>
      </c>
      <c r="AD270" t="s">
        <v>120</v>
      </c>
      <c r="AE270" t="s">
        <v>120</v>
      </c>
      <c r="AF270" t="s">
        <v>120</v>
      </c>
      <c r="AG270" t="s">
        <v>120</v>
      </c>
      <c r="AH270" t="s">
        <v>120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33.43</v>
      </c>
      <c r="AP270">
        <v>0</v>
      </c>
      <c r="AQ270">
        <v>0</v>
      </c>
      <c r="AR270">
        <v>75.06</v>
      </c>
      <c r="AS270">
        <v>0</v>
      </c>
    </row>
    <row r="271" spans="1:45" x14ac:dyDescent="0.25">
      <c r="A271" t="s">
        <v>742</v>
      </c>
      <c r="B271" t="s">
        <v>743</v>
      </c>
      <c r="C271" t="s">
        <v>127</v>
      </c>
      <c r="D271" t="s">
        <v>73</v>
      </c>
      <c r="E271" t="s">
        <v>120</v>
      </c>
      <c r="F271" t="s">
        <v>120</v>
      </c>
      <c r="G271" t="s">
        <v>120</v>
      </c>
      <c r="H271" t="s">
        <v>120</v>
      </c>
      <c r="I271" t="s">
        <v>120</v>
      </c>
      <c r="J271" t="s">
        <v>120</v>
      </c>
      <c r="K271" t="s">
        <v>120</v>
      </c>
      <c r="L271" t="s">
        <v>120</v>
      </c>
      <c r="M271" t="s">
        <v>120</v>
      </c>
      <c r="N271" t="s">
        <v>120</v>
      </c>
      <c r="O271" t="s">
        <v>120</v>
      </c>
      <c r="P271" t="s">
        <v>120</v>
      </c>
      <c r="Q271" t="s">
        <v>120</v>
      </c>
      <c r="R271" t="s">
        <v>120</v>
      </c>
      <c r="S271" t="s">
        <v>120</v>
      </c>
      <c r="T271" t="s">
        <v>120</v>
      </c>
      <c r="U271" t="s">
        <v>120</v>
      </c>
      <c r="V271" t="s">
        <v>120</v>
      </c>
      <c r="W271" t="s">
        <v>120</v>
      </c>
      <c r="X271" t="s">
        <v>120</v>
      </c>
      <c r="Y271" t="s">
        <v>124</v>
      </c>
      <c r="Z271" t="s">
        <v>120</v>
      </c>
      <c r="AA271" t="s">
        <v>120</v>
      </c>
      <c r="AB271" t="s">
        <v>120</v>
      </c>
      <c r="AC271" t="s">
        <v>120</v>
      </c>
      <c r="AD271" t="s">
        <v>120</v>
      </c>
      <c r="AE271" t="s">
        <v>120</v>
      </c>
      <c r="AF271" t="s">
        <v>120</v>
      </c>
      <c r="AG271" t="s">
        <v>120</v>
      </c>
      <c r="AH271" t="s">
        <v>120</v>
      </c>
      <c r="AJ271">
        <v>0</v>
      </c>
      <c r="AK271">
        <v>4</v>
      </c>
      <c r="AL271">
        <v>0</v>
      </c>
      <c r="AM271">
        <v>4</v>
      </c>
      <c r="AN271">
        <v>0</v>
      </c>
      <c r="AO271">
        <v>33.43</v>
      </c>
      <c r="AP271">
        <v>4</v>
      </c>
      <c r="AQ271">
        <v>0</v>
      </c>
      <c r="AR271">
        <v>75.06</v>
      </c>
      <c r="AS271">
        <v>267.44</v>
      </c>
    </row>
    <row r="272" spans="1:45" x14ac:dyDescent="0.25">
      <c r="A272" t="s">
        <v>744</v>
      </c>
      <c r="B272" t="s">
        <v>745</v>
      </c>
      <c r="C272" t="s">
        <v>127</v>
      </c>
      <c r="D272" t="s">
        <v>73</v>
      </c>
      <c r="E272" t="s">
        <v>120</v>
      </c>
      <c r="F272" t="s">
        <v>120</v>
      </c>
      <c r="G272" t="s">
        <v>120</v>
      </c>
      <c r="H272" t="s">
        <v>120</v>
      </c>
      <c r="I272" t="s">
        <v>120</v>
      </c>
      <c r="J272" t="s">
        <v>120</v>
      </c>
      <c r="K272" t="s">
        <v>120</v>
      </c>
      <c r="L272" t="s">
        <v>120</v>
      </c>
      <c r="M272" t="s">
        <v>120</v>
      </c>
      <c r="N272" t="s">
        <v>120</v>
      </c>
      <c r="O272" t="s">
        <v>120</v>
      </c>
      <c r="P272" t="s">
        <v>120</v>
      </c>
      <c r="Q272" t="s">
        <v>120</v>
      </c>
      <c r="R272" t="s">
        <v>120</v>
      </c>
      <c r="S272" t="s">
        <v>120</v>
      </c>
      <c r="T272" t="s">
        <v>120</v>
      </c>
      <c r="U272" t="s">
        <v>120</v>
      </c>
      <c r="V272" t="s">
        <v>120</v>
      </c>
      <c r="W272" t="s">
        <v>120</v>
      </c>
      <c r="X272" t="s">
        <v>120</v>
      </c>
      <c r="Y272" t="s">
        <v>120</v>
      </c>
      <c r="Z272" t="s">
        <v>120</v>
      </c>
      <c r="AA272" t="s">
        <v>120</v>
      </c>
      <c r="AB272" t="s">
        <v>120</v>
      </c>
      <c r="AC272" t="s">
        <v>120</v>
      </c>
      <c r="AD272" t="s">
        <v>120</v>
      </c>
      <c r="AE272" t="s">
        <v>120</v>
      </c>
      <c r="AF272" t="s">
        <v>120</v>
      </c>
      <c r="AG272" t="s">
        <v>120</v>
      </c>
      <c r="AH272" t="s">
        <v>120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33.43</v>
      </c>
      <c r="AP272">
        <v>0</v>
      </c>
      <c r="AQ272">
        <v>0</v>
      </c>
      <c r="AR272">
        <v>75.06</v>
      </c>
      <c r="AS272">
        <v>0</v>
      </c>
    </row>
    <row r="273" spans="1:45" x14ac:dyDescent="0.25">
      <c r="A273" t="s">
        <v>746</v>
      </c>
      <c r="B273" t="s">
        <v>747</v>
      </c>
      <c r="C273" t="s">
        <v>147</v>
      </c>
      <c r="D273" t="s">
        <v>73</v>
      </c>
      <c r="E273" t="s">
        <v>120</v>
      </c>
      <c r="F273" t="s">
        <v>120</v>
      </c>
      <c r="G273" t="s">
        <v>120</v>
      </c>
      <c r="H273" t="s">
        <v>120</v>
      </c>
      <c r="I273" t="s">
        <v>120</v>
      </c>
      <c r="J273" t="s">
        <v>120</v>
      </c>
      <c r="K273" t="s">
        <v>120</v>
      </c>
      <c r="L273" t="s">
        <v>120</v>
      </c>
      <c r="M273" t="s">
        <v>120</v>
      </c>
      <c r="N273" t="s">
        <v>120</v>
      </c>
      <c r="O273" t="s">
        <v>120</v>
      </c>
      <c r="P273" t="s">
        <v>120</v>
      </c>
      <c r="Q273" t="s">
        <v>120</v>
      </c>
      <c r="R273" t="s">
        <v>120</v>
      </c>
      <c r="S273" t="s">
        <v>120</v>
      </c>
      <c r="T273" t="s">
        <v>120</v>
      </c>
      <c r="U273" t="s">
        <v>120</v>
      </c>
      <c r="V273" t="s">
        <v>120</v>
      </c>
      <c r="W273" t="s">
        <v>120</v>
      </c>
      <c r="X273" t="s">
        <v>120</v>
      </c>
      <c r="Y273" t="s">
        <v>120</v>
      </c>
      <c r="Z273" t="s">
        <v>120</v>
      </c>
      <c r="AA273" t="s">
        <v>120</v>
      </c>
      <c r="AB273" t="s">
        <v>120</v>
      </c>
      <c r="AC273" t="s">
        <v>120</v>
      </c>
      <c r="AD273" t="s">
        <v>120</v>
      </c>
      <c r="AE273" t="s">
        <v>120</v>
      </c>
      <c r="AF273" t="s">
        <v>120</v>
      </c>
      <c r="AG273" t="s">
        <v>120</v>
      </c>
      <c r="AH273" t="s">
        <v>120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31.55</v>
      </c>
      <c r="AP273">
        <v>0</v>
      </c>
      <c r="AQ273">
        <v>0</v>
      </c>
      <c r="AR273">
        <v>70.2</v>
      </c>
      <c r="AS273">
        <v>0</v>
      </c>
    </row>
    <row r="274" spans="1:45" x14ac:dyDescent="0.25">
      <c r="A274" t="s">
        <v>748</v>
      </c>
      <c r="B274" t="s">
        <v>749</v>
      </c>
      <c r="C274" t="s">
        <v>127</v>
      </c>
      <c r="D274" t="s">
        <v>73</v>
      </c>
      <c r="E274" t="s">
        <v>120</v>
      </c>
      <c r="F274" t="s">
        <v>120</v>
      </c>
      <c r="G274" t="s">
        <v>120</v>
      </c>
      <c r="H274" t="s">
        <v>120</v>
      </c>
      <c r="I274" t="s">
        <v>120</v>
      </c>
      <c r="J274" t="s">
        <v>120</v>
      </c>
      <c r="K274" t="s">
        <v>120</v>
      </c>
      <c r="L274" t="s">
        <v>120</v>
      </c>
      <c r="M274" t="s">
        <v>120</v>
      </c>
      <c r="N274" t="s">
        <v>120</v>
      </c>
      <c r="O274" t="s">
        <v>120</v>
      </c>
      <c r="P274" t="s">
        <v>120</v>
      </c>
      <c r="Q274" t="s">
        <v>120</v>
      </c>
      <c r="R274" t="s">
        <v>120</v>
      </c>
      <c r="S274" t="s">
        <v>120</v>
      </c>
      <c r="T274" t="s">
        <v>120</v>
      </c>
      <c r="U274" t="s">
        <v>120</v>
      </c>
      <c r="V274" t="s">
        <v>120</v>
      </c>
      <c r="W274" t="s">
        <v>120</v>
      </c>
      <c r="X274" t="s">
        <v>120</v>
      </c>
      <c r="Y274" t="s">
        <v>120</v>
      </c>
      <c r="Z274" t="s">
        <v>120</v>
      </c>
      <c r="AA274" t="s">
        <v>120</v>
      </c>
      <c r="AB274" t="s">
        <v>120</v>
      </c>
      <c r="AC274" t="s">
        <v>120</v>
      </c>
      <c r="AD274" t="s">
        <v>120</v>
      </c>
      <c r="AE274" t="s">
        <v>120</v>
      </c>
      <c r="AF274" t="s">
        <v>120</v>
      </c>
      <c r="AG274" t="s">
        <v>120</v>
      </c>
      <c r="AH274" t="s">
        <v>120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33.43</v>
      </c>
      <c r="AP274">
        <v>0</v>
      </c>
      <c r="AQ274">
        <v>0</v>
      </c>
      <c r="AR274">
        <v>75.06</v>
      </c>
      <c r="AS274">
        <v>0</v>
      </c>
    </row>
    <row r="275" spans="1:45" x14ac:dyDescent="0.25">
      <c r="A275" t="s">
        <v>750</v>
      </c>
      <c r="B275" t="s">
        <v>751</v>
      </c>
      <c r="C275" t="s">
        <v>147</v>
      </c>
      <c r="D275" t="s">
        <v>73</v>
      </c>
      <c r="E275" t="s">
        <v>120</v>
      </c>
      <c r="F275" t="s">
        <v>120</v>
      </c>
      <c r="G275" t="s">
        <v>120</v>
      </c>
      <c r="H275" t="s">
        <v>120</v>
      </c>
      <c r="I275" t="s">
        <v>120</v>
      </c>
      <c r="J275" t="s">
        <v>120</v>
      </c>
      <c r="K275" t="s">
        <v>120</v>
      </c>
      <c r="L275" t="s">
        <v>120</v>
      </c>
      <c r="M275" t="s">
        <v>120</v>
      </c>
      <c r="N275" t="s">
        <v>120</v>
      </c>
      <c r="O275" t="s">
        <v>120</v>
      </c>
      <c r="P275" t="s">
        <v>120</v>
      </c>
      <c r="Q275" t="s">
        <v>120</v>
      </c>
      <c r="R275" t="s">
        <v>120</v>
      </c>
      <c r="S275" t="s">
        <v>120</v>
      </c>
      <c r="T275" t="s">
        <v>120</v>
      </c>
      <c r="U275" t="s">
        <v>120</v>
      </c>
      <c r="V275" t="s">
        <v>120</v>
      </c>
      <c r="W275" t="s">
        <v>120</v>
      </c>
      <c r="X275" t="s">
        <v>120</v>
      </c>
      <c r="Y275" t="s">
        <v>120</v>
      </c>
      <c r="Z275" t="s">
        <v>120</v>
      </c>
      <c r="AA275" t="s">
        <v>120</v>
      </c>
      <c r="AB275" t="s">
        <v>120</v>
      </c>
      <c r="AC275" t="s">
        <v>120</v>
      </c>
      <c r="AD275" t="s">
        <v>120</v>
      </c>
      <c r="AE275" t="s">
        <v>120</v>
      </c>
      <c r="AF275" t="s">
        <v>120</v>
      </c>
      <c r="AG275" t="s">
        <v>120</v>
      </c>
      <c r="AH275" t="s">
        <v>120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31.55</v>
      </c>
      <c r="AP275">
        <v>0</v>
      </c>
      <c r="AQ275">
        <v>0</v>
      </c>
      <c r="AR275">
        <v>70.2</v>
      </c>
      <c r="AS275">
        <v>0</v>
      </c>
    </row>
    <row r="276" spans="1:45" x14ac:dyDescent="0.25">
      <c r="A276" t="s">
        <v>752</v>
      </c>
      <c r="B276" t="s">
        <v>753</v>
      </c>
      <c r="C276" t="s">
        <v>127</v>
      </c>
      <c r="D276" t="s">
        <v>73</v>
      </c>
      <c r="E276" t="s">
        <v>120</v>
      </c>
      <c r="F276" t="s">
        <v>120</v>
      </c>
      <c r="G276" t="s">
        <v>120</v>
      </c>
      <c r="H276" t="s">
        <v>120</v>
      </c>
      <c r="I276" t="s">
        <v>120</v>
      </c>
      <c r="J276" t="s">
        <v>120</v>
      </c>
      <c r="K276" t="s">
        <v>120</v>
      </c>
      <c r="L276" t="s">
        <v>120</v>
      </c>
      <c r="M276" t="s">
        <v>120</v>
      </c>
      <c r="N276" t="s">
        <v>120</v>
      </c>
      <c r="O276" t="s">
        <v>120</v>
      </c>
      <c r="P276" t="s">
        <v>120</v>
      </c>
      <c r="Q276" t="s">
        <v>120</v>
      </c>
      <c r="R276" t="s">
        <v>120</v>
      </c>
      <c r="S276" t="s">
        <v>120</v>
      </c>
      <c r="T276" t="s">
        <v>120</v>
      </c>
      <c r="U276" t="s">
        <v>120</v>
      </c>
      <c r="V276" t="s">
        <v>120</v>
      </c>
      <c r="W276" t="s">
        <v>120</v>
      </c>
      <c r="X276" t="s">
        <v>120</v>
      </c>
      <c r="Y276" t="s">
        <v>124</v>
      </c>
      <c r="Z276" t="s">
        <v>120</v>
      </c>
      <c r="AA276" t="s">
        <v>120</v>
      </c>
      <c r="AB276" t="s">
        <v>120</v>
      </c>
      <c r="AC276" t="s">
        <v>120</v>
      </c>
      <c r="AD276" t="s">
        <v>120</v>
      </c>
      <c r="AE276" t="s">
        <v>120</v>
      </c>
      <c r="AF276" t="s">
        <v>120</v>
      </c>
      <c r="AG276" t="s">
        <v>120</v>
      </c>
      <c r="AH276" t="s">
        <v>120</v>
      </c>
      <c r="AJ276">
        <v>0</v>
      </c>
      <c r="AK276">
        <v>4</v>
      </c>
      <c r="AL276">
        <v>0</v>
      </c>
      <c r="AM276">
        <v>4</v>
      </c>
      <c r="AN276">
        <v>0</v>
      </c>
      <c r="AO276">
        <v>33.43</v>
      </c>
      <c r="AP276">
        <v>4</v>
      </c>
      <c r="AQ276">
        <v>0</v>
      </c>
      <c r="AR276">
        <v>75.06</v>
      </c>
      <c r="AS276">
        <v>267.44</v>
      </c>
    </row>
    <row r="277" spans="1:45" x14ac:dyDescent="0.25">
      <c r="A277" t="s">
        <v>754</v>
      </c>
      <c r="B277" t="s">
        <v>755</v>
      </c>
      <c r="C277" t="s">
        <v>147</v>
      </c>
      <c r="D277" t="s">
        <v>73</v>
      </c>
      <c r="E277" t="s">
        <v>120</v>
      </c>
      <c r="F277" t="s">
        <v>120</v>
      </c>
      <c r="G277" t="s">
        <v>120</v>
      </c>
      <c r="H277" t="s">
        <v>120</v>
      </c>
      <c r="I277" t="s">
        <v>120</v>
      </c>
      <c r="J277" t="s">
        <v>120</v>
      </c>
      <c r="K277" t="s">
        <v>120</v>
      </c>
      <c r="L277" t="s">
        <v>120</v>
      </c>
      <c r="M277" t="s">
        <v>120</v>
      </c>
      <c r="N277" t="s">
        <v>120</v>
      </c>
      <c r="O277" t="s">
        <v>120</v>
      </c>
      <c r="P277" t="s">
        <v>120</v>
      </c>
      <c r="Q277" t="s">
        <v>120</v>
      </c>
      <c r="R277" t="s">
        <v>120</v>
      </c>
      <c r="S277" t="s">
        <v>120</v>
      </c>
      <c r="T277" t="s">
        <v>120</v>
      </c>
      <c r="U277" t="s">
        <v>120</v>
      </c>
      <c r="V277" t="s">
        <v>120</v>
      </c>
      <c r="W277" t="s">
        <v>120</v>
      </c>
      <c r="X277" t="s">
        <v>120</v>
      </c>
      <c r="Y277" t="s">
        <v>120</v>
      </c>
      <c r="Z277" t="s">
        <v>120</v>
      </c>
      <c r="AA277" t="s">
        <v>120</v>
      </c>
      <c r="AB277" t="s">
        <v>120</v>
      </c>
      <c r="AC277" t="s">
        <v>120</v>
      </c>
      <c r="AD277" t="s">
        <v>120</v>
      </c>
      <c r="AE277" t="s">
        <v>120</v>
      </c>
      <c r="AF277" t="s">
        <v>120</v>
      </c>
      <c r="AG277" t="s">
        <v>120</v>
      </c>
      <c r="AH277" t="s">
        <v>120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28.25</v>
      </c>
      <c r="AP277">
        <v>0</v>
      </c>
      <c r="AQ277">
        <v>0</v>
      </c>
      <c r="AR277">
        <v>70.2</v>
      </c>
      <c r="AS277">
        <v>0</v>
      </c>
    </row>
    <row r="278" spans="1:45" x14ac:dyDescent="0.25">
      <c r="A278" t="s">
        <v>756</v>
      </c>
      <c r="B278" t="s">
        <v>757</v>
      </c>
      <c r="C278" t="s">
        <v>147</v>
      </c>
      <c r="D278" t="s">
        <v>73</v>
      </c>
      <c r="E278" t="s">
        <v>120</v>
      </c>
      <c r="F278" t="s">
        <v>120</v>
      </c>
      <c r="G278" t="s">
        <v>120</v>
      </c>
      <c r="H278" t="s">
        <v>120</v>
      </c>
      <c r="I278" t="s">
        <v>120</v>
      </c>
      <c r="J278" t="s">
        <v>120</v>
      </c>
      <c r="K278" t="s">
        <v>120</v>
      </c>
      <c r="L278" t="s">
        <v>120</v>
      </c>
      <c r="M278" t="s">
        <v>120</v>
      </c>
      <c r="N278" t="s">
        <v>120</v>
      </c>
      <c r="O278" t="s">
        <v>120</v>
      </c>
      <c r="P278" t="s">
        <v>120</v>
      </c>
      <c r="Q278" t="s">
        <v>120</v>
      </c>
      <c r="R278" t="s">
        <v>120</v>
      </c>
      <c r="S278" t="s">
        <v>120</v>
      </c>
      <c r="T278" t="s">
        <v>120</v>
      </c>
      <c r="U278" t="s">
        <v>120</v>
      </c>
      <c r="V278" t="s">
        <v>120</v>
      </c>
      <c r="W278" t="s">
        <v>120</v>
      </c>
      <c r="X278" t="s">
        <v>120</v>
      </c>
      <c r="Y278" t="s">
        <v>120</v>
      </c>
      <c r="Z278" t="s">
        <v>120</v>
      </c>
      <c r="AA278" t="s">
        <v>120</v>
      </c>
      <c r="AB278" t="s">
        <v>120</v>
      </c>
      <c r="AC278" t="s">
        <v>120</v>
      </c>
      <c r="AD278" t="s">
        <v>120</v>
      </c>
      <c r="AE278" t="s">
        <v>120</v>
      </c>
      <c r="AF278" t="s">
        <v>120</v>
      </c>
      <c r="AG278" t="s">
        <v>120</v>
      </c>
      <c r="AH278" t="s">
        <v>120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28.25</v>
      </c>
      <c r="AP278">
        <v>0</v>
      </c>
      <c r="AQ278">
        <v>0</v>
      </c>
      <c r="AR278">
        <v>70.2</v>
      </c>
      <c r="AS278">
        <v>0</v>
      </c>
    </row>
    <row r="279" spans="1:45" x14ac:dyDescent="0.25">
      <c r="A279" t="s">
        <v>758</v>
      </c>
      <c r="B279" t="s">
        <v>759</v>
      </c>
      <c r="C279" t="s">
        <v>127</v>
      </c>
      <c r="D279" t="s">
        <v>73</v>
      </c>
      <c r="E279" t="s">
        <v>120</v>
      </c>
      <c r="F279" t="s">
        <v>120</v>
      </c>
      <c r="G279" t="s">
        <v>120</v>
      </c>
      <c r="H279" t="s">
        <v>120</v>
      </c>
      <c r="I279" t="s">
        <v>120</v>
      </c>
      <c r="J279" t="s">
        <v>120</v>
      </c>
      <c r="K279" t="s">
        <v>120</v>
      </c>
      <c r="L279" t="s">
        <v>120</v>
      </c>
      <c r="M279" t="s">
        <v>120</v>
      </c>
      <c r="N279" t="s">
        <v>120</v>
      </c>
      <c r="O279" t="s">
        <v>120</v>
      </c>
      <c r="P279" t="s">
        <v>120</v>
      </c>
      <c r="Q279" t="s">
        <v>120</v>
      </c>
      <c r="R279" t="s">
        <v>120</v>
      </c>
      <c r="S279" t="s">
        <v>120</v>
      </c>
      <c r="T279" t="s">
        <v>120</v>
      </c>
      <c r="U279" t="s">
        <v>120</v>
      </c>
      <c r="V279" t="s">
        <v>120</v>
      </c>
      <c r="W279" t="s">
        <v>120</v>
      </c>
      <c r="X279" t="s">
        <v>120</v>
      </c>
      <c r="Y279" t="s">
        <v>120</v>
      </c>
      <c r="Z279" t="s">
        <v>120</v>
      </c>
      <c r="AA279" t="s">
        <v>120</v>
      </c>
      <c r="AB279" t="s">
        <v>120</v>
      </c>
      <c r="AC279" t="s">
        <v>120</v>
      </c>
      <c r="AD279" t="s">
        <v>120</v>
      </c>
      <c r="AE279" t="s">
        <v>120</v>
      </c>
      <c r="AF279" t="s">
        <v>120</v>
      </c>
      <c r="AG279" t="s">
        <v>120</v>
      </c>
      <c r="AH279" t="s">
        <v>120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33.43</v>
      </c>
      <c r="AP279">
        <v>0</v>
      </c>
      <c r="AQ279">
        <v>0</v>
      </c>
      <c r="AR279">
        <v>75.06</v>
      </c>
      <c r="AS279">
        <v>0</v>
      </c>
    </row>
    <row r="280" spans="1:45" x14ac:dyDescent="0.25">
      <c r="A280" t="s">
        <v>760</v>
      </c>
      <c r="B280" t="s">
        <v>761</v>
      </c>
      <c r="C280" t="s">
        <v>130</v>
      </c>
      <c r="D280" t="s">
        <v>73</v>
      </c>
      <c r="E280" t="s">
        <v>120</v>
      </c>
      <c r="F280" t="s">
        <v>120</v>
      </c>
      <c r="G280" t="s">
        <v>120</v>
      </c>
      <c r="H280" t="s">
        <v>120</v>
      </c>
      <c r="I280" t="s">
        <v>120</v>
      </c>
      <c r="J280" t="s">
        <v>120</v>
      </c>
      <c r="K280" t="s">
        <v>120</v>
      </c>
      <c r="L280" t="s">
        <v>120</v>
      </c>
      <c r="M280" t="s">
        <v>120</v>
      </c>
      <c r="N280" t="s">
        <v>120</v>
      </c>
      <c r="O280" t="s">
        <v>120</v>
      </c>
      <c r="P280" t="s">
        <v>120</v>
      </c>
      <c r="Q280" t="s">
        <v>120</v>
      </c>
      <c r="R280" t="s">
        <v>120</v>
      </c>
      <c r="S280" t="s">
        <v>120</v>
      </c>
      <c r="T280" t="s">
        <v>120</v>
      </c>
      <c r="U280" t="s">
        <v>120</v>
      </c>
      <c r="V280" t="s">
        <v>120</v>
      </c>
      <c r="W280" t="s">
        <v>120</v>
      </c>
      <c r="X280" t="s">
        <v>120</v>
      </c>
      <c r="Y280" t="s">
        <v>120</v>
      </c>
      <c r="Z280" t="s">
        <v>120</v>
      </c>
      <c r="AA280" t="s">
        <v>120</v>
      </c>
      <c r="AB280" t="s">
        <v>120</v>
      </c>
      <c r="AC280" t="s">
        <v>120</v>
      </c>
      <c r="AD280" t="s">
        <v>120</v>
      </c>
      <c r="AE280" t="s">
        <v>120</v>
      </c>
      <c r="AF280" t="s">
        <v>120</v>
      </c>
      <c r="AG280" t="s">
        <v>120</v>
      </c>
      <c r="AH280" t="s">
        <v>120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7500</v>
      </c>
      <c r="AP280">
        <v>0</v>
      </c>
      <c r="AQ280">
        <v>0</v>
      </c>
      <c r="AR280">
        <v>126.56250000000001</v>
      </c>
      <c r="AS280">
        <v>0</v>
      </c>
    </row>
    <row r="281" spans="1:45" x14ac:dyDescent="0.25">
      <c r="A281" t="s">
        <v>762</v>
      </c>
      <c r="B281" t="s">
        <v>763</v>
      </c>
      <c r="C281" t="s">
        <v>147</v>
      </c>
      <c r="D281" t="s">
        <v>73</v>
      </c>
      <c r="E281" t="s">
        <v>120</v>
      </c>
      <c r="F281" t="s">
        <v>120</v>
      </c>
      <c r="G281" t="s">
        <v>120</v>
      </c>
      <c r="H281" t="s">
        <v>120</v>
      </c>
      <c r="I281" t="s">
        <v>120</v>
      </c>
      <c r="J281" t="s">
        <v>120</v>
      </c>
      <c r="K281" t="s">
        <v>120</v>
      </c>
      <c r="L281" t="s">
        <v>120</v>
      </c>
      <c r="M281" t="s">
        <v>120</v>
      </c>
      <c r="N281" t="s">
        <v>120</v>
      </c>
      <c r="O281" t="s">
        <v>120</v>
      </c>
      <c r="P281" t="s">
        <v>120</v>
      </c>
      <c r="Q281" t="s">
        <v>120</v>
      </c>
      <c r="R281" t="s">
        <v>120</v>
      </c>
      <c r="S281" t="s">
        <v>120</v>
      </c>
      <c r="T281" t="s">
        <v>120</v>
      </c>
      <c r="U281" t="s">
        <v>120</v>
      </c>
      <c r="V281" t="s">
        <v>120</v>
      </c>
      <c r="W281" t="s">
        <v>120</v>
      </c>
      <c r="X281" t="s">
        <v>120</v>
      </c>
      <c r="Y281" t="s">
        <v>120</v>
      </c>
      <c r="Z281" t="s">
        <v>120</v>
      </c>
      <c r="AA281" t="s">
        <v>120</v>
      </c>
      <c r="AB281" t="s">
        <v>120</v>
      </c>
      <c r="AC281" t="s">
        <v>120</v>
      </c>
      <c r="AD281" t="s">
        <v>120</v>
      </c>
      <c r="AE281" t="s">
        <v>120</v>
      </c>
      <c r="AF281" t="s">
        <v>120</v>
      </c>
      <c r="AG281" t="s">
        <v>120</v>
      </c>
      <c r="AH281" t="s">
        <v>120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31.55</v>
      </c>
      <c r="AP281">
        <v>0</v>
      </c>
      <c r="AQ281">
        <v>0</v>
      </c>
      <c r="AR281">
        <v>70.2</v>
      </c>
      <c r="AS281">
        <v>0</v>
      </c>
    </row>
    <row r="282" spans="1:45" x14ac:dyDescent="0.25">
      <c r="A282" t="s">
        <v>764</v>
      </c>
      <c r="B282" t="s">
        <v>765</v>
      </c>
      <c r="C282" t="s">
        <v>147</v>
      </c>
      <c r="D282" t="s">
        <v>73</v>
      </c>
      <c r="E282" t="s">
        <v>120</v>
      </c>
      <c r="F282" t="s">
        <v>120</v>
      </c>
      <c r="G282" t="s">
        <v>120</v>
      </c>
      <c r="H282" t="s">
        <v>120</v>
      </c>
      <c r="I282" t="s">
        <v>120</v>
      </c>
      <c r="J282" t="s">
        <v>120</v>
      </c>
      <c r="K282" t="s">
        <v>120</v>
      </c>
      <c r="L282" t="s">
        <v>120</v>
      </c>
      <c r="M282" t="s">
        <v>120</v>
      </c>
      <c r="N282" t="s">
        <v>120</v>
      </c>
      <c r="O282" t="s">
        <v>120</v>
      </c>
      <c r="P282" t="s">
        <v>120</v>
      </c>
      <c r="Q282" t="s">
        <v>120</v>
      </c>
      <c r="R282" t="s">
        <v>120</v>
      </c>
      <c r="S282" t="s">
        <v>120</v>
      </c>
      <c r="T282" t="s">
        <v>120</v>
      </c>
      <c r="U282" t="s">
        <v>120</v>
      </c>
      <c r="V282" t="s">
        <v>120</v>
      </c>
      <c r="W282" t="s">
        <v>120</v>
      </c>
      <c r="X282" t="s">
        <v>120</v>
      </c>
      <c r="Y282" t="s">
        <v>120</v>
      </c>
      <c r="Z282" t="s">
        <v>120</v>
      </c>
      <c r="AA282" t="s">
        <v>120</v>
      </c>
      <c r="AB282" t="s">
        <v>120</v>
      </c>
      <c r="AC282" t="s">
        <v>120</v>
      </c>
      <c r="AD282" t="s">
        <v>120</v>
      </c>
      <c r="AE282" t="s">
        <v>120</v>
      </c>
      <c r="AF282" t="s">
        <v>120</v>
      </c>
      <c r="AG282" t="s">
        <v>120</v>
      </c>
      <c r="AH282" t="s">
        <v>120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31.55</v>
      </c>
      <c r="AP282">
        <v>0</v>
      </c>
      <c r="AQ282">
        <v>0</v>
      </c>
      <c r="AR282">
        <v>70.2</v>
      </c>
      <c r="AS282">
        <v>0</v>
      </c>
    </row>
    <row r="283" spans="1:45" x14ac:dyDescent="0.25">
      <c r="A283" t="s">
        <v>766</v>
      </c>
      <c r="B283" t="s">
        <v>767</v>
      </c>
      <c r="C283" t="s">
        <v>127</v>
      </c>
      <c r="D283" t="s">
        <v>73</v>
      </c>
      <c r="E283" t="s">
        <v>120</v>
      </c>
      <c r="F283" t="s">
        <v>120</v>
      </c>
      <c r="G283" t="s">
        <v>120</v>
      </c>
      <c r="H283" t="s">
        <v>120</v>
      </c>
      <c r="I283" t="s">
        <v>120</v>
      </c>
      <c r="J283" t="s">
        <v>120</v>
      </c>
      <c r="K283" t="s">
        <v>120</v>
      </c>
      <c r="L283" t="s">
        <v>120</v>
      </c>
      <c r="M283" t="s">
        <v>120</v>
      </c>
      <c r="N283" t="s">
        <v>120</v>
      </c>
      <c r="O283" t="s">
        <v>120</v>
      </c>
      <c r="P283" t="s">
        <v>120</v>
      </c>
      <c r="Q283" t="s">
        <v>120</v>
      </c>
      <c r="R283" t="s">
        <v>120</v>
      </c>
      <c r="S283" t="s">
        <v>120</v>
      </c>
      <c r="T283" t="s">
        <v>120</v>
      </c>
      <c r="U283" t="s">
        <v>120</v>
      </c>
      <c r="V283" t="s">
        <v>120</v>
      </c>
      <c r="W283" t="s">
        <v>120</v>
      </c>
      <c r="X283" t="s">
        <v>120</v>
      </c>
      <c r="Y283" t="s">
        <v>120</v>
      </c>
      <c r="Z283" t="s">
        <v>120</v>
      </c>
      <c r="AA283" t="s">
        <v>120</v>
      </c>
      <c r="AB283" t="s">
        <v>120</v>
      </c>
      <c r="AC283" t="s">
        <v>120</v>
      </c>
      <c r="AD283" t="s">
        <v>120</v>
      </c>
      <c r="AE283" t="s">
        <v>120</v>
      </c>
      <c r="AF283" t="s">
        <v>120</v>
      </c>
      <c r="AG283" t="s">
        <v>120</v>
      </c>
      <c r="AH283" t="s">
        <v>120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33.43</v>
      </c>
      <c r="AP283">
        <v>0</v>
      </c>
      <c r="AQ283">
        <v>0</v>
      </c>
      <c r="AR283">
        <v>75.06</v>
      </c>
      <c r="AS283">
        <v>0</v>
      </c>
    </row>
    <row r="284" spans="1:45" x14ac:dyDescent="0.25">
      <c r="A284" t="s">
        <v>768</v>
      </c>
      <c r="B284" t="s">
        <v>769</v>
      </c>
      <c r="C284" t="s">
        <v>147</v>
      </c>
      <c r="D284" t="s">
        <v>73</v>
      </c>
      <c r="E284" t="s">
        <v>120</v>
      </c>
      <c r="F284" t="s">
        <v>120</v>
      </c>
      <c r="G284" t="s">
        <v>120</v>
      </c>
      <c r="H284" t="s">
        <v>120</v>
      </c>
      <c r="I284" t="s">
        <v>120</v>
      </c>
      <c r="J284" t="s">
        <v>120</v>
      </c>
      <c r="K284" t="s">
        <v>120</v>
      </c>
      <c r="L284" t="s">
        <v>120</v>
      </c>
      <c r="M284" t="s">
        <v>120</v>
      </c>
      <c r="N284" t="s">
        <v>120</v>
      </c>
      <c r="O284" t="s">
        <v>120</v>
      </c>
      <c r="P284" t="s">
        <v>120</v>
      </c>
      <c r="Q284" t="s">
        <v>120</v>
      </c>
      <c r="R284" t="s">
        <v>120</v>
      </c>
      <c r="S284" t="s">
        <v>120</v>
      </c>
      <c r="T284" t="s">
        <v>120</v>
      </c>
      <c r="U284" t="s">
        <v>120</v>
      </c>
      <c r="V284" t="s">
        <v>120</v>
      </c>
      <c r="W284" t="s">
        <v>120</v>
      </c>
      <c r="X284" t="s">
        <v>120</v>
      </c>
      <c r="Y284" t="s">
        <v>120</v>
      </c>
      <c r="Z284" t="s">
        <v>120</v>
      </c>
      <c r="AA284" t="s">
        <v>120</v>
      </c>
      <c r="AB284" t="s">
        <v>120</v>
      </c>
      <c r="AC284" t="s">
        <v>120</v>
      </c>
      <c r="AD284" t="s">
        <v>120</v>
      </c>
      <c r="AE284" t="s">
        <v>120</v>
      </c>
      <c r="AF284" t="s">
        <v>120</v>
      </c>
      <c r="AG284" t="s">
        <v>120</v>
      </c>
      <c r="AH284" t="s">
        <v>120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31.55</v>
      </c>
      <c r="AP284">
        <v>0</v>
      </c>
      <c r="AQ284">
        <v>0</v>
      </c>
      <c r="AR284">
        <v>70.2</v>
      </c>
      <c r="AS284">
        <v>0</v>
      </c>
    </row>
    <row r="285" spans="1:45" x14ac:dyDescent="0.25">
      <c r="A285" t="s">
        <v>770</v>
      </c>
      <c r="B285" t="s">
        <v>771</v>
      </c>
      <c r="C285" t="s">
        <v>147</v>
      </c>
      <c r="D285" t="s">
        <v>73</v>
      </c>
      <c r="E285" t="s">
        <v>120</v>
      </c>
      <c r="F285" t="s">
        <v>120</v>
      </c>
      <c r="G285" t="s">
        <v>120</v>
      </c>
      <c r="H285" t="s">
        <v>120</v>
      </c>
      <c r="I285" t="s">
        <v>120</v>
      </c>
      <c r="J285" t="s">
        <v>120</v>
      </c>
      <c r="K285" t="s">
        <v>120</v>
      </c>
      <c r="L285" t="s">
        <v>120</v>
      </c>
      <c r="M285" t="s">
        <v>120</v>
      </c>
      <c r="N285" t="s">
        <v>120</v>
      </c>
      <c r="O285" t="s">
        <v>120</v>
      </c>
      <c r="P285" t="s">
        <v>120</v>
      </c>
      <c r="Q285" t="s">
        <v>120</v>
      </c>
      <c r="R285" t="s">
        <v>120</v>
      </c>
      <c r="S285" t="s">
        <v>120</v>
      </c>
      <c r="T285" t="s">
        <v>120</v>
      </c>
      <c r="U285" t="s">
        <v>120</v>
      </c>
      <c r="V285" t="s">
        <v>120</v>
      </c>
      <c r="W285" t="s">
        <v>120</v>
      </c>
      <c r="X285" t="s">
        <v>120</v>
      </c>
      <c r="Y285" t="s">
        <v>124</v>
      </c>
      <c r="Z285" t="s">
        <v>120</v>
      </c>
      <c r="AA285" t="s">
        <v>120</v>
      </c>
      <c r="AB285" t="s">
        <v>120</v>
      </c>
      <c r="AC285" t="s">
        <v>120</v>
      </c>
      <c r="AD285" t="s">
        <v>120</v>
      </c>
      <c r="AE285" t="s">
        <v>120</v>
      </c>
      <c r="AF285" t="s">
        <v>120</v>
      </c>
      <c r="AG285" t="s">
        <v>120</v>
      </c>
      <c r="AH285" t="s">
        <v>120</v>
      </c>
      <c r="AJ285">
        <v>0</v>
      </c>
      <c r="AK285">
        <v>4</v>
      </c>
      <c r="AL285">
        <v>0</v>
      </c>
      <c r="AM285">
        <v>4</v>
      </c>
      <c r="AN285">
        <v>0</v>
      </c>
      <c r="AO285">
        <v>31.55</v>
      </c>
      <c r="AP285">
        <v>4</v>
      </c>
      <c r="AQ285">
        <v>0</v>
      </c>
      <c r="AR285">
        <v>70.2</v>
      </c>
      <c r="AS285">
        <v>252.4</v>
      </c>
    </row>
    <row r="286" spans="1:45" x14ac:dyDescent="0.25">
      <c r="A286" t="s">
        <v>772</v>
      </c>
      <c r="B286" t="s">
        <v>773</v>
      </c>
      <c r="C286" t="s">
        <v>127</v>
      </c>
      <c r="D286" t="s">
        <v>73</v>
      </c>
      <c r="E286" t="s">
        <v>120</v>
      </c>
      <c r="F286" t="s">
        <v>120</v>
      </c>
      <c r="G286" t="s">
        <v>120</v>
      </c>
      <c r="H286" t="s">
        <v>120</v>
      </c>
      <c r="I286" t="s">
        <v>120</v>
      </c>
      <c r="J286" t="s">
        <v>120</v>
      </c>
      <c r="K286" t="s">
        <v>120</v>
      </c>
      <c r="L286" t="s">
        <v>120</v>
      </c>
      <c r="M286" t="s">
        <v>120</v>
      </c>
      <c r="N286" t="s">
        <v>120</v>
      </c>
      <c r="O286" t="s">
        <v>120</v>
      </c>
      <c r="P286" t="s">
        <v>120</v>
      </c>
      <c r="Q286" t="s">
        <v>120</v>
      </c>
      <c r="R286" t="s">
        <v>120</v>
      </c>
      <c r="S286" t="s">
        <v>120</v>
      </c>
      <c r="T286" t="s">
        <v>120</v>
      </c>
      <c r="U286" t="s">
        <v>120</v>
      </c>
      <c r="V286" t="s">
        <v>120</v>
      </c>
      <c r="W286" t="s">
        <v>120</v>
      </c>
      <c r="X286" t="s">
        <v>120</v>
      </c>
      <c r="Y286" t="s">
        <v>120</v>
      </c>
      <c r="Z286" t="s">
        <v>120</v>
      </c>
      <c r="AA286" t="s">
        <v>120</v>
      </c>
      <c r="AB286" t="s">
        <v>120</v>
      </c>
      <c r="AC286" t="s">
        <v>120</v>
      </c>
      <c r="AD286" t="s">
        <v>120</v>
      </c>
      <c r="AE286" t="s">
        <v>120</v>
      </c>
      <c r="AF286" t="s">
        <v>120</v>
      </c>
      <c r="AG286" t="s">
        <v>120</v>
      </c>
      <c r="AH286" t="s">
        <v>120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33.43</v>
      </c>
      <c r="AP286">
        <v>0</v>
      </c>
      <c r="AQ286">
        <v>0</v>
      </c>
      <c r="AR286">
        <v>75.06</v>
      </c>
      <c r="AS286">
        <v>0</v>
      </c>
    </row>
    <row r="287" spans="1:45" x14ac:dyDescent="0.25">
      <c r="A287" t="s">
        <v>774</v>
      </c>
      <c r="B287" t="s">
        <v>775</v>
      </c>
      <c r="C287" t="s">
        <v>147</v>
      </c>
      <c r="D287" t="s">
        <v>73</v>
      </c>
      <c r="E287" t="s">
        <v>120</v>
      </c>
      <c r="F287" t="s">
        <v>120</v>
      </c>
      <c r="G287" t="s">
        <v>120</v>
      </c>
      <c r="H287" t="s">
        <v>120</v>
      </c>
      <c r="I287" t="s">
        <v>120</v>
      </c>
      <c r="J287" t="s">
        <v>120</v>
      </c>
      <c r="K287" t="s">
        <v>120</v>
      </c>
      <c r="L287" t="s">
        <v>120</v>
      </c>
      <c r="M287" t="s">
        <v>120</v>
      </c>
      <c r="N287" t="s">
        <v>120</v>
      </c>
      <c r="O287" t="s">
        <v>120</v>
      </c>
      <c r="P287" t="s">
        <v>120</v>
      </c>
      <c r="Q287" t="s">
        <v>120</v>
      </c>
      <c r="R287" t="s">
        <v>120</v>
      </c>
      <c r="S287" t="s">
        <v>120</v>
      </c>
      <c r="T287" t="s">
        <v>120</v>
      </c>
      <c r="U287" t="s">
        <v>120</v>
      </c>
      <c r="V287" t="s">
        <v>120</v>
      </c>
      <c r="W287" t="s">
        <v>120</v>
      </c>
      <c r="X287" t="s">
        <v>120</v>
      </c>
      <c r="Y287" t="s">
        <v>120</v>
      </c>
      <c r="Z287" t="s">
        <v>120</v>
      </c>
      <c r="AA287" t="s">
        <v>120</v>
      </c>
      <c r="AB287" t="s">
        <v>120</v>
      </c>
      <c r="AC287" t="s">
        <v>120</v>
      </c>
      <c r="AD287" t="s">
        <v>120</v>
      </c>
      <c r="AE287" t="s">
        <v>120</v>
      </c>
      <c r="AF287" t="s">
        <v>120</v>
      </c>
      <c r="AG287" t="s">
        <v>120</v>
      </c>
      <c r="AH287" t="s">
        <v>120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31.55</v>
      </c>
      <c r="AP287">
        <v>0</v>
      </c>
      <c r="AQ287">
        <v>0</v>
      </c>
      <c r="AR287">
        <v>70.2</v>
      </c>
      <c r="AS287">
        <v>0</v>
      </c>
    </row>
    <row r="288" spans="1:45" x14ac:dyDescent="0.25">
      <c r="A288" t="s">
        <v>776</v>
      </c>
      <c r="B288" t="s">
        <v>777</v>
      </c>
      <c r="C288" t="s">
        <v>147</v>
      </c>
      <c r="D288" t="s">
        <v>73</v>
      </c>
      <c r="E288" t="s">
        <v>120</v>
      </c>
      <c r="F288" t="s">
        <v>120</v>
      </c>
      <c r="G288" t="s">
        <v>120</v>
      </c>
      <c r="H288" t="s">
        <v>120</v>
      </c>
      <c r="I288" t="s">
        <v>120</v>
      </c>
      <c r="J288" t="s">
        <v>120</v>
      </c>
      <c r="K288" t="s">
        <v>120</v>
      </c>
      <c r="L288" t="s">
        <v>120</v>
      </c>
      <c r="M288" t="s">
        <v>120</v>
      </c>
      <c r="N288" t="s">
        <v>120</v>
      </c>
      <c r="O288" t="s">
        <v>120</v>
      </c>
      <c r="P288" t="s">
        <v>120</v>
      </c>
      <c r="Q288" t="s">
        <v>120</v>
      </c>
      <c r="R288" t="s">
        <v>120</v>
      </c>
      <c r="S288" t="s">
        <v>120</v>
      </c>
      <c r="T288" t="s">
        <v>120</v>
      </c>
      <c r="U288" t="s">
        <v>120</v>
      </c>
      <c r="V288" t="s">
        <v>120</v>
      </c>
      <c r="W288" t="s">
        <v>120</v>
      </c>
      <c r="X288" t="s">
        <v>120</v>
      </c>
      <c r="Y288" t="s">
        <v>120</v>
      </c>
      <c r="Z288" t="s">
        <v>120</v>
      </c>
      <c r="AA288" t="s">
        <v>120</v>
      </c>
      <c r="AB288" t="s">
        <v>120</v>
      </c>
      <c r="AC288" t="s">
        <v>120</v>
      </c>
      <c r="AD288" t="s">
        <v>120</v>
      </c>
      <c r="AE288" t="s">
        <v>120</v>
      </c>
      <c r="AF288" t="s">
        <v>120</v>
      </c>
      <c r="AG288" t="s">
        <v>120</v>
      </c>
      <c r="AH288" t="s">
        <v>120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31.55</v>
      </c>
      <c r="AP288">
        <v>0</v>
      </c>
      <c r="AQ288">
        <v>0</v>
      </c>
      <c r="AR288">
        <v>70.2</v>
      </c>
      <c r="AS288">
        <v>0</v>
      </c>
    </row>
    <row r="289" spans="1:45" x14ac:dyDescent="0.25">
      <c r="A289" t="s">
        <v>778</v>
      </c>
      <c r="B289" t="s">
        <v>779</v>
      </c>
      <c r="C289" t="s">
        <v>127</v>
      </c>
      <c r="D289" t="s">
        <v>73</v>
      </c>
      <c r="E289" t="s">
        <v>120</v>
      </c>
      <c r="F289" t="s">
        <v>120</v>
      </c>
      <c r="G289" t="s">
        <v>120</v>
      </c>
      <c r="H289" t="s">
        <v>120</v>
      </c>
      <c r="I289" t="s">
        <v>120</v>
      </c>
      <c r="J289" t="s">
        <v>120</v>
      </c>
      <c r="K289" t="s">
        <v>120</v>
      </c>
      <c r="L289" t="s">
        <v>120</v>
      </c>
      <c r="M289" t="s">
        <v>120</v>
      </c>
      <c r="N289" t="s">
        <v>120</v>
      </c>
      <c r="O289" t="s">
        <v>120</v>
      </c>
      <c r="P289" t="s">
        <v>120</v>
      </c>
      <c r="Q289" t="s">
        <v>120</v>
      </c>
      <c r="R289" t="s">
        <v>120</v>
      </c>
      <c r="S289" t="s">
        <v>120</v>
      </c>
      <c r="T289" t="s">
        <v>120</v>
      </c>
      <c r="U289" t="s">
        <v>120</v>
      </c>
      <c r="V289" t="s">
        <v>120</v>
      </c>
      <c r="W289" t="s">
        <v>120</v>
      </c>
      <c r="X289" t="s">
        <v>120</v>
      </c>
      <c r="Y289" t="s">
        <v>120</v>
      </c>
      <c r="Z289" t="s">
        <v>120</v>
      </c>
      <c r="AA289" t="s">
        <v>120</v>
      </c>
      <c r="AB289" t="s">
        <v>120</v>
      </c>
      <c r="AC289" t="s">
        <v>120</v>
      </c>
      <c r="AD289" t="s">
        <v>120</v>
      </c>
      <c r="AE289" t="s">
        <v>120</v>
      </c>
      <c r="AF289" t="s">
        <v>120</v>
      </c>
      <c r="AG289" t="s">
        <v>120</v>
      </c>
      <c r="AH289" t="s">
        <v>120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33.43</v>
      </c>
      <c r="AP289">
        <v>0</v>
      </c>
      <c r="AQ289">
        <v>0</v>
      </c>
      <c r="AR289">
        <v>75.06</v>
      </c>
      <c r="AS289">
        <v>0</v>
      </c>
    </row>
    <row r="290" spans="1:45" x14ac:dyDescent="0.25">
      <c r="A290" t="s">
        <v>780</v>
      </c>
      <c r="B290" t="s">
        <v>781</v>
      </c>
      <c r="C290" t="s">
        <v>127</v>
      </c>
      <c r="D290" t="s">
        <v>69</v>
      </c>
      <c r="E290" t="s">
        <v>120</v>
      </c>
      <c r="F290" t="s">
        <v>120</v>
      </c>
      <c r="G290" t="s">
        <v>120</v>
      </c>
      <c r="H290" t="s">
        <v>120</v>
      </c>
      <c r="I290" t="s">
        <v>120</v>
      </c>
      <c r="J290" t="s">
        <v>120</v>
      </c>
      <c r="K290" t="s">
        <v>120</v>
      </c>
      <c r="L290" t="s">
        <v>120</v>
      </c>
      <c r="M290" t="s">
        <v>120</v>
      </c>
      <c r="N290" t="s">
        <v>120</v>
      </c>
      <c r="O290" t="s">
        <v>120</v>
      </c>
      <c r="P290" t="s">
        <v>120</v>
      </c>
      <c r="Q290" t="s">
        <v>120</v>
      </c>
      <c r="R290" t="s">
        <v>120</v>
      </c>
      <c r="S290" t="s">
        <v>120</v>
      </c>
      <c r="T290" t="s">
        <v>120</v>
      </c>
      <c r="U290" t="s">
        <v>120</v>
      </c>
      <c r="V290" t="s">
        <v>120</v>
      </c>
      <c r="W290" t="s">
        <v>120</v>
      </c>
      <c r="X290" t="s">
        <v>120</v>
      </c>
      <c r="Y290" t="s">
        <v>120</v>
      </c>
      <c r="Z290" t="s">
        <v>120</v>
      </c>
      <c r="AA290" t="s">
        <v>120</v>
      </c>
      <c r="AB290" t="s">
        <v>120</v>
      </c>
      <c r="AC290" t="s">
        <v>120</v>
      </c>
      <c r="AD290" t="s">
        <v>120</v>
      </c>
      <c r="AE290" t="s">
        <v>120</v>
      </c>
      <c r="AF290" t="s">
        <v>120</v>
      </c>
      <c r="AG290" t="s">
        <v>120</v>
      </c>
      <c r="AH290" t="s">
        <v>120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33.43</v>
      </c>
      <c r="AP290">
        <v>0</v>
      </c>
      <c r="AQ290">
        <v>0</v>
      </c>
      <c r="AR290">
        <v>75.06</v>
      </c>
      <c r="AS290">
        <v>0</v>
      </c>
    </row>
    <row r="291" spans="1:45" x14ac:dyDescent="0.25">
      <c r="A291" t="s">
        <v>782</v>
      </c>
      <c r="B291" t="s">
        <v>783</v>
      </c>
      <c r="C291" t="s">
        <v>127</v>
      </c>
      <c r="D291" t="s">
        <v>69</v>
      </c>
      <c r="E291" t="s">
        <v>120</v>
      </c>
      <c r="F291" t="s">
        <v>120</v>
      </c>
      <c r="G291" t="s">
        <v>120</v>
      </c>
      <c r="H291" t="s">
        <v>120</v>
      </c>
      <c r="I291" t="s">
        <v>120</v>
      </c>
      <c r="J291" t="s">
        <v>120</v>
      </c>
      <c r="K291" t="s">
        <v>120</v>
      </c>
      <c r="L291" t="s">
        <v>120</v>
      </c>
      <c r="M291" t="s">
        <v>120</v>
      </c>
      <c r="N291" t="s">
        <v>120</v>
      </c>
      <c r="O291" t="s">
        <v>120</v>
      </c>
      <c r="P291" t="s">
        <v>120</v>
      </c>
      <c r="Q291" t="s">
        <v>120</v>
      </c>
      <c r="R291" t="s">
        <v>120</v>
      </c>
      <c r="S291" t="s">
        <v>120</v>
      </c>
      <c r="T291" t="s">
        <v>120</v>
      </c>
      <c r="U291" t="s">
        <v>120</v>
      </c>
      <c r="V291" t="s">
        <v>120</v>
      </c>
      <c r="W291" t="s">
        <v>120</v>
      </c>
      <c r="X291" t="s">
        <v>120</v>
      </c>
      <c r="Y291" t="s">
        <v>120</v>
      </c>
      <c r="Z291" t="s">
        <v>120</v>
      </c>
      <c r="AA291" t="s">
        <v>120</v>
      </c>
      <c r="AB291" t="s">
        <v>120</v>
      </c>
      <c r="AC291" t="s">
        <v>120</v>
      </c>
      <c r="AD291" t="s">
        <v>120</v>
      </c>
      <c r="AE291" t="s">
        <v>120</v>
      </c>
      <c r="AF291" t="s">
        <v>120</v>
      </c>
      <c r="AG291" t="s">
        <v>120</v>
      </c>
      <c r="AH291" t="s">
        <v>120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33.43</v>
      </c>
      <c r="AP291">
        <v>0</v>
      </c>
      <c r="AQ291">
        <v>0</v>
      </c>
      <c r="AR291">
        <v>75.06</v>
      </c>
      <c r="AS291">
        <v>0</v>
      </c>
    </row>
    <row r="292" spans="1:45" x14ac:dyDescent="0.25">
      <c r="A292" t="s">
        <v>784</v>
      </c>
      <c r="B292" t="s">
        <v>785</v>
      </c>
      <c r="C292" t="s">
        <v>147</v>
      </c>
      <c r="D292" t="s">
        <v>69</v>
      </c>
      <c r="E292" t="s">
        <v>120</v>
      </c>
      <c r="F292" t="s">
        <v>120</v>
      </c>
      <c r="G292" t="s">
        <v>120</v>
      </c>
      <c r="H292" t="s">
        <v>120</v>
      </c>
      <c r="I292" t="s">
        <v>120</v>
      </c>
      <c r="J292" t="s">
        <v>120</v>
      </c>
      <c r="K292" t="s">
        <v>120</v>
      </c>
      <c r="L292" t="s">
        <v>120</v>
      </c>
      <c r="M292" t="s">
        <v>120</v>
      </c>
      <c r="N292" t="s">
        <v>120</v>
      </c>
      <c r="O292" t="s">
        <v>120</v>
      </c>
      <c r="P292" t="s">
        <v>120</v>
      </c>
      <c r="Q292" t="s">
        <v>120</v>
      </c>
      <c r="R292" t="s">
        <v>120</v>
      </c>
      <c r="S292" t="s">
        <v>120</v>
      </c>
      <c r="T292" t="s">
        <v>120</v>
      </c>
      <c r="U292" t="s">
        <v>120</v>
      </c>
      <c r="V292" t="s">
        <v>120</v>
      </c>
      <c r="W292" t="s">
        <v>120</v>
      </c>
      <c r="X292" t="s">
        <v>120</v>
      </c>
      <c r="Y292" t="s">
        <v>120</v>
      </c>
      <c r="Z292" t="s">
        <v>120</v>
      </c>
      <c r="AA292" t="s">
        <v>120</v>
      </c>
      <c r="AB292" t="s">
        <v>120</v>
      </c>
      <c r="AC292" t="s">
        <v>120</v>
      </c>
      <c r="AD292" t="s">
        <v>120</v>
      </c>
      <c r="AE292" t="s">
        <v>120</v>
      </c>
      <c r="AF292" t="s">
        <v>120</v>
      </c>
      <c r="AG292" t="s">
        <v>120</v>
      </c>
      <c r="AH292" t="s">
        <v>120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31.55</v>
      </c>
      <c r="AP292">
        <v>0</v>
      </c>
      <c r="AQ292">
        <v>0</v>
      </c>
      <c r="AR292">
        <v>70.2</v>
      </c>
      <c r="AS292">
        <v>0</v>
      </c>
    </row>
    <row r="293" spans="1:45" x14ac:dyDescent="0.25">
      <c r="A293" t="s">
        <v>786</v>
      </c>
      <c r="B293" t="s">
        <v>787</v>
      </c>
      <c r="C293" t="s">
        <v>127</v>
      </c>
      <c r="D293" t="s">
        <v>69</v>
      </c>
      <c r="E293" t="s">
        <v>120</v>
      </c>
      <c r="F293" t="s">
        <v>120</v>
      </c>
      <c r="G293" t="s">
        <v>120</v>
      </c>
      <c r="H293" t="s">
        <v>120</v>
      </c>
      <c r="I293" t="s">
        <v>120</v>
      </c>
      <c r="J293" t="s">
        <v>120</v>
      </c>
      <c r="K293" t="s">
        <v>120</v>
      </c>
      <c r="L293" t="s">
        <v>120</v>
      </c>
      <c r="M293" t="s">
        <v>120</v>
      </c>
      <c r="N293" t="s">
        <v>120</v>
      </c>
      <c r="O293" t="s">
        <v>120</v>
      </c>
      <c r="P293" t="s">
        <v>120</v>
      </c>
      <c r="Q293" t="s">
        <v>120</v>
      </c>
      <c r="R293" t="s">
        <v>120</v>
      </c>
      <c r="S293" t="s">
        <v>120</v>
      </c>
      <c r="T293" t="s">
        <v>120</v>
      </c>
      <c r="U293" t="s">
        <v>120</v>
      </c>
      <c r="V293" t="s">
        <v>120</v>
      </c>
      <c r="W293" t="s">
        <v>120</v>
      </c>
      <c r="X293" t="s">
        <v>120</v>
      </c>
      <c r="Y293" t="s">
        <v>120</v>
      </c>
      <c r="Z293" t="s">
        <v>135</v>
      </c>
      <c r="AA293" t="s">
        <v>120</v>
      </c>
      <c r="AB293" t="s">
        <v>120</v>
      </c>
      <c r="AC293" t="s">
        <v>120</v>
      </c>
      <c r="AD293" t="s">
        <v>120</v>
      </c>
      <c r="AE293" t="s">
        <v>120</v>
      </c>
      <c r="AF293" t="s">
        <v>120</v>
      </c>
      <c r="AG293" t="s">
        <v>120</v>
      </c>
      <c r="AH293" t="s">
        <v>120</v>
      </c>
      <c r="AJ293">
        <v>0</v>
      </c>
      <c r="AK293">
        <v>8</v>
      </c>
      <c r="AL293">
        <v>0</v>
      </c>
      <c r="AM293">
        <v>8</v>
      </c>
      <c r="AN293">
        <v>0</v>
      </c>
      <c r="AO293">
        <v>33.43</v>
      </c>
      <c r="AP293">
        <v>8</v>
      </c>
      <c r="AQ293">
        <v>0</v>
      </c>
      <c r="AR293">
        <v>75.06</v>
      </c>
      <c r="AS293">
        <v>534.88</v>
      </c>
    </row>
    <row r="294" spans="1:45" x14ac:dyDescent="0.25">
      <c r="A294" t="s">
        <v>788</v>
      </c>
      <c r="B294" t="s">
        <v>789</v>
      </c>
      <c r="C294" t="s">
        <v>147</v>
      </c>
      <c r="D294" t="s">
        <v>69</v>
      </c>
      <c r="E294" t="s">
        <v>120</v>
      </c>
      <c r="F294" t="s">
        <v>120</v>
      </c>
      <c r="G294" t="s">
        <v>120</v>
      </c>
      <c r="H294" t="s">
        <v>120</v>
      </c>
      <c r="I294" t="s">
        <v>120</v>
      </c>
      <c r="J294" t="s">
        <v>120</v>
      </c>
      <c r="K294" t="s">
        <v>120</v>
      </c>
      <c r="L294" t="s">
        <v>120</v>
      </c>
      <c r="M294" t="s">
        <v>120</v>
      </c>
      <c r="N294" t="s">
        <v>120</v>
      </c>
      <c r="O294" t="s">
        <v>120</v>
      </c>
      <c r="P294" t="s">
        <v>120</v>
      </c>
      <c r="Q294" t="s">
        <v>120</v>
      </c>
      <c r="R294" t="s">
        <v>120</v>
      </c>
      <c r="S294" t="s">
        <v>120</v>
      </c>
      <c r="T294" t="s">
        <v>120</v>
      </c>
      <c r="U294" t="s">
        <v>120</v>
      </c>
      <c r="V294" t="s">
        <v>120</v>
      </c>
      <c r="W294" t="s">
        <v>120</v>
      </c>
      <c r="X294" t="s">
        <v>120</v>
      </c>
      <c r="Y294" t="s">
        <v>120</v>
      </c>
      <c r="Z294" t="s">
        <v>135</v>
      </c>
      <c r="AA294" t="s">
        <v>120</v>
      </c>
      <c r="AB294" t="s">
        <v>120</v>
      </c>
      <c r="AC294" t="s">
        <v>120</v>
      </c>
      <c r="AD294" t="s">
        <v>120</v>
      </c>
      <c r="AE294" t="s">
        <v>120</v>
      </c>
      <c r="AF294" t="s">
        <v>120</v>
      </c>
      <c r="AG294" t="s">
        <v>120</v>
      </c>
      <c r="AH294" t="s">
        <v>120</v>
      </c>
      <c r="AJ294">
        <v>0</v>
      </c>
      <c r="AK294">
        <v>8</v>
      </c>
      <c r="AL294">
        <v>0</v>
      </c>
      <c r="AM294">
        <v>8</v>
      </c>
      <c r="AN294">
        <v>0</v>
      </c>
      <c r="AO294">
        <v>31.55</v>
      </c>
      <c r="AP294">
        <v>8</v>
      </c>
      <c r="AQ294">
        <v>0</v>
      </c>
      <c r="AR294">
        <v>70.2</v>
      </c>
      <c r="AS294">
        <v>504.8</v>
      </c>
    </row>
    <row r="295" spans="1:45" x14ac:dyDescent="0.25">
      <c r="A295" t="s">
        <v>790</v>
      </c>
      <c r="B295" t="s">
        <v>791</v>
      </c>
      <c r="C295" t="s">
        <v>147</v>
      </c>
      <c r="D295" t="s">
        <v>69</v>
      </c>
      <c r="E295" t="s">
        <v>120</v>
      </c>
      <c r="F295" t="s">
        <v>120</v>
      </c>
      <c r="G295" t="s">
        <v>120</v>
      </c>
      <c r="H295" t="s">
        <v>120</v>
      </c>
      <c r="I295" t="s">
        <v>120</v>
      </c>
      <c r="J295" t="s">
        <v>120</v>
      </c>
      <c r="K295" t="s">
        <v>120</v>
      </c>
      <c r="L295" t="s">
        <v>120</v>
      </c>
      <c r="M295" t="s">
        <v>120</v>
      </c>
      <c r="N295" t="s">
        <v>120</v>
      </c>
      <c r="O295" t="s">
        <v>120</v>
      </c>
      <c r="P295" t="s">
        <v>120</v>
      </c>
      <c r="Q295" t="s">
        <v>120</v>
      </c>
      <c r="R295" t="s">
        <v>120</v>
      </c>
      <c r="S295" t="s">
        <v>120</v>
      </c>
      <c r="T295" t="s">
        <v>120</v>
      </c>
      <c r="U295" t="s">
        <v>120</v>
      </c>
      <c r="V295" t="s">
        <v>120</v>
      </c>
      <c r="W295" t="s">
        <v>120</v>
      </c>
      <c r="X295" t="s">
        <v>120</v>
      </c>
      <c r="Y295" t="s">
        <v>120</v>
      </c>
      <c r="Z295" t="s">
        <v>120</v>
      </c>
      <c r="AA295" t="s">
        <v>120</v>
      </c>
      <c r="AB295" t="s">
        <v>120</v>
      </c>
      <c r="AC295" t="s">
        <v>120</v>
      </c>
      <c r="AD295" t="s">
        <v>120</v>
      </c>
      <c r="AE295" t="s">
        <v>120</v>
      </c>
      <c r="AF295" t="s">
        <v>120</v>
      </c>
      <c r="AG295" t="s">
        <v>120</v>
      </c>
      <c r="AH295" t="s">
        <v>120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31.55</v>
      </c>
      <c r="AP295">
        <v>0</v>
      </c>
      <c r="AQ295">
        <v>0</v>
      </c>
      <c r="AR295">
        <v>70.2</v>
      </c>
      <c r="AS295">
        <v>0</v>
      </c>
    </row>
    <row r="296" spans="1:45" x14ac:dyDescent="0.25">
      <c r="A296" t="s">
        <v>792</v>
      </c>
      <c r="B296" t="s">
        <v>793</v>
      </c>
      <c r="C296" t="s">
        <v>130</v>
      </c>
      <c r="D296" t="s">
        <v>69</v>
      </c>
      <c r="E296" t="s">
        <v>120</v>
      </c>
      <c r="F296" t="s">
        <v>120</v>
      </c>
      <c r="G296" t="s">
        <v>120</v>
      </c>
      <c r="H296" t="s">
        <v>120</v>
      </c>
      <c r="I296" t="s">
        <v>120</v>
      </c>
      <c r="J296" t="s">
        <v>120</v>
      </c>
      <c r="K296" t="s">
        <v>120</v>
      </c>
      <c r="L296" t="s">
        <v>120</v>
      </c>
      <c r="M296" t="s">
        <v>120</v>
      </c>
      <c r="N296" t="s">
        <v>120</v>
      </c>
      <c r="O296" t="s">
        <v>120</v>
      </c>
      <c r="P296" t="s">
        <v>120</v>
      </c>
      <c r="Q296" t="s">
        <v>120</v>
      </c>
      <c r="R296" t="s">
        <v>120</v>
      </c>
      <c r="S296" t="s">
        <v>124</v>
      </c>
      <c r="T296" t="s">
        <v>120</v>
      </c>
      <c r="U296" t="s">
        <v>120</v>
      </c>
      <c r="V296" t="s">
        <v>120</v>
      </c>
      <c r="W296" t="s">
        <v>120</v>
      </c>
      <c r="X296" t="s">
        <v>120</v>
      </c>
      <c r="Y296" t="s">
        <v>794</v>
      </c>
      <c r="Z296" t="s">
        <v>120</v>
      </c>
      <c r="AA296" t="s">
        <v>120</v>
      </c>
      <c r="AB296" t="s">
        <v>120</v>
      </c>
      <c r="AC296" t="s">
        <v>120</v>
      </c>
      <c r="AD296" t="s">
        <v>120</v>
      </c>
      <c r="AE296" t="s">
        <v>120</v>
      </c>
      <c r="AF296" t="s">
        <v>120</v>
      </c>
      <c r="AG296" t="s">
        <v>120</v>
      </c>
      <c r="AH296" t="s">
        <v>120</v>
      </c>
      <c r="AJ296">
        <v>0</v>
      </c>
      <c r="AK296">
        <v>14</v>
      </c>
      <c r="AL296">
        <v>0</v>
      </c>
      <c r="AM296">
        <v>14</v>
      </c>
      <c r="AN296">
        <v>0</v>
      </c>
      <c r="AO296">
        <v>7500</v>
      </c>
      <c r="AP296">
        <v>14</v>
      </c>
      <c r="AQ296">
        <v>0</v>
      </c>
      <c r="AR296">
        <v>126.56250000000001</v>
      </c>
      <c r="AS296">
        <v>1312.5</v>
      </c>
    </row>
    <row r="297" spans="1:45" x14ac:dyDescent="0.25">
      <c r="A297" t="s">
        <v>795</v>
      </c>
      <c r="B297" t="s">
        <v>796</v>
      </c>
      <c r="C297" t="s">
        <v>127</v>
      </c>
      <c r="D297" t="s">
        <v>69</v>
      </c>
      <c r="E297" t="s">
        <v>120</v>
      </c>
      <c r="F297" t="s">
        <v>120</v>
      </c>
      <c r="G297" t="s">
        <v>120</v>
      </c>
      <c r="H297" t="s">
        <v>120</v>
      </c>
      <c r="I297" t="s">
        <v>120</v>
      </c>
      <c r="J297" t="s">
        <v>120</v>
      </c>
      <c r="K297" t="s">
        <v>120</v>
      </c>
      <c r="L297" t="s">
        <v>120</v>
      </c>
      <c r="M297" t="s">
        <v>120</v>
      </c>
      <c r="N297" t="s">
        <v>120</v>
      </c>
      <c r="O297" t="s">
        <v>120</v>
      </c>
      <c r="P297" t="s">
        <v>120</v>
      </c>
      <c r="Q297" t="s">
        <v>120</v>
      </c>
      <c r="R297" t="s">
        <v>120</v>
      </c>
      <c r="S297" t="s">
        <v>120</v>
      </c>
      <c r="T297" t="s">
        <v>120</v>
      </c>
      <c r="U297" t="s">
        <v>120</v>
      </c>
      <c r="V297" t="s">
        <v>120</v>
      </c>
      <c r="W297" t="s">
        <v>120</v>
      </c>
      <c r="X297" t="s">
        <v>120</v>
      </c>
      <c r="Y297" t="s">
        <v>120</v>
      </c>
      <c r="Z297" t="s">
        <v>120</v>
      </c>
      <c r="AA297" t="s">
        <v>120</v>
      </c>
      <c r="AB297" t="s">
        <v>120</v>
      </c>
      <c r="AC297" t="s">
        <v>120</v>
      </c>
      <c r="AD297" t="s">
        <v>120</v>
      </c>
      <c r="AE297" t="s">
        <v>120</v>
      </c>
      <c r="AF297" t="s">
        <v>120</v>
      </c>
      <c r="AG297" t="s">
        <v>120</v>
      </c>
      <c r="AH297" t="s">
        <v>120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33.43</v>
      </c>
      <c r="AP297">
        <v>0</v>
      </c>
      <c r="AQ297">
        <v>0</v>
      </c>
      <c r="AR297">
        <v>75.06</v>
      </c>
      <c r="AS297">
        <v>0</v>
      </c>
    </row>
    <row r="298" spans="1:45" x14ac:dyDescent="0.25">
      <c r="A298" t="s">
        <v>797</v>
      </c>
      <c r="B298" t="s">
        <v>798</v>
      </c>
      <c r="C298" t="s">
        <v>127</v>
      </c>
      <c r="D298" t="s">
        <v>69</v>
      </c>
      <c r="E298" t="s">
        <v>120</v>
      </c>
      <c r="F298" t="s">
        <v>120</v>
      </c>
      <c r="G298" t="s">
        <v>120</v>
      </c>
      <c r="H298" t="s">
        <v>120</v>
      </c>
      <c r="I298" t="s">
        <v>120</v>
      </c>
      <c r="J298" t="s">
        <v>120</v>
      </c>
      <c r="K298" t="s">
        <v>120</v>
      </c>
      <c r="L298" t="s">
        <v>120</v>
      </c>
      <c r="M298" t="s">
        <v>120</v>
      </c>
      <c r="N298" t="s">
        <v>120</v>
      </c>
      <c r="O298" t="s">
        <v>120</v>
      </c>
      <c r="P298" t="s">
        <v>120</v>
      </c>
      <c r="Q298" t="s">
        <v>120</v>
      </c>
      <c r="R298" t="s">
        <v>120</v>
      </c>
      <c r="S298" t="s">
        <v>120</v>
      </c>
      <c r="T298" t="s">
        <v>120</v>
      </c>
      <c r="U298" t="s">
        <v>120</v>
      </c>
      <c r="V298" t="s">
        <v>120</v>
      </c>
      <c r="W298" t="s">
        <v>120</v>
      </c>
      <c r="X298" t="s">
        <v>120</v>
      </c>
      <c r="Y298" t="s">
        <v>120</v>
      </c>
      <c r="Z298" t="s">
        <v>120</v>
      </c>
      <c r="AA298" t="s">
        <v>120</v>
      </c>
      <c r="AB298" t="s">
        <v>120</v>
      </c>
      <c r="AC298" t="s">
        <v>120</v>
      </c>
      <c r="AD298" t="s">
        <v>120</v>
      </c>
      <c r="AE298" t="s">
        <v>120</v>
      </c>
      <c r="AF298" t="s">
        <v>120</v>
      </c>
      <c r="AG298" t="s">
        <v>120</v>
      </c>
      <c r="AH298" t="s">
        <v>120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33.43</v>
      </c>
      <c r="AP298">
        <v>0</v>
      </c>
      <c r="AQ298">
        <v>0</v>
      </c>
      <c r="AR298">
        <v>75.06</v>
      </c>
      <c r="AS298">
        <v>0</v>
      </c>
    </row>
    <row r="299" spans="1:45" x14ac:dyDescent="0.25">
      <c r="A299" t="s">
        <v>799</v>
      </c>
      <c r="B299" t="s">
        <v>800</v>
      </c>
      <c r="C299" t="s">
        <v>147</v>
      </c>
      <c r="D299" t="s">
        <v>69</v>
      </c>
      <c r="E299" t="s">
        <v>120</v>
      </c>
      <c r="F299" t="s">
        <v>120</v>
      </c>
      <c r="G299" t="s">
        <v>120</v>
      </c>
      <c r="H299" t="s">
        <v>120</v>
      </c>
      <c r="I299" t="s">
        <v>120</v>
      </c>
      <c r="J299" t="s">
        <v>120</v>
      </c>
      <c r="K299" t="s">
        <v>120</v>
      </c>
      <c r="L299" t="s">
        <v>120</v>
      </c>
      <c r="M299" t="s">
        <v>120</v>
      </c>
      <c r="N299" t="s">
        <v>120</v>
      </c>
      <c r="O299" t="s">
        <v>120</v>
      </c>
      <c r="P299" t="s">
        <v>120</v>
      </c>
      <c r="Q299" t="s">
        <v>120</v>
      </c>
      <c r="R299" t="s">
        <v>120</v>
      </c>
      <c r="S299" t="s">
        <v>120</v>
      </c>
      <c r="T299" t="s">
        <v>120</v>
      </c>
      <c r="U299" t="s">
        <v>120</v>
      </c>
      <c r="V299" t="s">
        <v>120</v>
      </c>
      <c r="W299" t="s">
        <v>120</v>
      </c>
      <c r="X299" t="s">
        <v>120</v>
      </c>
      <c r="Y299" t="s">
        <v>120</v>
      </c>
      <c r="Z299" t="s">
        <v>120</v>
      </c>
      <c r="AA299" t="s">
        <v>120</v>
      </c>
      <c r="AB299" t="s">
        <v>120</v>
      </c>
      <c r="AC299" t="s">
        <v>120</v>
      </c>
      <c r="AD299" t="s">
        <v>120</v>
      </c>
      <c r="AE299" t="s">
        <v>120</v>
      </c>
      <c r="AF299" t="s">
        <v>120</v>
      </c>
      <c r="AG299" t="s">
        <v>120</v>
      </c>
      <c r="AH299" t="s">
        <v>120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31.55</v>
      </c>
      <c r="AP299">
        <v>0</v>
      </c>
      <c r="AQ299">
        <v>0</v>
      </c>
      <c r="AR299">
        <v>70.2</v>
      </c>
      <c r="AS299">
        <v>0</v>
      </c>
    </row>
    <row r="300" spans="1:45" x14ac:dyDescent="0.25">
      <c r="A300" t="s">
        <v>801</v>
      </c>
      <c r="B300" t="s">
        <v>802</v>
      </c>
      <c r="C300" t="s">
        <v>147</v>
      </c>
      <c r="D300" t="s">
        <v>69</v>
      </c>
      <c r="E300" t="s">
        <v>120</v>
      </c>
      <c r="F300" t="s">
        <v>120</v>
      </c>
      <c r="G300" t="s">
        <v>120</v>
      </c>
      <c r="H300" t="s">
        <v>120</v>
      </c>
      <c r="I300" t="s">
        <v>120</v>
      </c>
      <c r="J300" t="s">
        <v>120</v>
      </c>
      <c r="K300" t="s">
        <v>120</v>
      </c>
      <c r="L300" t="s">
        <v>120</v>
      </c>
      <c r="M300" t="s">
        <v>120</v>
      </c>
      <c r="N300" t="s">
        <v>120</v>
      </c>
      <c r="O300" t="s">
        <v>120</v>
      </c>
      <c r="P300" t="s">
        <v>120</v>
      </c>
      <c r="Q300" t="s">
        <v>120</v>
      </c>
      <c r="R300" t="s">
        <v>120</v>
      </c>
      <c r="S300" t="s">
        <v>120</v>
      </c>
      <c r="T300" t="s">
        <v>120</v>
      </c>
      <c r="U300" t="s">
        <v>120</v>
      </c>
      <c r="V300" t="s">
        <v>120</v>
      </c>
      <c r="W300" t="s">
        <v>120</v>
      </c>
      <c r="X300" t="s">
        <v>120</v>
      </c>
      <c r="Y300" t="s">
        <v>120</v>
      </c>
      <c r="Z300" t="s">
        <v>120</v>
      </c>
      <c r="AA300" t="s">
        <v>120</v>
      </c>
      <c r="AB300" t="s">
        <v>120</v>
      </c>
      <c r="AC300" t="s">
        <v>120</v>
      </c>
      <c r="AD300" t="s">
        <v>120</v>
      </c>
      <c r="AE300" t="s">
        <v>120</v>
      </c>
      <c r="AF300" t="s">
        <v>120</v>
      </c>
      <c r="AG300" t="s">
        <v>120</v>
      </c>
      <c r="AH300" t="s">
        <v>120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31.55</v>
      </c>
      <c r="AP300">
        <v>0</v>
      </c>
      <c r="AQ300">
        <v>0</v>
      </c>
      <c r="AR300">
        <v>70.2</v>
      </c>
      <c r="AS300">
        <v>0</v>
      </c>
    </row>
    <row r="301" spans="1:45" x14ac:dyDescent="0.25">
      <c r="A301" t="s">
        <v>803</v>
      </c>
      <c r="B301" t="s">
        <v>804</v>
      </c>
      <c r="C301" t="s">
        <v>127</v>
      </c>
      <c r="D301" t="s">
        <v>69</v>
      </c>
      <c r="E301" t="s">
        <v>120</v>
      </c>
      <c r="F301" t="s">
        <v>120</v>
      </c>
      <c r="G301" t="s">
        <v>120</v>
      </c>
      <c r="H301" t="s">
        <v>120</v>
      </c>
      <c r="I301" t="s">
        <v>120</v>
      </c>
      <c r="J301" t="s">
        <v>120</v>
      </c>
      <c r="K301" t="s">
        <v>120</v>
      </c>
      <c r="L301" t="s">
        <v>120</v>
      </c>
      <c r="M301" t="s">
        <v>120</v>
      </c>
      <c r="N301" t="s">
        <v>120</v>
      </c>
      <c r="O301" t="s">
        <v>120</v>
      </c>
      <c r="P301" t="s">
        <v>120</v>
      </c>
      <c r="Q301" t="s">
        <v>120</v>
      </c>
      <c r="R301" t="s">
        <v>120</v>
      </c>
      <c r="S301" t="s">
        <v>120</v>
      </c>
      <c r="T301" t="s">
        <v>120</v>
      </c>
      <c r="U301" t="s">
        <v>120</v>
      </c>
      <c r="V301" t="s">
        <v>120</v>
      </c>
      <c r="W301" t="s">
        <v>120</v>
      </c>
      <c r="X301" t="s">
        <v>120</v>
      </c>
      <c r="Y301" t="s">
        <v>120</v>
      </c>
      <c r="Z301" t="s">
        <v>120</v>
      </c>
      <c r="AA301" t="s">
        <v>120</v>
      </c>
      <c r="AB301" t="s">
        <v>120</v>
      </c>
      <c r="AC301" t="s">
        <v>120</v>
      </c>
      <c r="AD301" t="s">
        <v>120</v>
      </c>
      <c r="AE301" t="s">
        <v>120</v>
      </c>
      <c r="AF301" t="s">
        <v>120</v>
      </c>
      <c r="AG301" t="s">
        <v>120</v>
      </c>
      <c r="AH301" t="s">
        <v>120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33.43</v>
      </c>
      <c r="AP301">
        <v>0</v>
      </c>
      <c r="AQ301">
        <v>0</v>
      </c>
      <c r="AR301">
        <v>75.06</v>
      </c>
      <c r="AS301">
        <v>0</v>
      </c>
    </row>
    <row r="302" spans="1:45" x14ac:dyDescent="0.25">
      <c r="A302" t="s">
        <v>805</v>
      </c>
      <c r="B302" t="s">
        <v>806</v>
      </c>
      <c r="C302" t="s">
        <v>127</v>
      </c>
      <c r="D302" t="s">
        <v>69</v>
      </c>
      <c r="E302" t="s">
        <v>120</v>
      </c>
      <c r="F302" t="s">
        <v>120</v>
      </c>
      <c r="G302" t="s">
        <v>120</v>
      </c>
      <c r="H302" t="s">
        <v>120</v>
      </c>
      <c r="I302" t="s">
        <v>120</v>
      </c>
      <c r="J302" t="s">
        <v>120</v>
      </c>
      <c r="K302" t="s">
        <v>120</v>
      </c>
      <c r="L302" t="s">
        <v>120</v>
      </c>
      <c r="M302" t="s">
        <v>120</v>
      </c>
      <c r="N302" t="s">
        <v>120</v>
      </c>
      <c r="O302" t="s">
        <v>120</v>
      </c>
      <c r="P302" t="s">
        <v>120</v>
      </c>
      <c r="Q302" t="s">
        <v>120</v>
      </c>
      <c r="R302" t="s">
        <v>120</v>
      </c>
      <c r="S302" t="s">
        <v>120</v>
      </c>
      <c r="T302" t="s">
        <v>120</v>
      </c>
      <c r="U302" t="s">
        <v>120</v>
      </c>
      <c r="V302" t="s">
        <v>120</v>
      </c>
      <c r="W302" t="s">
        <v>120</v>
      </c>
      <c r="X302" t="s">
        <v>120</v>
      </c>
      <c r="Y302" t="s">
        <v>120</v>
      </c>
      <c r="Z302" t="s">
        <v>120</v>
      </c>
      <c r="AA302" t="s">
        <v>120</v>
      </c>
      <c r="AB302" t="s">
        <v>120</v>
      </c>
      <c r="AC302" t="s">
        <v>120</v>
      </c>
      <c r="AD302" t="s">
        <v>120</v>
      </c>
      <c r="AE302" t="s">
        <v>120</v>
      </c>
      <c r="AF302" t="s">
        <v>120</v>
      </c>
      <c r="AG302" t="s">
        <v>120</v>
      </c>
      <c r="AH302" t="s">
        <v>120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33.43</v>
      </c>
      <c r="AP302">
        <v>0</v>
      </c>
      <c r="AQ302">
        <v>0</v>
      </c>
      <c r="AR302">
        <v>75.06</v>
      </c>
      <c r="AS302">
        <v>0</v>
      </c>
    </row>
    <row r="303" spans="1:45" x14ac:dyDescent="0.25">
      <c r="A303" t="s">
        <v>807</v>
      </c>
      <c r="B303" t="s">
        <v>808</v>
      </c>
      <c r="C303" t="s">
        <v>147</v>
      </c>
      <c r="D303" t="s">
        <v>69</v>
      </c>
      <c r="E303" t="s">
        <v>120</v>
      </c>
      <c r="F303" t="s">
        <v>120</v>
      </c>
      <c r="G303" t="s">
        <v>120</v>
      </c>
      <c r="H303" t="s">
        <v>120</v>
      </c>
      <c r="I303" t="s">
        <v>120</v>
      </c>
      <c r="J303" t="s">
        <v>120</v>
      </c>
      <c r="K303" t="s">
        <v>120</v>
      </c>
      <c r="L303" t="s">
        <v>120</v>
      </c>
      <c r="M303" t="s">
        <v>120</v>
      </c>
      <c r="N303" t="s">
        <v>120</v>
      </c>
      <c r="O303" t="s">
        <v>120</v>
      </c>
      <c r="P303" t="s">
        <v>120</v>
      </c>
      <c r="Q303" t="s">
        <v>120</v>
      </c>
      <c r="R303" t="s">
        <v>120</v>
      </c>
      <c r="S303" t="s">
        <v>120</v>
      </c>
      <c r="T303" t="s">
        <v>120</v>
      </c>
      <c r="U303" t="s">
        <v>120</v>
      </c>
      <c r="V303" t="s">
        <v>120</v>
      </c>
      <c r="W303" t="s">
        <v>120</v>
      </c>
      <c r="X303" t="s">
        <v>120</v>
      </c>
      <c r="Y303" t="s">
        <v>120</v>
      </c>
      <c r="Z303" t="s">
        <v>120</v>
      </c>
      <c r="AA303" t="s">
        <v>120</v>
      </c>
      <c r="AB303" t="s">
        <v>120</v>
      </c>
      <c r="AC303" t="s">
        <v>120</v>
      </c>
      <c r="AD303" t="s">
        <v>120</v>
      </c>
      <c r="AE303" t="s">
        <v>120</v>
      </c>
      <c r="AF303" t="s">
        <v>120</v>
      </c>
      <c r="AG303" t="s">
        <v>120</v>
      </c>
      <c r="AH303" t="s">
        <v>120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31.55</v>
      </c>
      <c r="AP303">
        <v>0</v>
      </c>
      <c r="AQ303">
        <v>0</v>
      </c>
      <c r="AR303">
        <v>70.2</v>
      </c>
      <c r="AS303">
        <v>0</v>
      </c>
    </row>
    <row r="304" spans="1:45" x14ac:dyDescent="0.25">
      <c r="A304" t="s">
        <v>809</v>
      </c>
      <c r="B304" t="s">
        <v>810</v>
      </c>
      <c r="C304" t="s">
        <v>147</v>
      </c>
      <c r="D304" t="s">
        <v>69</v>
      </c>
      <c r="E304" t="s">
        <v>120</v>
      </c>
      <c r="F304" t="s">
        <v>120</v>
      </c>
      <c r="G304" t="s">
        <v>120</v>
      </c>
      <c r="H304" t="s">
        <v>120</v>
      </c>
      <c r="I304" t="s">
        <v>120</v>
      </c>
      <c r="J304" t="s">
        <v>120</v>
      </c>
      <c r="K304" t="s">
        <v>120</v>
      </c>
      <c r="L304" t="s">
        <v>120</v>
      </c>
      <c r="M304" t="s">
        <v>120</v>
      </c>
      <c r="N304" t="s">
        <v>120</v>
      </c>
      <c r="O304" t="s">
        <v>120</v>
      </c>
      <c r="P304" t="s">
        <v>120</v>
      </c>
      <c r="Q304" t="s">
        <v>120</v>
      </c>
      <c r="R304" t="s">
        <v>120</v>
      </c>
      <c r="S304" t="s">
        <v>120</v>
      </c>
      <c r="T304" t="s">
        <v>120</v>
      </c>
      <c r="U304" t="s">
        <v>120</v>
      </c>
      <c r="V304" t="s">
        <v>120</v>
      </c>
      <c r="W304" t="s">
        <v>120</v>
      </c>
      <c r="X304" t="s">
        <v>120</v>
      </c>
      <c r="Y304" t="s">
        <v>120</v>
      </c>
      <c r="Z304" t="s">
        <v>120</v>
      </c>
      <c r="AA304" t="s">
        <v>120</v>
      </c>
      <c r="AB304" t="s">
        <v>120</v>
      </c>
      <c r="AC304" t="s">
        <v>120</v>
      </c>
      <c r="AD304" t="s">
        <v>120</v>
      </c>
      <c r="AE304" t="s">
        <v>120</v>
      </c>
      <c r="AF304" t="s">
        <v>120</v>
      </c>
      <c r="AG304" t="s">
        <v>120</v>
      </c>
      <c r="AH304" t="s">
        <v>120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31.55</v>
      </c>
      <c r="AP304">
        <v>0</v>
      </c>
      <c r="AQ304">
        <v>0</v>
      </c>
      <c r="AR304">
        <v>70.2</v>
      </c>
      <c r="AS304">
        <v>0</v>
      </c>
    </row>
    <row r="305" spans="1:45" x14ac:dyDescent="0.25">
      <c r="A305" t="s">
        <v>811</v>
      </c>
      <c r="B305" t="s">
        <v>812</v>
      </c>
      <c r="C305" t="s">
        <v>127</v>
      </c>
      <c r="D305" t="s">
        <v>69</v>
      </c>
      <c r="E305" t="s">
        <v>120</v>
      </c>
      <c r="F305" t="s">
        <v>120</v>
      </c>
      <c r="G305" t="s">
        <v>120</v>
      </c>
      <c r="H305" t="s">
        <v>120</v>
      </c>
      <c r="I305" t="s">
        <v>120</v>
      </c>
      <c r="J305" t="s">
        <v>120</v>
      </c>
      <c r="K305" t="s">
        <v>120</v>
      </c>
      <c r="L305" t="s">
        <v>120</v>
      </c>
      <c r="M305" t="s">
        <v>120</v>
      </c>
      <c r="N305" t="s">
        <v>120</v>
      </c>
      <c r="O305" t="s">
        <v>120</v>
      </c>
      <c r="P305" t="s">
        <v>120</v>
      </c>
      <c r="Q305" t="s">
        <v>120</v>
      </c>
      <c r="R305" t="s">
        <v>120</v>
      </c>
      <c r="S305" t="s">
        <v>120</v>
      </c>
      <c r="T305" t="s">
        <v>120</v>
      </c>
      <c r="U305" t="s">
        <v>120</v>
      </c>
      <c r="V305" t="s">
        <v>120</v>
      </c>
      <c r="W305" t="s">
        <v>120</v>
      </c>
      <c r="X305" t="s">
        <v>120</v>
      </c>
      <c r="Y305" t="s">
        <v>120</v>
      </c>
      <c r="Z305" t="s">
        <v>120</v>
      </c>
      <c r="AA305" t="s">
        <v>120</v>
      </c>
      <c r="AB305" t="s">
        <v>120</v>
      </c>
      <c r="AC305" t="s">
        <v>120</v>
      </c>
      <c r="AD305" t="s">
        <v>120</v>
      </c>
      <c r="AE305" t="s">
        <v>120</v>
      </c>
      <c r="AF305" t="s">
        <v>120</v>
      </c>
      <c r="AG305" t="s">
        <v>120</v>
      </c>
      <c r="AH305" t="s">
        <v>120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33.43</v>
      </c>
      <c r="AP305">
        <v>0</v>
      </c>
      <c r="AQ305">
        <v>0</v>
      </c>
      <c r="AR305">
        <v>75.06</v>
      </c>
      <c r="AS305">
        <v>0</v>
      </c>
    </row>
    <row r="306" spans="1:45" x14ac:dyDescent="0.25">
      <c r="A306" t="s">
        <v>813</v>
      </c>
      <c r="B306" t="s">
        <v>814</v>
      </c>
      <c r="C306" t="s">
        <v>127</v>
      </c>
      <c r="D306" t="s">
        <v>69</v>
      </c>
      <c r="E306" t="s">
        <v>120</v>
      </c>
      <c r="F306" t="s">
        <v>120</v>
      </c>
      <c r="G306" t="s">
        <v>120</v>
      </c>
      <c r="H306" t="s">
        <v>120</v>
      </c>
      <c r="I306" t="s">
        <v>120</v>
      </c>
      <c r="J306" t="s">
        <v>120</v>
      </c>
      <c r="K306" t="s">
        <v>120</v>
      </c>
      <c r="L306" t="s">
        <v>120</v>
      </c>
      <c r="M306" t="s">
        <v>120</v>
      </c>
      <c r="N306" t="s">
        <v>120</v>
      </c>
      <c r="O306" t="s">
        <v>120</v>
      </c>
      <c r="P306" t="s">
        <v>120</v>
      </c>
      <c r="Q306" t="s">
        <v>120</v>
      </c>
      <c r="R306" t="s">
        <v>120</v>
      </c>
      <c r="S306" t="s">
        <v>120</v>
      </c>
      <c r="T306" t="s">
        <v>120</v>
      </c>
      <c r="U306" t="s">
        <v>120</v>
      </c>
      <c r="V306" t="s">
        <v>120</v>
      </c>
      <c r="W306" t="s">
        <v>120</v>
      </c>
      <c r="X306" t="s">
        <v>120</v>
      </c>
      <c r="Y306" t="s">
        <v>120</v>
      </c>
      <c r="Z306" t="s">
        <v>120</v>
      </c>
      <c r="AA306" t="s">
        <v>120</v>
      </c>
      <c r="AB306" t="s">
        <v>120</v>
      </c>
      <c r="AC306" t="s">
        <v>120</v>
      </c>
      <c r="AD306" t="s">
        <v>120</v>
      </c>
      <c r="AE306" t="s">
        <v>120</v>
      </c>
      <c r="AF306" t="s">
        <v>120</v>
      </c>
      <c r="AG306" t="s">
        <v>120</v>
      </c>
      <c r="AH306" t="s">
        <v>120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33.43</v>
      </c>
      <c r="AP306">
        <v>0</v>
      </c>
      <c r="AQ306">
        <v>0</v>
      </c>
      <c r="AR306">
        <v>75.06</v>
      </c>
      <c r="AS306">
        <v>0</v>
      </c>
    </row>
    <row r="307" spans="1:45" x14ac:dyDescent="0.25">
      <c r="A307" t="s">
        <v>815</v>
      </c>
      <c r="B307" t="s">
        <v>816</v>
      </c>
      <c r="C307" t="s">
        <v>147</v>
      </c>
      <c r="D307" t="s">
        <v>69</v>
      </c>
      <c r="E307" t="s">
        <v>120</v>
      </c>
      <c r="F307" t="s">
        <v>120</v>
      </c>
      <c r="G307" t="s">
        <v>120</v>
      </c>
      <c r="H307" t="s">
        <v>120</v>
      </c>
      <c r="I307" t="s">
        <v>120</v>
      </c>
      <c r="J307" t="s">
        <v>120</v>
      </c>
      <c r="K307" t="s">
        <v>120</v>
      </c>
      <c r="L307" t="s">
        <v>120</v>
      </c>
      <c r="M307" t="s">
        <v>120</v>
      </c>
      <c r="N307" t="s">
        <v>120</v>
      </c>
      <c r="O307" t="s">
        <v>120</v>
      </c>
      <c r="P307" t="s">
        <v>120</v>
      </c>
      <c r="Q307" t="s">
        <v>120</v>
      </c>
      <c r="R307" t="s">
        <v>120</v>
      </c>
      <c r="S307" t="s">
        <v>120</v>
      </c>
      <c r="T307" t="s">
        <v>120</v>
      </c>
      <c r="U307" t="s">
        <v>120</v>
      </c>
      <c r="V307" t="s">
        <v>120</v>
      </c>
      <c r="W307" t="s">
        <v>120</v>
      </c>
      <c r="X307" t="s">
        <v>120</v>
      </c>
      <c r="Y307" t="s">
        <v>120</v>
      </c>
      <c r="Z307" t="s">
        <v>120</v>
      </c>
      <c r="AA307" t="s">
        <v>120</v>
      </c>
      <c r="AB307" t="s">
        <v>120</v>
      </c>
      <c r="AC307" t="s">
        <v>120</v>
      </c>
      <c r="AD307" t="s">
        <v>120</v>
      </c>
      <c r="AE307" t="s">
        <v>120</v>
      </c>
      <c r="AF307" t="s">
        <v>120</v>
      </c>
      <c r="AG307" t="s">
        <v>120</v>
      </c>
      <c r="AH307" t="s">
        <v>120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31.55</v>
      </c>
      <c r="AP307">
        <v>0</v>
      </c>
      <c r="AQ307">
        <v>0</v>
      </c>
      <c r="AR307">
        <v>70.2</v>
      </c>
      <c r="AS307">
        <v>0</v>
      </c>
    </row>
    <row r="308" spans="1:45" x14ac:dyDescent="0.25">
      <c r="A308" t="s">
        <v>817</v>
      </c>
      <c r="B308" t="s">
        <v>818</v>
      </c>
      <c r="C308" t="s">
        <v>127</v>
      </c>
      <c r="D308" t="s">
        <v>69</v>
      </c>
      <c r="E308" t="s">
        <v>120</v>
      </c>
      <c r="F308" t="s">
        <v>120</v>
      </c>
      <c r="G308" t="s">
        <v>120</v>
      </c>
      <c r="H308" t="s">
        <v>120</v>
      </c>
      <c r="I308" t="s">
        <v>120</v>
      </c>
      <c r="J308" t="s">
        <v>120</v>
      </c>
      <c r="K308" t="s">
        <v>120</v>
      </c>
      <c r="L308" t="s">
        <v>120</v>
      </c>
      <c r="M308" t="s">
        <v>120</v>
      </c>
      <c r="N308" t="s">
        <v>120</v>
      </c>
      <c r="O308" t="s">
        <v>120</v>
      </c>
      <c r="P308" t="s">
        <v>120</v>
      </c>
      <c r="Q308" t="s">
        <v>120</v>
      </c>
      <c r="R308" t="s">
        <v>120</v>
      </c>
      <c r="S308" t="s">
        <v>120</v>
      </c>
      <c r="T308" t="s">
        <v>120</v>
      </c>
      <c r="U308" t="s">
        <v>120</v>
      </c>
      <c r="V308" t="s">
        <v>120</v>
      </c>
      <c r="W308" t="s">
        <v>120</v>
      </c>
      <c r="X308" t="s">
        <v>120</v>
      </c>
      <c r="Y308" t="s">
        <v>120</v>
      </c>
      <c r="Z308" t="s">
        <v>120</v>
      </c>
      <c r="AA308" t="s">
        <v>120</v>
      </c>
      <c r="AB308" t="s">
        <v>120</v>
      </c>
      <c r="AC308" t="s">
        <v>120</v>
      </c>
      <c r="AD308" t="s">
        <v>120</v>
      </c>
      <c r="AE308" t="s">
        <v>120</v>
      </c>
      <c r="AF308" t="s">
        <v>120</v>
      </c>
      <c r="AG308" t="s">
        <v>120</v>
      </c>
      <c r="AH308" t="s">
        <v>120</v>
      </c>
      <c r="AJ308">
        <v>22</v>
      </c>
      <c r="AK308">
        <v>22</v>
      </c>
      <c r="AL308">
        <v>0</v>
      </c>
      <c r="AM308">
        <v>0</v>
      </c>
      <c r="AN308">
        <v>0</v>
      </c>
      <c r="AO308">
        <v>33.43</v>
      </c>
      <c r="AP308">
        <v>22</v>
      </c>
      <c r="AQ308">
        <v>0</v>
      </c>
      <c r="AR308">
        <v>75.06</v>
      </c>
      <c r="AS308">
        <v>1470.92</v>
      </c>
    </row>
    <row r="309" spans="1:45" x14ac:dyDescent="0.25">
      <c r="A309" t="s">
        <v>819</v>
      </c>
      <c r="B309" t="s">
        <v>820</v>
      </c>
      <c r="C309" t="s">
        <v>127</v>
      </c>
      <c r="D309" t="s">
        <v>69</v>
      </c>
      <c r="E309" t="s">
        <v>120</v>
      </c>
      <c r="F309" t="s">
        <v>120</v>
      </c>
      <c r="G309" t="s">
        <v>120</v>
      </c>
      <c r="H309" t="s">
        <v>120</v>
      </c>
      <c r="I309" t="s">
        <v>120</v>
      </c>
      <c r="J309" t="s">
        <v>120</v>
      </c>
      <c r="K309" t="s">
        <v>120</v>
      </c>
      <c r="L309" t="s">
        <v>120</v>
      </c>
      <c r="M309" t="s">
        <v>120</v>
      </c>
      <c r="N309" t="s">
        <v>120</v>
      </c>
      <c r="O309" t="s">
        <v>120</v>
      </c>
      <c r="P309" t="s">
        <v>120</v>
      </c>
      <c r="Q309" t="s">
        <v>120</v>
      </c>
      <c r="R309" t="s">
        <v>120</v>
      </c>
      <c r="S309" t="s">
        <v>120</v>
      </c>
      <c r="T309" t="s">
        <v>120</v>
      </c>
      <c r="U309" t="s">
        <v>120</v>
      </c>
      <c r="V309" t="s">
        <v>120</v>
      </c>
      <c r="W309" t="s">
        <v>120</v>
      </c>
      <c r="X309" t="s">
        <v>120</v>
      </c>
      <c r="Y309" t="s">
        <v>135</v>
      </c>
      <c r="Z309" t="s">
        <v>120</v>
      </c>
      <c r="AA309" t="s">
        <v>120</v>
      </c>
      <c r="AB309" t="s">
        <v>120</v>
      </c>
      <c r="AC309" t="s">
        <v>120</v>
      </c>
      <c r="AD309" t="s">
        <v>120</v>
      </c>
      <c r="AE309" t="s">
        <v>120</v>
      </c>
      <c r="AF309" t="s">
        <v>120</v>
      </c>
      <c r="AG309" t="s">
        <v>120</v>
      </c>
      <c r="AH309" t="s">
        <v>120</v>
      </c>
      <c r="AJ309">
        <v>0</v>
      </c>
      <c r="AK309">
        <v>8</v>
      </c>
      <c r="AL309">
        <v>0</v>
      </c>
      <c r="AM309">
        <v>8</v>
      </c>
      <c r="AN309">
        <v>0</v>
      </c>
      <c r="AO309">
        <v>33.43</v>
      </c>
      <c r="AP309">
        <v>8</v>
      </c>
      <c r="AQ309">
        <v>0</v>
      </c>
      <c r="AR309">
        <v>75.06</v>
      </c>
      <c r="AS309">
        <v>534.88</v>
      </c>
    </row>
    <row r="310" spans="1:45" x14ac:dyDescent="0.25">
      <c r="A310" t="s">
        <v>821</v>
      </c>
      <c r="B310" t="s">
        <v>822</v>
      </c>
      <c r="C310" t="s">
        <v>127</v>
      </c>
      <c r="D310" t="s">
        <v>69</v>
      </c>
      <c r="E310" t="s">
        <v>120</v>
      </c>
      <c r="F310" t="s">
        <v>120</v>
      </c>
      <c r="G310" t="s">
        <v>120</v>
      </c>
      <c r="H310" t="s">
        <v>120</v>
      </c>
      <c r="I310" t="s">
        <v>120</v>
      </c>
      <c r="J310" t="s">
        <v>120</v>
      </c>
      <c r="K310" t="s">
        <v>120</v>
      </c>
      <c r="L310" t="s">
        <v>120</v>
      </c>
      <c r="M310" t="s">
        <v>120</v>
      </c>
      <c r="N310" t="s">
        <v>120</v>
      </c>
      <c r="O310" t="s">
        <v>120</v>
      </c>
      <c r="P310" t="s">
        <v>120</v>
      </c>
      <c r="Q310" t="s">
        <v>120</v>
      </c>
      <c r="R310" t="s">
        <v>120</v>
      </c>
      <c r="S310" t="s">
        <v>120</v>
      </c>
      <c r="T310" t="s">
        <v>120</v>
      </c>
      <c r="U310" t="s">
        <v>120</v>
      </c>
      <c r="V310" t="s">
        <v>120</v>
      </c>
      <c r="W310" t="s">
        <v>120</v>
      </c>
      <c r="X310" t="s">
        <v>120</v>
      </c>
      <c r="Y310" t="s">
        <v>120</v>
      </c>
      <c r="Z310" t="s">
        <v>120</v>
      </c>
      <c r="AA310" t="s">
        <v>120</v>
      </c>
      <c r="AB310" t="s">
        <v>120</v>
      </c>
      <c r="AC310" t="s">
        <v>120</v>
      </c>
      <c r="AD310" t="s">
        <v>120</v>
      </c>
      <c r="AE310" t="s">
        <v>120</v>
      </c>
      <c r="AF310" t="s">
        <v>120</v>
      </c>
      <c r="AG310" t="s">
        <v>120</v>
      </c>
      <c r="AH310" t="s">
        <v>120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33.43</v>
      </c>
      <c r="AP310">
        <v>0</v>
      </c>
      <c r="AQ310">
        <v>0</v>
      </c>
      <c r="AR310">
        <v>75.06</v>
      </c>
      <c r="AS310">
        <v>0</v>
      </c>
    </row>
    <row r="311" spans="1:45" x14ac:dyDescent="0.25">
      <c r="A311" t="s">
        <v>823</v>
      </c>
      <c r="B311" t="s">
        <v>824</v>
      </c>
      <c r="C311" t="s">
        <v>127</v>
      </c>
      <c r="D311" t="s">
        <v>69</v>
      </c>
      <c r="E311" t="s">
        <v>120</v>
      </c>
      <c r="F311" t="s">
        <v>120</v>
      </c>
      <c r="G311" t="s">
        <v>120</v>
      </c>
      <c r="H311" t="s">
        <v>120</v>
      </c>
      <c r="I311" t="s">
        <v>120</v>
      </c>
      <c r="J311" t="s">
        <v>120</v>
      </c>
      <c r="K311" t="s">
        <v>120</v>
      </c>
      <c r="L311" t="s">
        <v>120</v>
      </c>
      <c r="M311" t="s">
        <v>120</v>
      </c>
      <c r="N311" t="s">
        <v>120</v>
      </c>
      <c r="O311" t="s">
        <v>120</v>
      </c>
      <c r="P311" t="s">
        <v>120</v>
      </c>
      <c r="Q311" t="s">
        <v>120</v>
      </c>
      <c r="R311" t="s">
        <v>120</v>
      </c>
      <c r="S311" t="s">
        <v>120</v>
      </c>
      <c r="T311" t="s">
        <v>120</v>
      </c>
      <c r="U311" t="s">
        <v>120</v>
      </c>
      <c r="V311" t="s">
        <v>120</v>
      </c>
      <c r="W311" t="s">
        <v>120</v>
      </c>
      <c r="X311" t="s">
        <v>120</v>
      </c>
      <c r="Y311" t="s">
        <v>135</v>
      </c>
      <c r="Z311" t="s">
        <v>120</v>
      </c>
      <c r="AA311" t="s">
        <v>120</v>
      </c>
      <c r="AB311" t="s">
        <v>120</v>
      </c>
      <c r="AC311" t="s">
        <v>120</v>
      </c>
      <c r="AD311" t="s">
        <v>120</v>
      </c>
      <c r="AE311" t="s">
        <v>120</v>
      </c>
      <c r="AF311" t="s">
        <v>120</v>
      </c>
      <c r="AG311" t="s">
        <v>120</v>
      </c>
      <c r="AH311" t="s">
        <v>120</v>
      </c>
      <c r="AJ311">
        <v>0</v>
      </c>
      <c r="AK311">
        <v>8</v>
      </c>
      <c r="AL311">
        <v>0</v>
      </c>
      <c r="AM311">
        <v>8</v>
      </c>
      <c r="AN311">
        <v>0</v>
      </c>
      <c r="AO311">
        <v>33.43</v>
      </c>
      <c r="AP311">
        <v>8</v>
      </c>
      <c r="AQ311">
        <v>0</v>
      </c>
      <c r="AR311">
        <v>75.06</v>
      </c>
      <c r="AS311">
        <v>534.88</v>
      </c>
    </row>
    <row r="312" spans="1:45" x14ac:dyDescent="0.25">
      <c r="A312" t="s">
        <v>825</v>
      </c>
      <c r="B312" t="s">
        <v>826</v>
      </c>
      <c r="C312" t="s">
        <v>127</v>
      </c>
      <c r="D312" t="s">
        <v>69</v>
      </c>
      <c r="E312" t="s">
        <v>120</v>
      </c>
      <c r="F312" t="s">
        <v>120</v>
      </c>
      <c r="G312" t="s">
        <v>120</v>
      </c>
      <c r="H312" t="s">
        <v>120</v>
      </c>
      <c r="I312" t="s">
        <v>120</v>
      </c>
      <c r="J312" t="s">
        <v>120</v>
      </c>
      <c r="K312" t="s">
        <v>120</v>
      </c>
      <c r="L312" t="s">
        <v>120</v>
      </c>
      <c r="M312" t="s">
        <v>120</v>
      </c>
      <c r="N312" t="s">
        <v>120</v>
      </c>
      <c r="O312" t="s">
        <v>120</v>
      </c>
      <c r="P312" t="s">
        <v>120</v>
      </c>
      <c r="Q312" t="s">
        <v>120</v>
      </c>
      <c r="R312" t="s">
        <v>120</v>
      </c>
      <c r="S312" t="s">
        <v>120</v>
      </c>
      <c r="T312" t="s">
        <v>120</v>
      </c>
      <c r="U312" t="s">
        <v>120</v>
      </c>
      <c r="V312" t="s">
        <v>120</v>
      </c>
      <c r="W312" t="s">
        <v>120</v>
      </c>
      <c r="X312" t="s">
        <v>120</v>
      </c>
      <c r="Y312" t="s">
        <v>120</v>
      </c>
      <c r="Z312" t="s">
        <v>120</v>
      </c>
      <c r="AA312" t="s">
        <v>120</v>
      </c>
      <c r="AB312" t="s">
        <v>120</v>
      </c>
      <c r="AC312" t="s">
        <v>120</v>
      </c>
      <c r="AD312" t="s">
        <v>120</v>
      </c>
      <c r="AE312" t="s">
        <v>120</v>
      </c>
      <c r="AF312" t="s">
        <v>120</v>
      </c>
      <c r="AG312" t="s">
        <v>120</v>
      </c>
      <c r="AH312" t="s">
        <v>120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33.43</v>
      </c>
      <c r="AP312">
        <v>0</v>
      </c>
      <c r="AQ312">
        <v>0</v>
      </c>
      <c r="AR312">
        <v>75.06</v>
      </c>
      <c r="AS312">
        <v>0</v>
      </c>
    </row>
    <row r="313" spans="1:45" x14ac:dyDescent="0.25">
      <c r="A313" t="s">
        <v>827</v>
      </c>
      <c r="B313" t="s">
        <v>828</v>
      </c>
      <c r="C313" t="s">
        <v>127</v>
      </c>
      <c r="D313" t="s">
        <v>53</v>
      </c>
      <c r="E313" t="s">
        <v>120</v>
      </c>
      <c r="F313" t="s">
        <v>120</v>
      </c>
      <c r="G313" t="s">
        <v>120</v>
      </c>
      <c r="H313" t="s">
        <v>120</v>
      </c>
      <c r="I313" t="s">
        <v>120</v>
      </c>
      <c r="J313" t="s">
        <v>120</v>
      </c>
      <c r="K313" t="s">
        <v>120</v>
      </c>
      <c r="L313" t="s">
        <v>120</v>
      </c>
      <c r="M313" t="s">
        <v>120</v>
      </c>
      <c r="N313" t="s">
        <v>120</v>
      </c>
      <c r="O313" t="s">
        <v>120</v>
      </c>
      <c r="P313" t="s">
        <v>120</v>
      </c>
      <c r="Q313" t="s">
        <v>120</v>
      </c>
      <c r="R313" t="s">
        <v>120</v>
      </c>
      <c r="S313" t="s">
        <v>120</v>
      </c>
      <c r="T313" t="s">
        <v>120</v>
      </c>
      <c r="U313" t="s">
        <v>120</v>
      </c>
      <c r="V313" t="s">
        <v>120</v>
      </c>
      <c r="W313" t="s">
        <v>120</v>
      </c>
      <c r="X313" t="s">
        <v>120</v>
      </c>
      <c r="Y313" t="s">
        <v>120</v>
      </c>
      <c r="Z313" t="s">
        <v>120</v>
      </c>
      <c r="AA313" t="s">
        <v>120</v>
      </c>
      <c r="AB313" t="s">
        <v>120</v>
      </c>
      <c r="AC313" t="s">
        <v>120</v>
      </c>
      <c r="AD313" t="s">
        <v>120</v>
      </c>
      <c r="AE313" t="s">
        <v>120</v>
      </c>
      <c r="AF313" t="s">
        <v>120</v>
      </c>
      <c r="AG313" t="s">
        <v>120</v>
      </c>
      <c r="AH313" t="s">
        <v>120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33.43</v>
      </c>
      <c r="AP313">
        <v>0</v>
      </c>
      <c r="AQ313">
        <v>0</v>
      </c>
      <c r="AR313">
        <v>75.06</v>
      </c>
      <c r="AS313">
        <v>0</v>
      </c>
    </row>
    <row r="314" spans="1:45" x14ac:dyDescent="0.25">
      <c r="A314" t="s">
        <v>829</v>
      </c>
      <c r="B314" t="s">
        <v>830</v>
      </c>
      <c r="C314" t="s">
        <v>127</v>
      </c>
      <c r="D314" t="s">
        <v>53</v>
      </c>
      <c r="E314" t="s">
        <v>120</v>
      </c>
      <c r="F314" t="s">
        <v>120</v>
      </c>
      <c r="G314" t="s">
        <v>120</v>
      </c>
      <c r="H314" t="s">
        <v>120</v>
      </c>
      <c r="I314" t="s">
        <v>120</v>
      </c>
      <c r="J314" t="s">
        <v>120</v>
      </c>
      <c r="K314" t="s">
        <v>120</v>
      </c>
      <c r="L314" t="s">
        <v>120</v>
      </c>
      <c r="M314" t="s">
        <v>120</v>
      </c>
      <c r="N314" t="s">
        <v>120</v>
      </c>
      <c r="O314" t="s">
        <v>120</v>
      </c>
      <c r="P314" t="s">
        <v>120</v>
      </c>
      <c r="Q314" t="s">
        <v>120</v>
      </c>
      <c r="R314" t="s">
        <v>120</v>
      </c>
      <c r="S314" t="s">
        <v>120</v>
      </c>
      <c r="T314" t="s">
        <v>120</v>
      </c>
      <c r="U314" t="s">
        <v>120</v>
      </c>
      <c r="V314" t="s">
        <v>120</v>
      </c>
      <c r="W314" t="s">
        <v>120</v>
      </c>
      <c r="X314" t="s">
        <v>120</v>
      </c>
      <c r="Y314" t="s">
        <v>120</v>
      </c>
      <c r="Z314" t="s">
        <v>120</v>
      </c>
      <c r="AA314" t="s">
        <v>120</v>
      </c>
      <c r="AB314" t="s">
        <v>120</v>
      </c>
      <c r="AC314" t="s">
        <v>120</v>
      </c>
      <c r="AD314" t="s">
        <v>120</v>
      </c>
      <c r="AE314" t="s">
        <v>120</v>
      </c>
      <c r="AF314" t="s">
        <v>120</v>
      </c>
      <c r="AG314" t="s">
        <v>120</v>
      </c>
      <c r="AH314" t="s">
        <v>120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33.43</v>
      </c>
      <c r="AP314">
        <v>0</v>
      </c>
      <c r="AQ314">
        <v>0</v>
      </c>
      <c r="AR314">
        <v>75.06</v>
      </c>
      <c r="AS314">
        <v>0</v>
      </c>
    </row>
    <row r="315" spans="1:45" x14ac:dyDescent="0.25">
      <c r="A315" t="s">
        <v>831</v>
      </c>
      <c r="B315" t="s">
        <v>832</v>
      </c>
      <c r="C315" t="s">
        <v>127</v>
      </c>
      <c r="D315" t="s">
        <v>53</v>
      </c>
      <c r="E315" t="s">
        <v>120</v>
      </c>
      <c r="F315" t="s">
        <v>120</v>
      </c>
      <c r="G315" t="s">
        <v>120</v>
      </c>
      <c r="H315" t="s">
        <v>120</v>
      </c>
      <c r="I315" t="s">
        <v>120</v>
      </c>
      <c r="J315" t="s">
        <v>120</v>
      </c>
      <c r="K315" t="s">
        <v>120</v>
      </c>
      <c r="L315" t="s">
        <v>120</v>
      </c>
      <c r="M315" t="s">
        <v>120</v>
      </c>
      <c r="N315" t="s">
        <v>120</v>
      </c>
      <c r="O315" t="s">
        <v>120</v>
      </c>
      <c r="P315" t="s">
        <v>120</v>
      </c>
      <c r="Q315" t="s">
        <v>120</v>
      </c>
      <c r="R315" t="s">
        <v>120</v>
      </c>
      <c r="S315" t="s">
        <v>120</v>
      </c>
      <c r="T315" t="s">
        <v>120</v>
      </c>
      <c r="U315" t="s">
        <v>120</v>
      </c>
      <c r="V315" t="s">
        <v>120</v>
      </c>
      <c r="W315" t="s">
        <v>120</v>
      </c>
      <c r="X315" t="s">
        <v>120</v>
      </c>
      <c r="Y315" t="s">
        <v>124</v>
      </c>
      <c r="Z315" t="s">
        <v>120</v>
      </c>
      <c r="AA315" t="s">
        <v>120</v>
      </c>
      <c r="AB315" t="s">
        <v>120</v>
      </c>
      <c r="AC315" t="s">
        <v>120</v>
      </c>
      <c r="AD315" t="s">
        <v>120</v>
      </c>
      <c r="AE315" t="s">
        <v>120</v>
      </c>
      <c r="AF315" t="s">
        <v>120</v>
      </c>
      <c r="AG315" t="s">
        <v>120</v>
      </c>
      <c r="AH315" t="s">
        <v>120</v>
      </c>
      <c r="AJ315">
        <v>0</v>
      </c>
      <c r="AK315">
        <v>4</v>
      </c>
      <c r="AL315">
        <v>0</v>
      </c>
      <c r="AM315">
        <v>4</v>
      </c>
      <c r="AN315">
        <v>0</v>
      </c>
      <c r="AO315">
        <v>33.43</v>
      </c>
      <c r="AP315">
        <v>4</v>
      </c>
      <c r="AQ315">
        <v>0</v>
      </c>
      <c r="AR315">
        <v>75.06</v>
      </c>
      <c r="AS315">
        <v>267.44</v>
      </c>
    </row>
    <row r="316" spans="1:45" x14ac:dyDescent="0.25">
      <c r="A316" t="s">
        <v>833</v>
      </c>
      <c r="B316" t="s">
        <v>834</v>
      </c>
      <c r="C316" t="s">
        <v>127</v>
      </c>
      <c r="D316" t="s">
        <v>53</v>
      </c>
      <c r="E316" t="s">
        <v>120</v>
      </c>
      <c r="F316" t="s">
        <v>120</v>
      </c>
      <c r="G316" t="s">
        <v>120</v>
      </c>
      <c r="H316" t="s">
        <v>120</v>
      </c>
      <c r="I316" t="s">
        <v>120</v>
      </c>
      <c r="J316" t="s">
        <v>120</v>
      </c>
      <c r="K316" t="s">
        <v>120</v>
      </c>
      <c r="L316" t="s">
        <v>120</v>
      </c>
      <c r="M316" t="s">
        <v>120</v>
      </c>
      <c r="N316" t="s">
        <v>120</v>
      </c>
      <c r="O316" t="s">
        <v>120</v>
      </c>
      <c r="P316" t="s">
        <v>120</v>
      </c>
      <c r="Q316" t="s">
        <v>120</v>
      </c>
      <c r="R316" t="s">
        <v>120</v>
      </c>
      <c r="S316" t="s">
        <v>120</v>
      </c>
      <c r="T316" t="s">
        <v>120</v>
      </c>
      <c r="U316" t="s">
        <v>120</v>
      </c>
      <c r="V316" t="s">
        <v>120</v>
      </c>
      <c r="W316" t="s">
        <v>120</v>
      </c>
      <c r="X316" t="s">
        <v>120</v>
      </c>
      <c r="Y316" t="s">
        <v>120</v>
      </c>
      <c r="Z316" t="s">
        <v>120</v>
      </c>
      <c r="AA316" t="s">
        <v>120</v>
      </c>
      <c r="AB316" t="s">
        <v>120</v>
      </c>
      <c r="AC316" t="s">
        <v>120</v>
      </c>
      <c r="AD316" t="s">
        <v>120</v>
      </c>
      <c r="AE316" t="s">
        <v>120</v>
      </c>
      <c r="AF316" t="s">
        <v>120</v>
      </c>
      <c r="AG316" t="s">
        <v>120</v>
      </c>
      <c r="AH316" t="s">
        <v>120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33.43</v>
      </c>
      <c r="AP316">
        <v>0</v>
      </c>
      <c r="AQ316">
        <v>0</v>
      </c>
      <c r="AR316">
        <v>75.06</v>
      </c>
      <c r="AS316">
        <v>0</v>
      </c>
    </row>
    <row r="317" spans="1:45" x14ac:dyDescent="0.25">
      <c r="A317" t="s">
        <v>835</v>
      </c>
      <c r="B317" t="s">
        <v>836</v>
      </c>
      <c r="C317" t="s">
        <v>127</v>
      </c>
      <c r="D317" t="s">
        <v>53</v>
      </c>
      <c r="E317" t="s">
        <v>120</v>
      </c>
      <c r="F317" t="s">
        <v>120</v>
      </c>
      <c r="G317" t="s">
        <v>120</v>
      </c>
      <c r="H317" t="s">
        <v>120</v>
      </c>
      <c r="I317" t="s">
        <v>120</v>
      </c>
      <c r="J317" t="s">
        <v>120</v>
      </c>
      <c r="K317" t="s">
        <v>120</v>
      </c>
      <c r="L317" t="s">
        <v>120</v>
      </c>
      <c r="M317" t="s">
        <v>120</v>
      </c>
      <c r="N317" t="s">
        <v>120</v>
      </c>
      <c r="O317" t="s">
        <v>120</v>
      </c>
      <c r="P317" t="s">
        <v>120</v>
      </c>
      <c r="Q317" t="s">
        <v>120</v>
      </c>
      <c r="R317" t="s">
        <v>120</v>
      </c>
      <c r="S317" t="s">
        <v>120</v>
      </c>
      <c r="T317" t="s">
        <v>120</v>
      </c>
      <c r="U317" t="s">
        <v>120</v>
      </c>
      <c r="V317" t="s">
        <v>120</v>
      </c>
      <c r="W317" t="s">
        <v>120</v>
      </c>
      <c r="X317" t="s">
        <v>120</v>
      </c>
      <c r="Y317" t="s">
        <v>120</v>
      </c>
      <c r="Z317" t="s">
        <v>120</v>
      </c>
      <c r="AA317" t="s">
        <v>120</v>
      </c>
      <c r="AB317" t="s">
        <v>120</v>
      </c>
      <c r="AC317" t="s">
        <v>120</v>
      </c>
      <c r="AD317" t="s">
        <v>120</v>
      </c>
      <c r="AE317" t="s">
        <v>120</v>
      </c>
      <c r="AF317" t="s">
        <v>120</v>
      </c>
      <c r="AG317" t="s">
        <v>120</v>
      </c>
      <c r="AH317" t="s">
        <v>120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33.43</v>
      </c>
      <c r="AP317">
        <v>0</v>
      </c>
      <c r="AQ317">
        <v>0</v>
      </c>
      <c r="AR317">
        <v>75.06</v>
      </c>
      <c r="AS317">
        <v>0</v>
      </c>
    </row>
    <row r="318" spans="1:45" x14ac:dyDescent="0.25">
      <c r="A318" t="s">
        <v>837</v>
      </c>
      <c r="B318" t="s">
        <v>838</v>
      </c>
      <c r="C318" t="s">
        <v>127</v>
      </c>
      <c r="D318" t="s">
        <v>53</v>
      </c>
      <c r="E318" t="s">
        <v>120</v>
      </c>
      <c r="F318" t="s">
        <v>120</v>
      </c>
      <c r="G318" t="s">
        <v>120</v>
      </c>
      <c r="H318" t="s">
        <v>120</v>
      </c>
      <c r="I318" t="s">
        <v>120</v>
      </c>
      <c r="J318" t="s">
        <v>120</v>
      </c>
      <c r="K318" t="s">
        <v>120</v>
      </c>
      <c r="L318" t="s">
        <v>120</v>
      </c>
      <c r="M318" t="s">
        <v>120</v>
      </c>
      <c r="N318" t="s">
        <v>120</v>
      </c>
      <c r="O318" t="s">
        <v>120</v>
      </c>
      <c r="P318" t="s">
        <v>120</v>
      </c>
      <c r="Q318" t="s">
        <v>120</v>
      </c>
      <c r="R318" t="s">
        <v>120</v>
      </c>
      <c r="S318" t="s">
        <v>120</v>
      </c>
      <c r="T318" t="s">
        <v>120</v>
      </c>
      <c r="U318" t="s">
        <v>120</v>
      </c>
      <c r="V318" t="s">
        <v>120</v>
      </c>
      <c r="W318" t="s">
        <v>120</v>
      </c>
      <c r="X318" t="s">
        <v>120</v>
      </c>
      <c r="Y318" t="s">
        <v>120</v>
      </c>
      <c r="Z318" t="s">
        <v>120</v>
      </c>
      <c r="AA318" t="s">
        <v>120</v>
      </c>
      <c r="AB318" t="s">
        <v>120</v>
      </c>
      <c r="AC318" t="s">
        <v>120</v>
      </c>
      <c r="AD318" t="s">
        <v>120</v>
      </c>
      <c r="AE318" t="s">
        <v>120</v>
      </c>
      <c r="AF318" t="s">
        <v>120</v>
      </c>
      <c r="AG318" t="s">
        <v>120</v>
      </c>
      <c r="AH318" t="s">
        <v>120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33.43</v>
      </c>
      <c r="AP318">
        <v>0</v>
      </c>
      <c r="AQ318">
        <v>0</v>
      </c>
      <c r="AR318">
        <v>75.06</v>
      </c>
      <c r="AS318">
        <v>0</v>
      </c>
    </row>
    <row r="319" spans="1:45" x14ac:dyDescent="0.25">
      <c r="A319" t="s">
        <v>839</v>
      </c>
      <c r="B319" t="s">
        <v>840</v>
      </c>
      <c r="C319" t="s">
        <v>127</v>
      </c>
      <c r="D319" t="s">
        <v>53</v>
      </c>
      <c r="F319" t="s">
        <v>120</v>
      </c>
      <c r="G319" t="s">
        <v>120</v>
      </c>
      <c r="H319" t="s">
        <v>120</v>
      </c>
      <c r="I319" t="s">
        <v>120</v>
      </c>
      <c r="J319" t="s">
        <v>120</v>
      </c>
      <c r="K319" t="s">
        <v>120</v>
      </c>
      <c r="L319" t="s">
        <v>120</v>
      </c>
      <c r="M319" t="s">
        <v>120</v>
      </c>
      <c r="N319" t="s">
        <v>120</v>
      </c>
      <c r="O319" t="s">
        <v>120</v>
      </c>
      <c r="P319" t="s">
        <v>120</v>
      </c>
      <c r="Q319" t="s">
        <v>120</v>
      </c>
      <c r="R319" t="s">
        <v>120</v>
      </c>
      <c r="S319" t="s">
        <v>120</v>
      </c>
      <c r="T319" t="s">
        <v>120</v>
      </c>
      <c r="U319" t="s">
        <v>120</v>
      </c>
      <c r="V319" t="s">
        <v>120</v>
      </c>
      <c r="W319" t="s">
        <v>120</v>
      </c>
      <c r="X319" t="s">
        <v>120</v>
      </c>
      <c r="Y319" t="s">
        <v>120</v>
      </c>
      <c r="Z319" t="s">
        <v>120</v>
      </c>
      <c r="AA319" t="s">
        <v>120</v>
      </c>
      <c r="AB319" t="s">
        <v>120</v>
      </c>
      <c r="AC319" t="s">
        <v>120</v>
      </c>
      <c r="AD319" t="s">
        <v>120</v>
      </c>
      <c r="AE319" t="s">
        <v>120</v>
      </c>
      <c r="AF319" t="s">
        <v>120</v>
      </c>
      <c r="AG319" t="s">
        <v>120</v>
      </c>
      <c r="AH319" t="s">
        <v>120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33.43</v>
      </c>
      <c r="AP319">
        <v>0</v>
      </c>
      <c r="AQ319">
        <v>0</v>
      </c>
      <c r="AR319">
        <v>75.06</v>
      </c>
      <c r="AS319">
        <v>0</v>
      </c>
    </row>
    <row r="320" spans="1:45" x14ac:dyDescent="0.25">
      <c r="A320" t="s">
        <v>841</v>
      </c>
      <c r="B320" t="s">
        <v>842</v>
      </c>
      <c r="C320" t="s">
        <v>130</v>
      </c>
      <c r="D320" t="s">
        <v>53</v>
      </c>
      <c r="E320" t="s">
        <v>120</v>
      </c>
      <c r="F320" t="s">
        <v>120</v>
      </c>
      <c r="G320" t="s">
        <v>120</v>
      </c>
      <c r="H320" t="s">
        <v>120</v>
      </c>
      <c r="I320" t="s">
        <v>120</v>
      </c>
      <c r="J320" t="s">
        <v>120</v>
      </c>
      <c r="K320" t="s">
        <v>120</v>
      </c>
      <c r="L320" t="s">
        <v>120</v>
      </c>
      <c r="M320" t="s">
        <v>120</v>
      </c>
      <c r="N320" t="s">
        <v>120</v>
      </c>
      <c r="O320" t="s">
        <v>120</v>
      </c>
      <c r="P320" t="s">
        <v>120</v>
      </c>
      <c r="Q320" t="s">
        <v>120</v>
      </c>
      <c r="R320" t="s">
        <v>120</v>
      </c>
      <c r="S320" t="s">
        <v>120</v>
      </c>
      <c r="T320" t="s">
        <v>120</v>
      </c>
      <c r="U320" t="s">
        <v>120</v>
      </c>
      <c r="V320" t="s">
        <v>120</v>
      </c>
      <c r="W320" t="s">
        <v>120</v>
      </c>
      <c r="X320" t="s">
        <v>120</v>
      </c>
      <c r="Y320" t="s">
        <v>124</v>
      </c>
      <c r="Z320" t="s">
        <v>120</v>
      </c>
      <c r="AA320" t="s">
        <v>120</v>
      </c>
      <c r="AB320" t="s">
        <v>120</v>
      </c>
      <c r="AC320" t="s">
        <v>120</v>
      </c>
      <c r="AD320" t="s">
        <v>120</v>
      </c>
      <c r="AE320" t="s">
        <v>120</v>
      </c>
      <c r="AF320" t="s">
        <v>120</v>
      </c>
      <c r="AG320" t="s">
        <v>843</v>
      </c>
      <c r="AH320" t="s">
        <v>120</v>
      </c>
      <c r="AJ320">
        <v>0</v>
      </c>
      <c r="AK320">
        <v>10</v>
      </c>
      <c r="AL320">
        <v>0</v>
      </c>
      <c r="AM320">
        <v>4</v>
      </c>
      <c r="AN320">
        <v>6</v>
      </c>
      <c r="AO320">
        <v>7500</v>
      </c>
      <c r="AP320">
        <v>4</v>
      </c>
      <c r="AQ320">
        <v>759.37500000000011</v>
      </c>
      <c r="AR320">
        <v>126.56250000000001</v>
      </c>
      <c r="AS320">
        <v>375</v>
      </c>
    </row>
    <row r="321" spans="1:45" x14ac:dyDescent="0.25">
      <c r="A321" t="s">
        <v>844</v>
      </c>
      <c r="B321" t="s">
        <v>845</v>
      </c>
      <c r="C321" t="s">
        <v>127</v>
      </c>
      <c r="D321" t="s">
        <v>53</v>
      </c>
      <c r="E321" t="s">
        <v>120</v>
      </c>
      <c r="F321" t="s">
        <v>120</v>
      </c>
      <c r="G321" t="s">
        <v>120</v>
      </c>
      <c r="H321" t="s">
        <v>120</v>
      </c>
      <c r="I321" t="s">
        <v>120</v>
      </c>
      <c r="J321" t="s">
        <v>120</v>
      </c>
      <c r="K321" t="s">
        <v>120</v>
      </c>
      <c r="L321" t="s">
        <v>120</v>
      </c>
      <c r="M321" t="s">
        <v>120</v>
      </c>
      <c r="N321" t="s">
        <v>120</v>
      </c>
      <c r="O321" t="s">
        <v>120</v>
      </c>
      <c r="P321" t="s">
        <v>120</v>
      </c>
      <c r="Q321" t="s">
        <v>120</v>
      </c>
      <c r="R321" t="s">
        <v>120</v>
      </c>
      <c r="S321" t="s">
        <v>120</v>
      </c>
      <c r="T321" t="s">
        <v>120</v>
      </c>
      <c r="U321" t="s">
        <v>120</v>
      </c>
      <c r="V321" t="s">
        <v>120</v>
      </c>
      <c r="W321" t="s">
        <v>120</v>
      </c>
      <c r="X321" t="s">
        <v>120</v>
      </c>
      <c r="Y321" t="s">
        <v>120</v>
      </c>
      <c r="Z321" t="s">
        <v>120</v>
      </c>
      <c r="AA321" t="s">
        <v>120</v>
      </c>
      <c r="AB321" t="s">
        <v>120</v>
      </c>
      <c r="AC321" t="s">
        <v>120</v>
      </c>
      <c r="AD321" t="s">
        <v>120</v>
      </c>
      <c r="AE321" t="s">
        <v>120</v>
      </c>
      <c r="AF321" t="s">
        <v>120</v>
      </c>
      <c r="AG321" t="s">
        <v>120</v>
      </c>
      <c r="AH321" t="s">
        <v>120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33.43</v>
      </c>
      <c r="AP321">
        <v>0</v>
      </c>
      <c r="AQ321">
        <v>0</v>
      </c>
      <c r="AR321">
        <v>75.06</v>
      </c>
      <c r="AS321">
        <v>0</v>
      </c>
    </row>
    <row r="322" spans="1:45" x14ac:dyDescent="0.25">
      <c r="A322" t="s">
        <v>846</v>
      </c>
      <c r="B322" t="s">
        <v>847</v>
      </c>
      <c r="C322" t="s">
        <v>127</v>
      </c>
      <c r="D322" t="s">
        <v>53</v>
      </c>
      <c r="E322" t="s">
        <v>120</v>
      </c>
      <c r="F322" t="s">
        <v>120</v>
      </c>
      <c r="G322" t="s">
        <v>120</v>
      </c>
      <c r="H322" t="s">
        <v>120</v>
      </c>
      <c r="I322" t="s">
        <v>120</v>
      </c>
      <c r="J322" t="s">
        <v>120</v>
      </c>
      <c r="K322" t="s">
        <v>120</v>
      </c>
      <c r="L322" t="s">
        <v>120</v>
      </c>
      <c r="M322" t="s">
        <v>120</v>
      </c>
      <c r="N322" t="s">
        <v>120</v>
      </c>
      <c r="O322" t="s">
        <v>120</v>
      </c>
      <c r="P322" t="s">
        <v>120</v>
      </c>
      <c r="Q322" t="s">
        <v>120</v>
      </c>
      <c r="R322" t="s">
        <v>120</v>
      </c>
      <c r="S322" t="s">
        <v>120</v>
      </c>
      <c r="T322" t="s">
        <v>120</v>
      </c>
      <c r="U322" t="s">
        <v>120</v>
      </c>
      <c r="V322" t="s">
        <v>120</v>
      </c>
      <c r="W322" t="s">
        <v>120</v>
      </c>
      <c r="X322" t="s">
        <v>120</v>
      </c>
      <c r="Y322" t="s">
        <v>120</v>
      </c>
      <c r="Z322" t="s">
        <v>120</v>
      </c>
      <c r="AA322" t="s">
        <v>120</v>
      </c>
      <c r="AB322" t="s">
        <v>120</v>
      </c>
      <c r="AC322" t="s">
        <v>120</v>
      </c>
      <c r="AD322" t="s">
        <v>120</v>
      </c>
      <c r="AE322" t="s">
        <v>120</v>
      </c>
      <c r="AF322" t="s">
        <v>120</v>
      </c>
      <c r="AG322" t="s">
        <v>120</v>
      </c>
      <c r="AH322" t="s">
        <v>120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33.43</v>
      </c>
      <c r="AP322">
        <v>0</v>
      </c>
      <c r="AQ322">
        <v>0</v>
      </c>
      <c r="AR322">
        <v>75.06</v>
      </c>
      <c r="AS322">
        <v>0</v>
      </c>
    </row>
    <row r="323" spans="1:45" x14ac:dyDescent="0.25">
      <c r="A323" t="s">
        <v>848</v>
      </c>
      <c r="B323" t="s">
        <v>849</v>
      </c>
      <c r="C323" t="s">
        <v>127</v>
      </c>
      <c r="D323" t="s">
        <v>53</v>
      </c>
      <c r="E323" t="s">
        <v>120</v>
      </c>
      <c r="F323" t="s">
        <v>120</v>
      </c>
      <c r="G323" t="s">
        <v>120</v>
      </c>
      <c r="H323" t="s">
        <v>120</v>
      </c>
      <c r="I323" t="s">
        <v>120</v>
      </c>
      <c r="K323" t="s">
        <v>120</v>
      </c>
      <c r="L323" t="s">
        <v>120</v>
      </c>
      <c r="M323" t="s">
        <v>120</v>
      </c>
      <c r="N323" t="s">
        <v>120</v>
      </c>
      <c r="O323" t="s">
        <v>120</v>
      </c>
      <c r="P323" t="s">
        <v>120</v>
      </c>
      <c r="Q323" t="s">
        <v>120</v>
      </c>
      <c r="R323" t="s">
        <v>120</v>
      </c>
      <c r="S323" t="s">
        <v>120</v>
      </c>
      <c r="T323" t="s">
        <v>120</v>
      </c>
      <c r="U323" t="s">
        <v>120</v>
      </c>
      <c r="V323" t="s">
        <v>120</v>
      </c>
      <c r="W323" t="s">
        <v>120</v>
      </c>
      <c r="X323" t="s">
        <v>120</v>
      </c>
      <c r="Y323" t="s">
        <v>120</v>
      </c>
      <c r="Z323" t="s">
        <v>120</v>
      </c>
      <c r="AA323" t="s">
        <v>120</v>
      </c>
      <c r="AB323" t="s">
        <v>120</v>
      </c>
      <c r="AC323" t="s">
        <v>120</v>
      </c>
      <c r="AD323" t="s">
        <v>120</v>
      </c>
      <c r="AE323" t="s">
        <v>120</v>
      </c>
      <c r="AF323" t="s">
        <v>120</v>
      </c>
      <c r="AG323" t="s">
        <v>120</v>
      </c>
      <c r="AH323" t="s">
        <v>120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33.43</v>
      </c>
      <c r="AP323">
        <v>0</v>
      </c>
      <c r="AQ323">
        <v>0</v>
      </c>
      <c r="AR323">
        <v>75.06</v>
      </c>
      <c r="AS323">
        <v>0</v>
      </c>
    </row>
    <row r="324" spans="1:45" x14ac:dyDescent="0.25">
      <c r="A324" t="s">
        <v>850</v>
      </c>
      <c r="B324" t="s">
        <v>851</v>
      </c>
      <c r="C324" t="s">
        <v>127</v>
      </c>
      <c r="D324" t="s">
        <v>53</v>
      </c>
      <c r="E324" t="s">
        <v>120</v>
      </c>
      <c r="F324" t="s">
        <v>120</v>
      </c>
      <c r="G324" t="s">
        <v>120</v>
      </c>
      <c r="H324" t="s">
        <v>120</v>
      </c>
      <c r="I324" t="s">
        <v>120</v>
      </c>
      <c r="J324" t="s">
        <v>120</v>
      </c>
      <c r="K324" t="s">
        <v>120</v>
      </c>
      <c r="L324" t="s">
        <v>120</v>
      </c>
      <c r="M324" t="s">
        <v>120</v>
      </c>
      <c r="N324" t="s">
        <v>120</v>
      </c>
      <c r="O324" t="s">
        <v>120</v>
      </c>
      <c r="P324" t="s">
        <v>120</v>
      </c>
      <c r="Q324" t="s">
        <v>120</v>
      </c>
      <c r="R324" t="s">
        <v>120</v>
      </c>
      <c r="S324" t="s">
        <v>120</v>
      </c>
      <c r="T324" t="s">
        <v>120</v>
      </c>
      <c r="U324" t="s">
        <v>120</v>
      </c>
      <c r="V324" t="s">
        <v>120</v>
      </c>
      <c r="W324" t="s">
        <v>120</v>
      </c>
      <c r="X324" t="s">
        <v>120</v>
      </c>
      <c r="Y324" t="s">
        <v>120</v>
      </c>
      <c r="Z324" t="s">
        <v>120</v>
      </c>
      <c r="AA324" t="s">
        <v>120</v>
      </c>
      <c r="AB324" t="s">
        <v>120</v>
      </c>
      <c r="AC324" t="s">
        <v>120</v>
      </c>
      <c r="AD324" t="s">
        <v>120</v>
      </c>
      <c r="AE324" t="s">
        <v>120</v>
      </c>
      <c r="AF324" t="s">
        <v>120</v>
      </c>
      <c r="AG324" t="s">
        <v>120</v>
      </c>
      <c r="AH324" t="s">
        <v>120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33.43</v>
      </c>
      <c r="AP324">
        <v>0</v>
      </c>
      <c r="AQ324">
        <v>0</v>
      </c>
      <c r="AR324">
        <v>75.06</v>
      </c>
      <c r="AS324">
        <v>0</v>
      </c>
    </row>
    <row r="325" spans="1:45" x14ac:dyDescent="0.25">
      <c r="A325" t="s">
        <v>852</v>
      </c>
      <c r="B325" t="s">
        <v>853</v>
      </c>
      <c r="C325" t="s">
        <v>127</v>
      </c>
      <c r="D325" t="s">
        <v>87</v>
      </c>
      <c r="E325" t="s">
        <v>120</v>
      </c>
      <c r="F325" t="s">
        <v>120</v>
      </c>
      <c r="G325" t="s">
        <v>120</v>
      </c>
      <c r="H325" t="s">
        <v>120</v>
      </c>
      <c r="I325" t="s">
        <v>120</v>
      </c>
      <c r="J325" t="s">
        <v>120</v>
      </c>
      <c r="K325" t="s">
        <v>120</v>
      </c>
      <c r="L325" t="s">
        <v>120</v>
      </c>
      <c r="M325" t="s">
        <v>120</v>
      </c>
      <c r="N325" t="s">
        <v>120</v>
      </c>
      <c r="O325" t="s">
        <v>120</v>
      </c>
      <c r="P325" t="s">
        <v>120</v>
      </c>
      <c r="Q325" t="s">
        <v>120</v>
      </c>
      <c r="R325" t="s">
        <v>120</v>
      </c>
      <c r="S325" t="s">
        <v>120</v>
      </c>
      <c r="T325" t="s">
        <v>120</v>
      </c>
      <c r="U325" t="s">
        <v>120</v>
      </c>
      <c r="V325" t="s">
        <v>120</v>
      </c>
      <c r="W325" t="s">
        <v>120</v>
      </c>
      <c r="X325" t="s">
        <v>120</v>
      </c>
      <c r="Y325" t="s">
        <v>120</v>
      </c>
      <c r="Z325" t="s">
        <v>120</v>
      </c>
      <c r="AA325" t="s">
        <v>120</v>
      </c>
      <c r="AB325" t="s">
        <v>120</v>
      </c>
      <c r="AC325" t="s">
        <v>120</v>
      </c>
      <c r="AD325" t="s">
        <v>120</v>
      </c>
      <c r="AE325" t="s">
        <v>120</v>
      </c>
      <c r="AF325" t="s">
        <v>120</v>
      </c>
      <c r="AG325" t="s">
        <v>135</v>
      </c>
      <c r="AH325" t="s">
        <v>120</v>
      </c>
      <c r="AJ325">
        <v>0</v>
      </c>
      <c r="AK325">
        <v>8</v>
      </c>
      <c r="AL325">
        <v>0</v>
      </c>
      <c r="AM325">
        <v>8</v>
      </c>
      <c r="AN325">
        <v>0</v>
      </c>
      <c r="AO325">
        <v>33.43</v>
      </c>
      <c r="AP325">
        <v>8</v>
      </c>
      <c r="AQ325">
        <v>0</v>
      </c>
      <c r="AR325">
        <v>75.06</v>
      </c>
      <c r="AS325">
        <v>534.88</v>
      </c>
    </row>
    <row r="326" spans="1:45" x14ac:dyDescent="0.25">
      <c r="A326" t="s">
        <v>854</v>
      </c>
      <c r="B326" t="s">
        <v>855</v>
      </c>
      <c r="C326" t="s">
        <v>147</v>
      </c>
      <c r="D326" t="s">
        <v>87</v>
      </c>
      <c r="E326" t="s">
        <v>120</v>
      </c>
      <c r="F326" t="s">
        <v>120</v>
      </c>
      <c r="G326" t="s">
        <v>120</v>
      </c>
      <c r="H326" t="s">
        <v>120</v>
      </c>
      <c r="I326" t="s">
        <v>120</v>
      </c>
      <c r="J326" t="s">
        <v>120</v>
      </c>
      <c r="K326" t="s">
        <v>120</v>
      </c>
      <c r="L326" t="s">
        <v>120</v>
      </c>
      <c r="M326" t="s">
        <v>120</v>
      </c>
      <c r="N326" t="s">
        <v>120</v>
      </c>
      <c r="O326" t="s">
        <v>120</v>
      </c>
      <c r="P326" t="s">
        <v>120</v>
      </c>
      <c r="Q326" t="s">
        <v>120</v>
      </c>
      <c r="R326" t="s">
        <v>120</v>
      </c>
      <c r="S326" t="s">
        <v>120</v>
      </c>
      <c r="T326" t="s">
        <v>120</v>
      </c>
      <c r="U326" t="s">
        <v>120</v>
      </c>
      <c r="V326" t="s">
        <v>120</v>
      </c>
      <c r="W326" t="s">
        <v>120</v>
      </c>
      <c r="X326" t="s">
        <v>120</v>
      </c>
      <c r="Y326" t="s">
        <v>124</v>
      </c>
      <c r="Z326" t="s">
        <v>120</v>
      </c>
      <c r="AA326" t="s">
        <v>120</v>
      </c>
      <c r="AB326" t="s">
        <v>120</v>
      </c>
      <c r="AC326" t="s">
        <v>120</v>
      </c>
      <c r="AD326" t="s">
        <v>120</v>
      </c>
      <c r="AE326" t="s">
        <v>120</v>
      </c>
      <c r="AF326" t="s">
        <v>120</v>
      </c>
      <c r="AG326" t="s">
        <v>120</v>
      </c>
      <c r="AH326" t="s">
        <v>120</v>
      </c>
      <c r="AJ326">
        <v>0</v>
      </c>
      <c r="AK326">
        <v>4</v>
      </c>
      <c r="AL326">
        <v>0</v>
      </c>
      <c r="AM326">
        <v>4</v>
      </c>
      <c r="AN326">
        <v>0</v>
      </c>
      <c r="AO326">
        <v>28.25</v>
      </c>
      <c r="AP326">
        <v>4</v>
      </c>
      <c r="AQ326">
        <v>0</v>
      </c>
      <c r="AR326">
        <v>70.2</v>
      </c>
      <c r="AS326">
        <v>226</v>
      </c>
    </row>
    <row r="327" spans="1:45" x14ac:dyDescent="0.25">
      <c r="A327" t="s">
        <v>856</v>
      </c>
      <c r="B327" t="s">
        <v>857</v>
      </c>
      <c r="C327" t="s">
        <v>127</v>
      </c>
      <c r="D327" t="s">
        <v>87</v>
      </c>
      <c r="E327" t="s">
        <v>120</v>
      </c>
      <c r="F327" t="s">
        <v>120</v>
      </c>
      <c r="G327" t="s">
        <v>120</v>
      </c>
      <c r="H327" t="s">
        <v>120</v>
      </c>
      <c r="I327" t="s">
        <v>120</v>
      </c>
      <c r="J327" t="s">
        <v>120</v>
      </c>
      <c r="K327" t="s">
        <v>120</v>
      </c>
      <c r="L327" t="s">
        <v>120</v>
      </c>
      <c r="M327" t="s">
        <v>120</v>
      </c>
      <c r="N327" t="s">
        <v>120</v>
      </c>
      <c r="O327" t="s">
        <v>120</v>
      </c>
      <c r="P327" t="s">
        <v>120</v>
      </c>
      <c r="Q327" t="s">
        <v>120</v>
      </c>
      <c r="R327" t="s">
        <v>120</v>
      </c>
      <c r="S327" t="s">
        <v>120</v>
      </c>
      <c r="T327" t="s">
        <v>120</v>
      </c>
      <c r="U327" t="s">
        <v>120</v>
      </c>
      <c r="V327" t="s">
        <v>120</v>
      </c>
      <c r="W327" t="s">
        <v>120</v>
      </c>
      <c r="X327" t="s">
        <v>120</v>
      </c>
      <c r="Y327" t="s">
        <v>124</v>
      </c>
      <c r="Z327" t="s">
        <v>120</v>
      </c>
      <c r="AA327" t="s">
        <v>120</v>
      </c>
      <c r="AB327" t="s">
        <v>120</v>
      </c>
      <c r="AC327" t="s">
        <v>120</v>
      </c>
      <c r="AD327" t="s">
        <v>120</v>
      </c>
      <c r="AE327" t="s">
        <v>120</v>
      </c>
      <c r="AF327" t="s">
        <v>120</v>
      </c>
      <c r="AG327" t="s">
        <v>120</v>
      </c>
      <c r="AH327" t="s">
        <v>120</v>
      </c>
      <c r="AJ327">
        <v>0</v>
      </c>
      <c r="AK327">
        <v>4</v>
      </c>
      <c r="AL327">
        <v>0</v>
      </c>
      <c r="AM327">
        <v>4</v>
      </c>
      <c r="AN327">
        <v>0</v>
      </c>
      <c r="AO327">
        <v>33.43</v>
      </c>
      <c r="AP327">
        <v>4</v>
      </c>
      <c r="AQ327">
        <v>0</v>
      </c>
      <c r="AR327">
        <v>75.06</v>
      </c>
      <c r="AS327">
        <v>267.44</v>
      </c>
    </row>
    <row r="328" spans="1:45" x14ac:dyDescent="0.25">
      <c r="A328" t="s">
        <v>858</v>
      </c>
      <c r="B328" t="s">
        <v>859</v>
      </c>
      <c r="C328" t="s">
        <v>127</v>
      </c>
      <c r="D328" t="s">
        <v>87</v>
      </c>
      <c r="E328" t="s">
        <v>120</v>
      </c>
      <c r="F328" t="s">
        <v>120</v>
      </c>
      <c r="G328" t="s">
        <v>120</v>
      </c>
      <c r="H328" t="s">
        <v>120</v>
      </c>
      <c r="I328" t="s">
        <v>120</v>
      </c>
      <c r="J328" t="s">
        <v>120</v>
      </c>
      <c r="K328" t="s">
        <v>120</v>
      </c>
      <c r="L328" t="s">
        <v>120</v>
      </c>
      <c r="M328" t="s">
        <v>120</v>
      </c>
      <c r="N328" t="s">
        <v>120</v>
      </c>
      <c r="O328" t="s">
        <v>120</v>
      </c>
      <c r="P328" t="s">
        <v>120</v>
      </c>
      <c r="Q328" t="s">
        <v>120</v>
      </c>
      <c r="R328" t="s">
        <v>120</v>
      </c>
      <c r="S328" t="s">
        <v>120</v>
      </c>
      <c r="T328" t="s">
        <v>120</v>
      </c>
      <c r="U328" t="s">
        <v>120</v>
      </c>
      <c r="V328" t="s">
        <v>120</v>
      </c>
      <c r="W328" t="s">
        <v>120</v>
      </c>
      <c r="X328" t="s">
        <v>120</v>
      </c>
      <c r="Y328" t="s">
        <v>124</v>
      </c>
      <c r="Z328" t="s">
        <v>120</v>
      </c>
      <c r="AA328" t="s">
        <v>120</v>
      </c>
      <c r="AB328" t="s">
        <v>120</v>
      </c>
      <c r="AC328" t="s">
        <v>120</v>
      </c>
      <c r="AD328" t="s">
        <v>120</v>
      </c>
      <c r="AE328" t="s">
        <v>120</v>
      </c>
      <c r="AF328" t="s">
        <v>120</v>
      </c>
      <c r="AG328" t="s">
        <v>120</v>
      </c>
      <c r="AH328" t="s">
        <v>120</v>
      </c>
      <c r="AJ328">
        <v>0</v>
      </c>
      <c r="AK328">
        <v>4</v>
      </c>
      <c r="AL328">
        <v>0</v>
      </c>
      <c r="AM328">
        <v>4</v>
      </c>
      <c r="AN328">
        <v>0</v>
      </c>
      <c r="AO328">
        <v>33.43</v>
      </c>
      <c r="AP328">
        <v>4</v>
      </c>
      <c r="AQ328">
        <v>0</v>
      </c>
      <c r="AR328">
        <v>75.06</v>
      </c>
      <c r="AS328">
        <v>267.44</v>
      </c>
    </row>
    <row r="329" spans="1:45" x14ac:dyDescent="0.25">
      <c r="A329" t="s">
        <v>860</v>
      </c>
      <c r="B329" t="s">
        <v>861</v>
      </c>
      <c r="C329" t="s">
        <v>127</v>
      </c>
      <c r="D329" t="s">
        <v>87</v>
      </c>
      <c r="E329" t="s">
        <v>120</v>
      </c>
      <c r="F329" t="s">
        <v>120</v>
      </c>
      <c r="G329" t="s">
        <v>120</v>
      </c>
      <c r="H329" t="s">
        <v>120</v>
      </c>
      <c r="I329" t="s">
        <v>120</v>
      </c>
      <c r="J329" t="s">
        <v>120</v>
      </c>
      <c r="K329" t="s">
        <v>120</v>
      </c>
      <c r="L329" t="s">
        <v>120</v>
      </c>
      <c r="M329" t="s">
        <v>120</v>
      </c>
      <c r="N329" t="s">
        <v>120</v>
      </c>
      <c r="O329" t="s">
        <v>120</v>
      </c>
      <c r="P329" t="s">
        <v>120</v>
      </c>
      <c r="Q329" t="s">
        <v>120</v>
      </c>
      <c r="R329" t="s">
        <v>120</v>
      </c>
      <c r="S329" t="s">
        <v>120</v>
      </c>
      <c r="T329" t="s">
        <v>120</v>
      </c>
      <c r="U329" t="s">
        <v>120</v>
      </c>
      <c r="V329" t="s">
        <v>120</v>
      </c>
      <c r="W329" t="s">
        <v>120</v>
      </c>
      <c r="X329" t="s">
        <v>120</v>
      </c>
      <c r="Y329" t="s">
        <v>120</v>
      </c>
      <c r="Z329" t="s">
        <v>120</v>
      </c>
      <c r="AA329" t="s">
        <v>120</v>
      </c>
      <c r="AB329" t="s">
        <v>120</v>
      </c>
      <c r="AC329" t="s">
        <v>120</v>
      </c>
      <c r="AD329" t="s">
        <v>120</v>
      </c>
      <c r="AE329" t="s">
        <v>120</v>
      </c>
      <c r="AF329" t="s">
        <v>120</v>
      </c>
      <c r="AG329" t="s">
        <v>120</v>
      </c>
      <c r="AH329" t="s">
        <v>120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30.13</v>
      </c>
      <c r="AP329">
        <v>0</v>
      </c>
      <c r="AQ329">
        <v>0</v>
      </c>
      <c r="AR329">
        <v>75.06</v>
      </c>
      <c r="AS329">
        <v>0</v>
      </c>
    </row>
    <row r="330" spans="1:45" x14ac:dyDescent="0.25">
      <c r="A330" t="s">
        <v>862</v>
      </c>
      <c r="B330" t="s">
        <v>863</v>
      </c>
      <c r="C330" t="s">
        <v>147</v>
      </c>
      <c r="D330" t="s">
        <v>87</v>
      </c>
      <c r="E330" t="s">
        <v>120</v>
      </c>
      <c r="F330" t="s">
        <v>120</v>
      </c>
      <c r="G330" t="s">
        <v>120</v>
      </c>
      <c r="H330" t="s">
        <v>120</v>
      </c>
      <c r="I330" t="s">
        <v>120</v>
      </c>
      <c r="J330" t="s">
        <v>120</v>
      </c>
      <c r="K330" t="s">
        <v>120</v>
      </c>
      <c r="L330" t="s">
        <v>120</v>
      </c>
      <c r="M330" t="s">
        <v>120</v>
      </c>
      <c r="N330" t="s">
        <v>120</v>
      </c>
      <c r="O330" t="s">
        <v>120</v>
      </c>
      <c r="P330" t="s">
        <v>120</v>
      </c>
      <c r="Q330" t="s">
        <v>120</v>
      </c>
      <c r="R330" t="s">
        <v>120</v>
      </c>
      <c r="S330" t="s">
        <v>120</v>
      </c>
      <c r="T330" t="s">
        <v>120</v>
      </c>
      <c r="U330" t="s">
        <v>120</v>
      </c>
      <c r="V330" t="s">
        <v>120</v>
      </c>
      <c r="W330" t="s">
        <v>120</v>
      </c>
      <c r="X330" t="s">
        <v>120</v>
      </c>
      <c r="Y330" t="s">
        <v>124</v>
      </c>
      <c r="Z330" t="s">
        <v>120</v>
      </c>
      <c r="AA330" t="s">
        <v>120</v>
      </c>
      <c r="AB330" t="s">
        <v>120</v>
      </c>
      <c r="AC330" t="s">
        <v>135</v>
      </c>
      <c r="AD330" t="s">
        <v>120</v>
      </c>
      <c r="AE330" t="s">
        <v>120</v>
      </c>
      <c r="AF330" t="s">
        <v>120</v>
      </c>
      <c r="AG330" t="s">
        <v>120</v>
      </c>
      <c r="AH330" t="s">
        <v>120</v>
      </c>
      <c r="AJ330">
        <v>0</v>
      </c>
      <c r="AK330">
        <v>12</v>
      </c>
      <c r="AL330">
        <v>0</v>
      </c>
      <c r="AM330">
        <v>12</v>
      </c>
      <c r="AN330">
        <v>0</v>
      </c>
      <c r="AO330">
        <v>33.43</v>
      </c>
      <c r="AP330">
        <v>12</v>
      </c>
      <c r="AQ330">
        <v>0</v>
      </c>
      <c r="AR330">
        <v>70.2</v>
      </c>
      <c r="AS330">
        <v>802.31999999999994</v>
      </c>
    </row>
    <row r="331" spans="1:45" x14ac:dyDescent="0.25">
      <c r="A331" t="s">
        <v>864</v>
      </c>
      <c r="B331" t="s">
        <v>865</v>
      </c>
      <c r="C331" t="s">
        <v>127</v>
      </c>
      <c r="D331" t="s">
        <v>87</v>
      </c>
      <c r="E331" t="s">
        <v>120</v>
      </c>
      <c r="F331" t="s">
        <v>120</v>
      </c>
      <c r="G331" t="s">
        <v>120</v>
      </c>
      <c r="H331" t="s">
        <v>120</v>
      </c>
      <c r="I331" t="s">
        <v>120</v>
      </c>
      <c r="J331" t="s">
        <v>120</v>
      </c>
      <c r="K331" t="s">
        <v>120</v>
      </c>
      <c r="L331" t="s">
        <v>120</v>
      </c>
      <c r="M331" t="s">
        <v>120</v>
      </c>
      <c r="N331" t="s">
        <v>120</v>
      </c>
      <c r="O331" t="s">
        <v>120</v>
      </c>
      <c r="P331" t="s">
        <v>120</v>
      </c>
      <c r="Q331" t="s">
        <v>120</v>
      </c>
      <c r="R331" t="s">
        <v>120</v>
      </c>
      <c r="S331" t="s">
        <v>120</v>
      </c>
      <c r="T331" t="s">
        <v>120</v>
      </c>
      <c r="U331" t="s">
        <v>120</v>
      </c>
      <c r="V331" t="s">
        <v>120</v>
      </c>
      <c r="W331" t="s">
        <v>120</v>
      </c>
      <c r="X331" t="s">
        <v>120</v>
      </c>
      <c r="Y331" t="s">
        <v>120</v>
      </c>
      <c r="Z331" t="s">
        <v>120</v>
      </c>
      <c r="AA331" t="s">
        <v>120</v>
      </c>
      <c r="AB331" t="s">
        <v>120</v>
      </c>
      <c r="AC331" t="s">
        <v>120</v>
      </c>
      <c r="AD331" t="s">
        <v>120</v>
      </c>
      <c r="AE331" t="s">
        <v>120</v>
      </c>
      <c r="AF331" t="s">
        <v>120</v>
      </c>
      <c r="AG331" t="s">
        <v>120</v>
      </c>
      <c r="AH331" t="s">
        <v>120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33.43</v>
      </c>
      <c r="AP331">
        <v>0</v>
      </c>
      <c r="AQ331">
        <v>0</v>
      </c>
      <c r="AR331">
        <v>75.06</v>
      </c>
      <c r="AS331">
        <v>0</v>
      </c>
    </row>
    <row r="332" spans="1:45" x14ac:dyDescent="0.25">
      <c r="A332" t="s">
        <v>866</v>
      </c>
      <c r="B332" t="s">
        <v>867</v>
      </c>
      <c r="C332" t="s">
        <v>127</v>
      </c>
      <c r="D332" t="s">
        <v>87</v>
      </c>
      <c r="E332" t="s">
        <v>120</v>
      </c>
      <c r="F332" t="s">
        <v>120</v>
      </c>
      <c r="G332" t="s">
        <v>120</v>
      </c>
      <c r="H332" t="s">
        <v>120</v>
      </c>
      <c r="I332" t="s">
        <v>120</v>
      </c>
      <c r="J332" t="s">
        <v>120</v>
      </c>
      <c r="K332" t="s">
        <v>120</v>
      </c>
      <c r="L332" t="s">
        <v>120</v>
      </c>
      <c r="M332" t="s">
        <v>120</v>
      </c>
      <c r="N332" t="s">
        <v>120</v>
      </c>
      <c r="O332" t="s">
        <v>120</v>
      </c>
      <c r="P332" t="s">
        <v>120</v>
      </c>
      <c r="Q332" t="s">
        <v>120</v>
      </c>
      <c r="R332" t="s">
        <v>120</v>
      </c>
      <c r="S332" t="s">
        <v>120</v>
      </c>
      <c r="T332" t="s">
        <v>120</v>
      </c>
      <c r="U332" t="s">
        <v>120</v>
      </c>
      <c r="V332" t="s">
        <v>120</v>
      </c>
      <c r="W332" t="s">
        <v>120</v>
      </c>
      <c r="X332" t="s">
        <v>120</v>
      </c>
      <c r="Y332" t="s">
        <v>120</v>
      </c>
      <c r="Z332" t="s">
        <v>120</v>
      </c>
      <c r="AA332" t="s">
        <v>120</v>
      </c>
      <c r="AB332" t="s">
        <v>120</v>
      </c>
      <c r="AC332" t="s">
        <v>120</v>
      </c>
      <c r="AD332" t="s">
        <v>120</v>
      </c>
      <c r="AE332" t="s">
        <v>120</v>
      </c>
      <c r="AF332" t="s">
        <v>120</v>
      </c>
      <c r="AG332" t="s">
        <v>120</v>
      </c>
      <c r="AH332" t="s">
        <v>120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33.43</v>
      </c>
      <c r="AP332">
        <v>0</v>
      </c>
      <c r="AQ332">
        <v>0</v>
      </c>
      <c r="AR332">
        <v>75.06</v>
      </c>
      <c r="AS332">
        <v>0</v>
      </c>
    </row>
    <row r="333" spans="1:45" x14ac:dyDescent="0.25">
      <c r="A333" t="s">
        <v>868</v>
      </c>
      <c r="B333" t="s">
        <v>869</v>
      </c>
      <c r="C333" t="s">
        <v>127</v>
      </c>
      <c r="D333" t="s">
        <v>87</v>
      </c>
      <c r="E333" t="s">
        <v>120</v>
      </c>
      <c r="F333" t="s">
        <v>120</v>
      </c>
      <c r="G333" t="s">
        <v>120</v>
      </c>
      <c r="H333" t="s">
        <v>120</v>
      </c>
      <c r="I333" t="s">
        <v>120</v>
      </c>
      <c r="J333" t="s">
        <v>120</v>
      </c>
      <c r="K333" t="s">
        <v>120</v>
      </c>
      <c r="L333" t="s">
        <v>120</v>
      </c>
      <c r="M333" t="s">
        <v>120</v>
      </c>
      <c r="N333" t="s">
        <v>120</v>
      </c>
      <c r="O333" t="s">
        <v>120</v>
      </c>
      <c r="P333" t="s">
        <v>120</v>
      </c>
      <c r="Q333" t="s">
        <v>120</v>
      </c>
      <c r="R333" t="s">
        <v>120</v>
      </c>
      <c r="S333" t="s">
        <v>120</v>
      </c>
      <c r="T333" t="s">
        <v>120</v>
      </c>
      <c r="U333" t="s">
        <v>120</v>
      </c>
      <c r="V333" t="s">
        <v>120</v>
      </c>
      <c r="W333" t="s">
        <v>120</v>
      </c>
      <c r="X333" t="s">
        <v>120</v>
      </c>
      <c r="Y333" t="s">
        <v>124</v>
      </c>
      <c r="Z333" t="s">
        <v>120</v>
      </c>
      <c r="AA333" t="s">
        <v>120</v>
      </c>
      <c r="AB333" t="s">
        <v>120</v>
      </c>
      <c r="AC333" t="s">
        <v>120</v>
      </c>
      <c r="AD333" t="s">
        <v>120</v>
      </c>
      <c r="AE333" t="s">
        <v>120</v>
      </c>
      <c r="AF333" t="s">
        <v>120</v>
      </c>
      <c r="AG333" t="s">
        <v>120</v>
      </c>
      <c r="AH333" t="s">
        <v>120</v>
      </c>
      <c r="AJ333">
        <v>0</v>
      </c>
      <c r="AK333">
        <v>4</v>
      </c>
      <c r="AL333">
        <v>0</v>
      </c>
      <c r="AM333">
        <v>4</v>
      </c>
      <c r="AN333">
        <v>0</v>
      </c>
      <c r="AO333">
        <v>33.43</v>
      </c>
      <c r="AP333">
        <v>4</v>
      </c>
      <c r="AQ333">
        <v>0</v>
      </c>
      <c r="AR333">
        <v>75.06</v>
      </c>
      <c r="AS333">
        <v>267.44</v>
      </c>
    </row>
    <row r="334" spans="1:45" x14ac:dyDescent="0.25">
      <c r="A334" t="s">
        <v>870</v>
      </c>
      <c r="B334" t="s">
        <v>871</v>
      </c>
      <c r="C334" t="s">
        <v>147</v>
      </c>
      <c r="D334" t="s">
        <v>87</v>
      </c>
      <c r="E334" t="s">
        <v>120</v>
      </c>
      <c r="F334" t="s">
        <v>120</v>
      </c>
      <c r="G334" t="s">
        <v>120</v>
      </c>
      <c r="H334" t="s">
        <v>120</v>
      </c>
      <c r="I334" t="s">
        <v>120</v>
      </c>
      <c r="J334" t="s">
        <v>120</v>
      </c>
      <c r="K334" t="s">
        <v>120</v>
      </c>
      <c r="L334" t="s">
        <v>120</v>
      </c>
      <c r="M334" t="s">
        <v>120</v>
      </c>
      <c r="N334" t="s">
        <v>120</v>
      </c>
      <c r="O334" t="s">
        <v>120</v>
      </c>
      <c r="P334" t="s">
        <v>120</v>
      </c>
      <c r="Q334" t="s">
        <v>120</v>
      </c>
      <c r="R334" t="s">
        <v>120</v>
      </c>
      <c r="S334" t="s">
        <v>120</v>
      </c>
      <c r="T334" t="s">
        <v>120</v>
      </c>
      <c r="U334" t="s">
        <v>120</v>
      </c>
      <c r="V334" t="s">
        <v>120</v>
      </c>
      <c r="W334" t="s">
        <v>120</v>
      </c>
      <c r="X334" t="s">
        <v>120</v>
      </c>
      <c r="Y334" t="s">
        <v>120</v>
      </c>
      <c r="Z334" t="s">
        <v>120</v>
      </c>
      <c r="AA334" t="s">
        <v>120</v>
      </c>
      <c r="AB334" t="s">
        <v>120</v>
      </c>
      <c r="AC334" t="s">
        <v>120</v>
      </c>
      <c r="AD334" t="s">
        <v>120</v>
      </c>
      <c r="AE334" t="s">
        <v>120</v>
      </c>
      <c r="AF334" t="s">
        <v>120</v>
      </c>
      <c r="AG334" t="s">
        <v>120</v>
      </c>
      <c r="AH334" t="s">
        <v>120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28.25</v>
      </c>
      <c r="AP334">
        <v>0</v>
      </c>
      <c r="AQ334">
        <v>0</v>
      </c>
      <c r="AR334">
        <v>70.2</v>
      </c>
      <c r="AS334">
        <v>0</v>
      </c>
    </row>
    <row r="335" spans="1:45" x14ac:dyDescent="0.25">
      <c r="A335" t="s">
        <v>872</v>
      </c>
      <c r="B335" t="s">
        <v>873</v>
      </c>
      <c r="C335" t="s">
        <v>127</v>
      </c>
      <c r="D335" t="s">
        <v>87</v>
      </c>
      <c r="E335" t="s">
        <v>120</v>
      </c>
      <c r="F335" t="s">
        <v>120</v>
      </c>
      <c r="G335" t="s">
        <v>120</v>
      </c>
      <c r="H335" t="s">
        <v>120</v>
      </c>
      <c r="I335" t="s">
        <v>120</v>
      </c>
      <c r="J335" t="s">
        <v>120</v>
      </c>
      <c r="K335" t="s">
        <v>120</v>
      </c>
      <c r="L335" t="s">
        <v>120</v>
      </c>
      <c r="M335" t="s">
        <v>120</v>
      </c>
      <c r="N335" t="s">
        <v>120</v>
      </c>
      <c r="O335" t="s">
        <v>120</v>
      </c>
      <c r="P335" t="s">
        <v>120</v>
      </c>
      <c r="Q335" t="s">
        <v>120</v>
      </c>
      <c r="R335" t="s">
        <v>120</v>
      </c>
      <c r="S335" t="s">
        <v>120</v>
      </c>
      <c r="T335" t="s">
        <v>120</v>
      </c>
      <c r="U335" t="s">
        <v>120</v>
      </c>
      <c r="V335" t="s">
        <v>120</v>
      </c>
      <c r="W335" t="s">
        <v>120</v>
      </c>
      <c r="X335" t="s">
        <v>120</v>
      </c>
      <c r="Y335" t="s">
        <v>120</v>
      </c>
      <c r="Z335" t="s">
        <v>120</v>
      </c>
      <c r="AA335" t="s">
        <v>120</v>
      </c>
      <c r="AB335" t="s">
        <v>120</v>
      </c>
      <c r="AC335" t="s">
        <v>120</v>
      </c>
      <c r="AD335" t="s">
        <v>120</v>
      </c>
      <c r="AE335" t="s">
        <v>120</v>
      </c>
      <c r="AF335" t="s">
        <v>120</v>
      </c>
      <c r="AG335" t="s">
        <v>120</v>
      </c>
      <c r="AH335" t="s">
        <v>120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33.43</v>
      </c>
      <c r="AP335">
        <v>0</v>
      </c>
      <c r="AQ335">
        <v>0</v>
      </c>
      <c r="AR335">
        <v>75.06</v>
      </c>
      <c r="AS335">
        <v>0</v>
      </c>
    </row>
    <row r="336" spans="1:45" x14ac:dyDescent="0.25">
      <c r="A336" t="s">
        <v>874</v>
      </c>
      <c r="B336" t="s">
        <v>875</v>
      </c>
      <c r="C336" t="s">
        <v>127</v>
      </c>
      <c r="D336" t="s">
        <v>88</v>
      </c>
      <c r="E336" t="s">
        <v>120</v>
      </c>
      <c r="F336" t="s">
        <v>120</v>
      </c>
      <c r="G336" t="s">
        <v>120</v>
      </c>
      <c r="H336" t="s">
        <v>120</v>
      </c>
      <c r="I336" t="s">
        <v>120</v>
      </c>
      <c r="J336" t="s">
        <v>120</v>
      </c>
      <c r="K336" t="s">
        <v>120</v>
      </c>
      <c r="L336" t="s">
        <v>120</v>
      </c>
      <c r="M336" t="s">
        <v>120</v>
      </c>
      <c r="N336" t="s">
        <v>120</v>
      </c>
      <c r="O336" t="s">
        <v>120</v>
      </c>
      <c r="P336" t="s">
        <v>120</v>
      </c>
      <c r="Q336" t="s">
        <v>120</v>
      </c>
      <c r="R336" t="s">
        <v>120</v>
      </c>
      <c r="S336" t="s">
        <v>120</v>
      </c>
      <c r="T336" t="s">
        <v>120</v>
      </c>
      <c r="U336" t="s">
        <v>120</v>
      </c>
      <c r="V336" t="s">
        <v>120</v>
      </c>
      <c r="W336" t="s">
        <v>120</v>
      </c>
      <c r="X336" t="s">
        <v>120</v>
      </c>
      <c r="Y336" t="s">
        <v>124</v>
      </c>
      <c r="Z336" t="s">
        <v>120</v>
      </c>
      <c r="AA336" t="s">
        <v>120</v>
      </c>
      <c r="AB336" t="s">
        <v>120</v>
      </c>
      <c r="AC336" t="s">
        <v>120</v>
      </c>
      <c r="AD336" t="s">
        <v>120</v>
      </c>
      <c r="AE336" t="s">
        <v>120</v>
      </c>
      <c r="AF336" t="s">
        <v>120</v>
      </c>
      <c r="AG336" t="s">
        <v>120</v>
      </c>
      <c r="AH336" t="s">
        <v>120</v>
      </c>
      <c r="AJ336">
        <v>0</v>
      </c>
      <c r="AK336">
        <v>4</v>
      </c>
      <c r="AL336">
        <v>0</v>
      </c>
      <c r="AM336">
        <v>4</v>
      </c>
      <c r="AN336">
        <v>0</v>
      </c>
      <c r="AO336">
        <v>33.43</v>
      </c>
      <c r="AP336">
        <v>4</v>
      </c>
      <c r="AQ336">
        <v>0</v>
      </c>
      <c r="AR336">
        <v>75.06</v>
      </c>
      <c r="AS336">
        <v>267.44</v>
      </c>
    </row>
    <row r="337" spans="1:45" x14ac:dyDescent="0.25">
      <c r="A337" t="s">
        <v>876</v>
      </c>
      <c r="B337" t="s">
        <v>877</v>
      </c>
      <c r="C337" t="s">
        <v>127</v>
      </c>
      <c r="D337" t="s">
        <v>88</v>
      </c>
      <c r="E337" t="s">
        <v>120</v>
      </c>
      <c r="F337" t="s">
        <v>120</v>
      </c>
      <c r="G337" t="s">
        <v>120</v>
      </c>
      <c r="H337" t="s">
        <v>120</v>
      </c>
      <c r="I337" t="s">
        <v>120</v>
      </c>
      <c r="J337" t="s">
        <v>120</v>
      </c>
      <c r="K337" t="s">
        <v>120</v>
      </c>
      <c r="L337" t="s">
        <v>120</v>
      </c>
      <c r="M337" t="s">
        <v>120</v>
      </c>
      <c r="N337" t="s">
        <v>120</v>
      </c>
      <c r="O337" t="s">
        <v>120</v>
      </c>
      <c r="P337" t="s">
        <v>120</v>
      </c>
      <c r="Q337" t="s">
        <v>120</v>
      </c>
      <c r="R337" t="s">
        <v>120</v>
      </c>
      <c r="S337" t="s">
        <v>120</v>
      </c>
      <c r="T337" t="s">
        <v>120</v>
      </c>
      <c r="U337" t="s">
        <v>120</v>
      </c>
      <c r="V337" t="s">
        <v>120</v>
      </c>
      <c r="W337" t="s">
        <v>120</v>
      </c>
      <c r="X337" t="s">
        <v>120</v>
      </c>
      <c r="Y337" t="s">
        <v>124</v>
      </c>
      <c r="Z337" t="s">
        <v>120</v>
      </c>
      <c r="AA337" t="s">
        <v>120</v>
      </c>
      <c r="AB337" t="s">
        <v>120</v>
      </c>
      <c r="AC337" t="s">
        <v>120</v>
      </c>
      <c r="AD337" t="s">
        <v>120</v>
      </c>
      <c r="AE337" t="s">
        <v>120</v>
      </c>
      <c r="AF337" t="s">
        <v>120</v>
      </c>
      <c r="AG337" t="s">
        <v>120</v>
      </c>
      <c r="AH337" t="s">
        <v>120</v>
      </c>
      <c r="AJ337">
        <v>0</v>
      </c>
      <c r="AK337">
        <v>4</v>
      </c>
      <c r="AL337">
        <v>0</v>
      </c>
      <c r="AM337">
        <v>4</v>
      </c>
      <c r="AN337">
        <v>0</v>
      </c>
      <c r="AO337">
        <v>33.43</v>
      </c>
      <c r="AP337">
        <v>4</v>
      </c>
      <c r="AQ337">
        <v>0</v>
      </c>
      <c r="AR337">
        <v>75.06</v>
      </c>
      <c r="AS337">
        <v>267.44</v>
      </c>
    </row>
    <row r="338" spans="1:45" x14ac:dyDescent="0.25">
      <c r="A338" t="s">
        <v>878</v>
      </c>
      <c r="B338" t="s">
        <v>879</v>
      </c>
      <c r="C338" t="s">
        <v>127</v>
      </c>
      <c r="D338" t="s">
        <v>88</v>
      </c>
      <c r="E338" t="s">
        <v>120</v>
      </c>
      <c r="F338" t="s">
        <v>120</v>
      </c>
      <c r="G338" t="s">
        <v>120</v>
      </c>
      <c r="H338" t="s">
        <v>120</v>
      </c>
      <c r="I338" t="s">
        <v>120</v>
      </c>
      <c r="J338" t="s">
        <v>120</v>
      </c>
      <c r="K338" t="s">
        <v>120</v>
      </c>
      <c r="L338" t="s">
        <v>120</v>
      </c>
      <c r="M338" t="s">
        <v>120</v>
      </c>
      <c r="N338" t="s">
        <v>120</v>
      </c>
      <c r="O338" t="s">
        <v>120</v>
      </c>
      <c r="P338" t="s">
        <v>120</v>
      </c>
      <c r="Q338" t="s">
        <v>120</v>
      </c>
      <c r="R338" t="s">
        <v>120</v>
      </c>
      <c r="S338" t="s">
        <v>120</v>
      </c>
      <c r="T338" t="s">
        <v>120</v>
      </c>
      <c r="U338" t="s">
        <v>120</v>
      </c>
      <c r="V338" t="s">
        <v>120</v>
      </c>
      <c r="W338" t="s">
        <v>120</v>
      </c>
      <c r="X338" t="s">
        <v>120</v>
      </c>
      <c r="Y338" t="s">
        <v>120</v>
      </c>
      <c r="Z338" t="s">
        <v>120</v>
      </c>
      <c r="AA338" t="s">
        <v>120</v>
      </c>
      <c r="AB338" t="s">
        <v>120</v>
      </c>
      <c r="AC338" t="s">
        <v>120</v>
      </c>
      <c r="AD338" t="s">
        <v>120</v>
      </c>
      <c r="AE338" t="s">
        <v>120</v>
      </c>
      <c r="AF338" t="s">
        <v>120</v>
      </c>
      <c r="AG338" t="s">
        <v>120</v>
      </c>
      <c r="AH338" t="s">
        <v>120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33.43</v>
      </c>
      <c r="AP338">
        <v>0</v>
      </c>
      <c r="AQ338">
        <v>0</v>
      </c>
      <c r="AR338">
        <v>75.06</v>
      </c>
      <c r="AS338">
        <v>0</v>
      </c>
    </row>
    <row r="339" spans="1:45" x14ac:dyDescent="0.25">
      <c r="A339" t="s">
        <v>880</v>
      </c>
      <c r="B339" t="s">
        <v>881</v>
      </c>
      <c r="C339" t="s">
        <v>127</v>
      </c>
      <c r="D339" t="s">
        <v>88</v>
      </c>
      <c r="E339" t="s">
        <v>120</v>
      </c>
      <c r="F339" t="s">
        <v>120</v>
      </c>
      <c r="G339" t="s">
        <v>120</v>
      </c>
      <c r="H339" t="s">
        <v>120</v>
      </c>
      <c r="I339" t="s">
        <v>120</v>
      </c>
      <c r="J339" t="s">
        <v>120</v>
      </c>
      <c r="K339" t="s">
        <v>120</v>
      </c>
      <c r="L339" t="s">
        <v>120</v>
      </c>
      <c r="M339" t="s">
        <v>120</v>
      </c>
      <c r="N339" t="s">
        <v>120</v>
      </c>
      <c r="O339" t="s">
        <v>120</v>
      </c>
      <c r="P339" t="s">
        <v>120</v>
      </c>
      <c r="Q339" t="s">
        <v>120</v>
      </c>
      <c r="R339" t="s">
        <v>120</v>
      </c>
      <c r="S339" t="s">
        <v>120</v>
      </c>
      <c r="T339" t="s">
        <v>120</v>
      </c>
      <c r="U339" t="s">
        <v>120</v>
      </c>
      <c r="V339" t="s">
        <v>120</v>
      </c>
      <c r="W339" t="s">
        <v>120</v>
      </c>
      <c r="X339" t="s">
        <v>120</v>
      </c>
      <c r="Y339" t="s">
        <v>120</v>
      </c>
      <c r="Z339" t="s">
        <v>120</v>
      </c>
      <c r="AA339" t="s">
        <v>120</v>
      </c>
      <c r="AB339" t="s">
        <v>120</v>
      </c>
      <c r="AC339" t="s">
        <v>120</v>
      </c>
      <c r="AD339" t="s">
        <v>120</v>
      </c>
      <c r="AE339" t="s">
        <v>120</v>
      </c>
      <c r="AF339" t="s">
        <v>120</v>
      </c>
      <c r="AG339" t="s">
        <v>120</v>
      </c>
      <c r="AH339" t="s">
        <v>120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33.43</v>
      </c>
      <c r="AP339">
        <v>0</v>
      </c>
      <c r="AQ339">
        <v>0</v>
      </c>
      <c r="AR339">
        <v>75.06</v>
      </c>
      <c r="AS339">
        <v>0</v>
      </c>
    </row>
    <row r="340" spans="1:45" x14ac:dyDescent="0.25">
      <c r="A340" t="s">
        <v>882</v>
      </c>
      <c r="B340" t="s">
        <v>883</v>
      </c>
      <c r="C340" t="s">
        <v>127</v>
      </c>
      <c r="D340" t="s">
        <v>88</v>
      </c>
      <c r="E340" t="s">
        <v>120</v>
      </c>
      <c r="F340" t="s">
        <v>120</v>
      </c>
      <c r="G340" t="s">
        <v>120</v>
      </c>
      <c r="H340" t="s">
        <v>120</v>
      </c>
      <c r="I340" t="s">
        <v>120</v>
      </c>
      <c r="J340" t="s">
        <v>120</v>
      </c>
      <c r="K340" t="s">
        <v>120</v>
      </c>
      <c r="L340" t="s">
        <v>120</v>
      </c>
      <c r="M340" t="s">
        <v>120</v>
      </c>
      <c r="N340" t="s">
        <v>120</v>
      </c>
      <c r="O340" t="s">
        <v>120</v>
      </c>
      <c r="P340" t="s">
        <v>120</v>
      </c>
      <c r="Q340" t="s">
        <v>120</v>
      </c>
      <c r="R340" t="s">
        <v>120</v>
      </c>
      <c r="S340" t="s">
        <v>120</v>
      </c>
      <c r="T340" t="s">
        <v>120</v>
      </c>
      <c r="U340" t="s">
        <v>120</v>
      </c>
      <c r="V340" t="s">
        <v>120</v>
      </c>
      <c r="W340" t="s">
        <v>120</v>
      </c>
      <c r="X340" t="s">
        <v>120</v>
      </c>
      <c r="Y340" t="s">
        <v>326</v>
      </c>
      <c r="Z340" t="s">
        <v>120</v>
      </c>
      <c r="AA340" t="s">
        <v>120</v>
      </c>
      <c r="AB340" t="s">
        <v>120</v>
      </c>
      <c r="AC340" t="s">
        <v>120</v>
      </c>
      <c r="AD340" t="s">
        <v>120</v>
      </c>
      <c r="AE340" t="s">
        <v>120</v>
      </c>
      <c r="AF340" t="s">
        <v>120</v>
      </c>
      <c r="AG340" t="s">
        <v>120</v>
      </c>
      <c r="AH340" t="s">
        <v>120</v>
      </c>
      <c r="AJ340">
        <v>0</v>
      </c>
      <c r="AK340">
        <v>2</v>
      </c>
      <c r="AL340">
        <v>0</v>
      </c>
      <c r="AM340">
        <v>2</v>
      </c>
      <c r="AN340">
        <v>0</v>
      </c>
      <c r="AO340">
        <v>33.43</v>
      </c>
      <c r="AP340">
        <v>2</v>
      </c>
      <c r="AQ340">
        <v>0</v>
      </c>
      <c r="AR340">
        <v>75.06</v>
      </c>
      <c r="AS340">
        <v>133.72</v>
      </c>
    </row>
    <row r="341" spans="1:45" x14ac:dyDescent="0.25">
      <c r="A341" t="s">
        <v>884</v>
      </c>
      <c r="B341" t="s">
        <v>885</v>
      </c>
      <c r="C341" t="s">
        <v>127</v>
      </c>
      <c r="D341" t="s">
        <v>88</v>
      </c>
      <c r="E341" t="s">
        <v>120</v>
      </c>
      <c r="F341" t="s">
        <v>120</v>
      </c>
      <c r="G341" t="s">
        <v>120</v>
      </c>
      <c r="H341" t="s">
        <v>120</v>
      </c>
      <c r="I341" t="s">
        <v>120</v>
      </c>
      <c r="J341" t="s">
        <v>120</v>
      </c>
      <c r="K341" t="s">
        <v>120</v>
      </c>
      <c r="L341" t="s">
        <v>120</v>
      </c>
      <c r="M341" t="s">
        <v>120</v>
      </c>
      <c r="N341" t="s">
        <v>120</v>
      </c>
      <c r="O341" t="s">
        <v>120</v>
      </c>
      <c r="P341" t="s">
        <v>120</v>
      </c>
      <c r="Q341" t="s">
        <v>120</v>
      </c>
      <c r="R341" t="s">
        <v>120</v>
      </c>
      <c r="S341" t="s">
        <v>120</v>
      </c>
      <c r="T341" t="s">
        <v>120</v>
      </c>
      <c r="U341" t="s">
        <v>120</v>
      </c>
      <c r="V341" t="s">
        <v>120</v>
      </c>
      <c r="W341" t="s">
        <v>120</v>
      </c>
      <c r="X341" t="s">
        <v>120</v>
      </c>
      <c r="Y341" t="s">
        <v>124</v>
      </c>
      <c r="Z341" t="s">
        <v>120</v>
      </c>
      <c r="AA341" t="s">
        <v>120</v>
      </c>
      <c r="AB341" t="s">
        <v>120</v>
      </c>
      <c r="AC341" t="s">
        <v>120</v>
      </c>
      <c r="AD341" t="s">
        <v>120</v>
      </c>
      <c r="AE341" t="s">
        <v>120</v>
      </c>
      <c r="AF341" t="s">
        <v>120</v>
      </c>
      <c r="AG341" t="s">
        <v>120</v>
      </c>
      <c r="AH341" t="s">
        <v>120</v>
      </c>
      <c r="AJ341">
        <v>0</v>
      </c>
      <c r="AK341">
        <v>4</v>
      </c>
      <c r="AL341">
        <v>0</v>
      </c>
      <c r="AM341">
        <v>4</v>
      </c>
      <c r="AN341">
        <v>0</v>
      </c>
      <c r="AO341">
        <v>33.43</v>
      </c>
      <c r="AP341">
        <v>4</v>
      </c>
      <c r="AQ341">
        <v>0</v>
      </c>
      <c r="AR341">
        <v>75.06</v>
      </c>
      <c r="AS341">
        <v>267.44</v>
      </c>
    </row>
    <row r="342" spans="1:45" x14ac:dyDescent="0.25">
      <c r="A342" t="s">
        <v>886</v>
      </c>
      <c r="B342" t="s">
        <v>887</v>
      </c>
      <c r="C342" t="s">
        <v>127</v>
      </c>
      <c r="D342" t="s">
        <v>88</v>
      </c>
      <c r="E342" t="s">
        <v>120</v>
      </c>
      <c r="F342" t="s">
        <v>120</v>
      </c>
      <c r="G342" t="s">
        <v>120</v>
      </c>
      <c r="H342" t="s">
        <v>120</v>
      </c>
      <c r="I342" t="s">
        <v>120</v>
      </c>
      <c r="J342" t="s">
        <v>120</v>
      </c>
      <c r="K342" t="s">
        <v>120</v>
      </c>
      <c r="L342" t="s">
        <v>120</v>
      </c>
      <c r="M342" t="s">
        <v>120</v>
      </c>
      <c r="N342" t="s">
        <v>120</v>
      </c>
      <c r="O342" t="s">
        <v>120</v>
      </c>
      <c r="P342" t="s">
        <v>120</v>
      </c>
      <c r="Q342" t="s">
        <v>120</v>
      </c>
      <c r="R342" t="s">
        <v>120</v>
      </c>
      <c r="S342" t="s">
        <v>120</v>
      </c>
      <c r="T342" t="s">
        <v>120</v>
      </c>
      <c r="U342" t="s">
        <v>120</v>
      </c>
      <c r="V342" t="s">
        <v>120</v>
      </c>
      <c r="W342" t="s">
        <v>120</v>
      </c>
      <c r="X342" t="s">
        <v>120</v>
      </c>
      <c r="Y342" t="s">
        <v>120</v>
      </c>
      <c r="Z342" t="s">
        <v>120</v>
      </c>
      <c r="AA342" t="s">
        <v>120</v>
      </c>
      <c r="AB342" t="s">
        <v>120</v>
      </c>
      <c r="AC342" t="s">
        <v>120</v>
      </c>
      <c r="AD342" t="s">
        <v>120</v>
      </c>
      <c r="AE342" t="s">
        <v>120</v>
      </c>
      <c r="AF342" t="s">
        <v>120</v>
      </c>
      <c r="AG342" t="s">
        <v>120</v>
      </c>
      <c r="AH342" t="s">
        <v>120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33.43</v>
      </c>
      <c r="AP342">
        <v>0</v>
      </c>
      <c r="AQ342">
        <v>0</v>
      </c>
      <c r="AR342">
        <v>75.06</v>
      </c>
      <c r="AS342">
        <v>0</v>
      </c>
    </row>
    <row r="343" spans="1:45" x14ac:dyDescent="0.25">
      <c r="A343" t="s">
        <v>888</v>
      </c>
      <c r="B343" t="s">
        <v>889</v>
      </c>
      <c r="C343" t="s">
        <v>127</v>
      </c>
      <c r="D343" t="s">
        <v>88</v>
      </c>
      <c r="E343" t="s">
        <v>120</v>
      </c>
      <c r="F343" t="s">
        <v>120</v>
      </c>
      <c r="G343" t="s">
        <v>120</v>
      </c>
      <c r="H343" t="s">
        <v>120</v>
      </c>
      <c r="I343" t="s">
        <v>120</v>
      </c>
      <c r="J343" t="s">
        <v>120</v>
      </c>
      <c r="K343" t="s">
        <v>120</v>
      </c>
      <c r="L343" t="s">
        <v>120</v>
      </c>
      <c r="M343" t="s">
        <v>120</v>
      </c>
      <c r="N343" t="s">
        <v>120</v>
      </c>
      <c r="O343" t="s">
        <v>120</v>
      </c>
      <c r="P343" t="s">
        <v>120</v>
      </c>
      <c r="Q343" t="s">
        <v>120</v>
      </c>
      <c r="R343" t="s">
        <v>120</v>
      </c>
      <c r="S343" t="s">
        <v>120</v>
      </c>
      <c r="T343" t="s">
        <v>120</v>
      </c>
      <c r="U343" t="s">
        <v>120</v>
      </c>
      <c r="V343" t="s">
        <v>120</v>
      </c>
      <c r="W343" t="s">
        <v>120</v>
      </c>
      <c r="X343" t="s">
        <v>120</v>
      </c>
      <c r="Y343" t="s">
        <v>124</v>
      </c>
      <c r="Z343" t="s">
        <v>120</v>
      </c>
      <c r="AA343" t="s">
        <v>120</v>
      </c>
      <c r="AB343" t="s">
        <v>120</v>
      </c>
      <c r="AC343" t="s">
        <v>120</v>
      </c>
      <c r="AD343" t="s">
        <v>120</v>
      </c>
      <c r="AE343" t="s">
        <v>120</v>
      </c>
      <c r="AF343" t="s">
        <v>120</v>
      </c>
      <c r="AG343" t="s">
        <v>120</v>
      </c>
      <c r="AH343" t="s">
        <v>120</v>
      </c>
      <c r="AJ343">
        <v>0</v>
      </c>
      <c r="AK343">
        <v>4</v>
      </c>
      <c r="AL343">
        <v>0</v>
      </c>
      <c r="AM343">
        <v>4</v>
      </c>
      <c r="AN343">
        <v>0</v>
      </c>
      <c r="AO343">
        <v>33.43</v>
      </c>
      <c r="AP343">
        <v>4</v>
      </c>
      <c r="AQ343">
        <v>0</v>
      </c>
      <c r="AR343">
        <v>75.06</v>
      </c>
      <c r="AS343">
        <v>267.44</v>
      </c>
    </row>
    <row r="344" spans="1:45" x14ac:dyDescent="0.25">
      <c r="A344" t="s">
        <v>890</v>
      </c>
      <c r="B344" t="s">
        <v>891</v>
      </c>
      <c r="C344" t="s">
        <v>130</v>
      </c>
      <c r="D344" t="s">
        <v>88</v>
      </c>
      <c r="E344" t="s">
        <v>120</v>
      </c>
      <c r="F344" t="s">
        <v>120</v>
      </c>
      <c r="G344" t="s">
        <v>120</v>
      </c>
      <c r="H344" t="s">
        <v>120</v>
      </c>
      <c r="I344" t="s">
        <v>120</v>
      </c>
      <c r="J344" t="s">
        <v>120</v>
      </c>
      <c r="K344" t="s">
        <v>120</v>
      </c>
      <c r="L344" t="s">
        <v>120</v>
      </c>
      <c r="M344" t="s">
        <v>120</v>
      </c>
      <c r="N344" t="s">
        <v>120</v>
      </c>
      <c r="O344" t="s">
        <v>120</v>
      </c>
      <c r="P344" t="s">
        <v>120</v>
      </c>
      <c r="Q344" t="s">
        <v>120</v>
      </c>
      <c r="R344" t="s">
        <v>120</v>
      </c>
      <c r="S344" t="s">
        <v>120</v>
      </c>
      <c r="T344" t="s">
        <v>120</v>
      </c>
      <c r="U344" t="s">
        <v>120</v>
      </c>
      <c r="V344" t="s">
        <v>120</v>
      </c>
      <c r="W344" t="s">
        <v>120</v>
      </c>
      <c r="X344" t="s">
        <v>120</v>
      </c>
      <c r="Y344" t="s">
        <v>124</v>
      </c>
      <c r="Z344" t="s">
        <v>120</v>
      </c>
      <c r="AA344" t="s">
        <v>120</v>
      </c>
      <c r="AB344" t="s">
        <v>120</v>
      </c>
      <c r="AC344" t="s">
        <v>120</v>
      </c>
      <c r="AD344" t="s">
        <v>120</v>
      </c>
      <c r="AE344" t="s">
        <v>120</v>
      </c>
      <c r="AF344" t="s">
        <v>120</v>
      </c>
      <c r="AG344" t="s">
        <v>120</v>
      </c>
      <c r="AH344" t="s">
        <v>120</v>
      </c>
      <c r="AJ344">
        <v>0</v>
      </c>
      <c r="AK344">
        <v>4</v>
      </c>
      <c r="AL344">
        <v>0</v>
      </c>
      <c r="AM344">
        <v>4</v>
      </c>
      <c r="AN344">
        <v>0</v>
      </c>
      <c r="AO344">
        <v>7500</v>
      </c>
      <c r="AP344">
        <v>4</v>
      </c>
      <c r="AQ344">
        <v>0</v>
      </c>
      <c r="AR344">
        <v>126.56250000000001</v>
      </c>
      <c r="AS344">
        <v>375</v>
      </c>
    </row>
    <row r="345" spans="1:45" x14ac:dyDescent="0.25">
      <c r="A345" t="s">
        <v>892</v>
      </c>
      <c r="B345" t="s">
        <v>893</v>
      </c>
      <c r="C345" t="s">
        <v>127</v>
      </c>
      <c r="D345" t="s">
        <v>88</v>
      </c>
      <c r="E345" t="s">
        <v>120</v>
      </c>
      <c r="F345" t="s">
        <v>120</v>
      </c>
      <c r="G345" t="s">
        <v>120</v>
      </c>
      <c r="H345" t="s">
        <v>120</v>
      </c>
      <c r="I345" t="s">
        <v>120</v>
      </c>
      <c r="J345" t="s">
        <v>120</v>
      </c>
      <c r="K345" t="s">
        <v>120</v>
      </c>
      <c r="L345" t="s">
        <v>120</v>
      </c>
      <c r="M345" t="s">
        <v>120</v>
      </c>
      <c r="N345" t="s">
        <v>120</v>
      </c>
      <c r="O345" t="s">
        <v>120</v>
      </c>
      <c r="P345" t="s">
        <v>120</v>
      </c>
      <c r="Q345" t="s">
        <v>120</v>
      </c>
      <c r="R345" t="s">
        <v>120</v>
      </c>
      <c r="S345" t="s">
        <v>120</v>
      </c>
      <c r="T345" t="s">
        <v>120</v>
      </c>
      <c r="U345" t="s">
        <v>120</v>
      </c>
      <c r="V345" t="s">
        <v>120</v>
      </c>
      <c r="W345" t="s">
        <v>124</v>
      </c>
      <c r="X345" t="s">
        <v>120</v>
      </c>
      <c r="Y345" t="s">
        <v>124</v>
      </c>
      <c r="Z345" t="s">
        <v>120</v>
      </c>
      <c r="AA345" t="s">
        <v>120</v>
      </c>
      <c r="AB345" t="s">
        <v>120</v>
      </c>
      <c r="AC345" t="s">
        <v>120</v>
      </c>
      <c r="AD345" t="s">
        <v>120</v>
      </c>
      <c r="AE345" t="s">
        <v>120</v>
      </c>
      <c r="AF345" t="s">
        <v>120</v>
      </c>
      <c r="AG345" t="s">
        <v>120</v>
      </c>
      <c r="AH345" t="s">
        <v>120</v>
      </c>
      <c r="AJ345">
        <v>0</v>
      </c>
      <c r="AK345">
        <v>8</v>
      </c>
      <c r="AL345">
        <v>0</v>
      </c>
      <c r="AM345">
        <v>8</v>
      </c>
      <c r="AN345">
        <v>0</v>
      </c>
      <c r="AO345">
        <v>30.13</v>
      </c>
      <c r="AP345">
        <v>8</v>
      </c>
      <c r="AQ345">
        <v>0</v>
      </c>
      <c r="AR345">
        <v>75.06</v>
      </c>
      <c r="AS345">
        <v>482.08</v>
      </c>
    </row>
    <row r="346" spans="1:45" x14ac:dyDescent="0.25">
      <c r="A346" t="s">
        <v>894</v>
      </c>
      <c r="B346" t="s">
        <v>895</v>
      </c>
      <c r="C346" t="s">
        <v>147</v>
      </c>
      <c r="D346" t="s">
        <v>88</v>
      </c>
      <c r="E346" t="s">
        <v>120</v>
      </c>
      <c r="F346" t="s">
        <v>120</v>
      </c>
      <c r="G346" t="s">
        <v>120</v>
      </c>
      <c r="H346" t="s">
        <v>120</v>
      </c>
      <c r="I346" t="s">
        <v>120</v>
      </c>
      <c r="J346" t="s">
        <v>120</v>
      </c>
      <c r="K346" t="s">
        <v>120</v>
      </c>
      <c r="L346" t="s">
        <v>120</v>
      </c>
      <c r="M346" t="s">
        <v>120</v>
      </c>
      <c r="N346" t="s">
        <v>120</v>
      </c>
      <c r="O346" t="s">
        <v>120</v>
      </c>
      <c r="P346" t="s">
        <v>120</v>
      </c>
      <c r="Q346" t="s">
        <v>120</v>
      </c>
      <c r="R346" t="s">
        <v>120</v>
      </c>
      <c r="S346" t="s">
        <v>120</v>
      </c>
      <c r="T346" t="s">
        <v>120</v>
      </c>
      <c r="U346" t="s">
        <v>120</v>
      </c>
      <c r="V346" t="s">
        <v>120</v>
      </c>
      <c r="W346" t="s">
        <v>120</v>
      </c>
      <c r="X346" t="s">
        <v>120</v>
      </c>
      <c r="Y346" t="s">
        <v>124</v>
      </c>
      <c r="Z346" t="s">
        <v>120</v>
      </c>
      <c r="AA346" t="s">
        <v>120</v>
      </c>
      <c r="AB346" t="s">
        <v>120</v>
      </c>
      <c r="AC346" t="s">
        <v>120</v>
      </c>
      <c r="AD346" t="s">
        <v>120</v>
      </c>
      <c r="AE346" t="s">
        <v>120</v>
      </c>
      <c r="AF346" t="s">
        <v>120</v>
      </c>
      <c r="AG346" t="s">
        <v>120</v>
      </c>
      <c r="AH346" t="s">
        <v>120</v>
      </c>
      <c r="AJ346">
        <v>0</v>
      </c>
      <c r="AK346">
        <v>4</v>
      </c>
      <c r="AL346">
        <v>0</v>
      </c>
      <c r="AM346">
        <v>4</v>
      </c>
      <c r="AN346">
        <v>0</v>
      </c>
      <c r="AO346">
        <v>31.55</v>
      </c>
      <c r="AP346">
        <v>4</v>
      </c>
      <c r="AQ346">
        <v>0</v>
      </c>
      <c r="AR346">
        <v>70.2</v>
      </c>
      <c r="AS346">
        <v>252.4</v>
      </c>
    </row>
    <row r="347" spans="1:45" x14ac:dyDescent="0.25">
      <c r="A347" t="s">
        <v>896</v>
      </c>
      <c r="B347" t="s">
        <v>897</v>
      </c>
      <c r="C347" t="s">
        <v>127</v>
      </c>
      <c r="D347" t="s">
        <v>88</v>
      </c>
      <c r="E347" t="s">
        <v>120</v>
      </c>
      <c r="F347" t="s">
        <v>120</v>
      </c>
      <c r="G347" t="s">
        <v>120</v>
      </c>
      <c r="H347" t="s">
        <v>120</v>
      </c>
      <c r="I347" t="s">
        <v>120</v>
      </c>
      <c r="J347" t="s">
        <v>120</v>
      </c>
      <c r="K347" t="s">
        <v>120</v>
      </c>
      <c r="L347" t="s">
        <v>120</v>
      </c>
      <c r="M347" t="s">
        <v>120</v>
      </c>
      <c r="N347" t="s">
        <v>120</v>
      </c>
      <c r="O347" t="s">
        <v>120</v>
      </c>
      <c r="P347" t="s">
        <v>120</v>
      </c>
      <c r="Q347" t="s">
        <v>120</v>
      </c>
      <c r="R347" t="s">
        <v>120</v>
      </c>
      <c r="S347" t="s">
        <v>120</v>
      </c>
      <c r="T347" t="s">
        <v>120</v>
      </c>
      <c r="U347" t="s">
        <v>120</v>
      </c>
      <c r="V347" t="s">
        <v>120</v>
      </c>
      <c r="W347" t="s">
        <v>124</v>
      </c>
      <c r="X347" t="s">
        <v>120</v>
      </c>
      <c r="Y347" t="s">
        <v>124</v>
      </c>
      <c r="Z347" t="s">
        <v>120</v>
      </c>
      <c r="AA347" t="s">
        <v>120</v>
      </c>
      <c r="AB347" t="s">
        <v>120</v>
      </c>
      <c r="AC347" t="s">
        <v>120</v>
      </c>
      <c r="AD347" t="s">
        <v>120</v>
      </c>
      <c r="AE347" t="s">
        <v>120</v>
      </c>
      <c r="AF347" t="s">
        <v>120</v>
      </c>
      <c r="AG347" t="s">
        <v>120</v>
      </c>
      <c r="AH347" t="s">
        <v>120</v>
      </c>
      <c r="AJ347">
        <v>0</v>
      </c>
      <c r="AK347">
        <v>8</v>
      </c>
      <c r="AL347">
        <v>0</v>
      </c>
      <c r="AM347">
        <v>8</v>
      </c>
      <c r="AN347">
        <v>0</v>
      </c>
      <c r="AO347">
        <v>30.13</v>
      </c>
      <c r="AP347">
        <v>8</v>
      </c>
      <c r="AQ347">
        <v>0</v>
      </c>
      <c r="AR347">
        <v>75.06</v>
      </c>
      <c r="AS347">
        <v>482.08</v>
      </c>
    </row>
    <row r="348" spans="1:45" x14ac:dyDescent="0.25">
      <c r="A348" t="s">
        <v>898</v>
      </c>
      <c r="B348" t="s">
        <v>899</v>
      </c>
      <c r="C348" t="s">
        <v>127</v>
      </c>
      <c r="D348" t="s">
        <v>96</v>
      </c>
      <c r="E348" t="s">
        <v>120</v>
      </c>
      <c r="F348" t="s">
        <v>120</v>
      </c>
      <c r="G348" t="s">
        <v>120</v>
      </c>
      <c r="H348" t="s">
        <v>120</v>
      </c>
      <c r="I348" t="s">
        <v>120</v>
      </c>
      <c r="J348" t="s">
        <v>120</v>
      </c>
      <c r="K348" t="s">
        <v>120</v>
      </c>
      <c r="L348" t="s">
        <v>120</v>
      </c>
      <c r="M348" t="s">
        <v>120</v>
      </c>
      <c r="N348" t="s">
        <v>120</v>
      </c>
      <c r="O348" t="s">
        <v>120</v>
      </c>
      <c r="P348" t="s">
        <v>120</v>
      </c>
      <c r="Q348" t="s">
        <v>120</v>
      </c>
      <c r="R348" t="s">
        <v>120</v>
      </c>
      <c r="S348" t="s">
        <v>120</v>
      </c>
      <c r="T348" t="s">
        <v>120</v>
      </c>
      <c r="U348" t="s">
        <v>120</v>
      </c>
      <c r="V348" t="s">
        <v>120</v>
      </c>
      <c r="W348" t="s">
        <v>120</v>
      </c>
      <c r="X348" t="s">
        <v>120</v>
      </c>
      <c r="Y348" t="s">
        <v>120</v>
      </c>
      <c r="Z348" t="s">
        <v>120</v>
      </c>
      <c r="AA348" t="s">
        <v>120</v>
      </c>
      <c r="AB348" t="s">
        <v>120</v>
      </c>
      <c r="AC348" t="s">
        <v>120</v>
      </c>
      <c r="AD348" t="s">
        <v>120</v>
      </c>
      <c r="AE348" t="s">
        <v>120</v>
      </c>
      <c r="AF348" t="s">
        <v>120</v>
      </c>
      <c r="AG348" t="s">
        <v>120</v>
      </c>
      <c r="AH348" t="s">
        <v>120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33.43</v>
      </c>
      <c r="AP348">
        <v>0</v>
      </c>
      <c r="AQ348">
        <v>0</v>
      </c>
      <c r="AR348">
        <v>75.06</v>
      </c>
      <c r="AS348">
        <v>0</v>
      </c>
    </row>
    <row r="349" spans="1:45" x14ac:dyDescent="0.25">
      <c r="A349" t="s">
        <v>900</v>
      </c>
      <c r="B349" t="s">
        <v>901</v>
      </c>
      <c r="C349" t="s">
        <v>147</v>
      </c>
      <c r="D349" t="s">
        <v>96</v>
      </c>
      <c r="E349" t="s">
        <v>120</v>
      </c>
      <c r="F349" t="s">
        <v>120</v>
      </c>
      <c r="G349" t="s">
        <v>120</v>
      </c>
      <c r="H349" t="s">
        <v>120</v>
      </c>
      <c r="I349" t="s">
        <v>120</v>
      </c>
      <c r="J349" t="s">
        <v>120</v>
      </c>
      <c r="K349" t="s">
        <v>120</v>
      </c>
      <c r="L349" t="s">
        <v>120</v>
      </c>
      <c r="M349" t="s">
        <v>120</v>
      </c>
      <c r="N349" t="s">
        <v>120</v>
      </c>
      <c r="O349" t="s">
        <v>120</v>
      </c>
      <c r="P349" t="s">
        <v>120</v>
      </c>
      <c r="Q349" t="s">
        <v>120</v>
      </c>
      <c r="R349" t="s">
        <v>120</v>
      </c>
      <c r="S349" t="s">
        <v>120</v>
      </c>
      <c r="T349" t="s">
        <v>120</v>
      </c>
      <c r="U349" t="s">
        <v>120</v>
      </c>
      <c r="V349" t="s">
        <v>120</v>
      </c>
      <c r="W349" t="s">
        <v>120</v>
      </c>
      <c r="X349" t="s">
        <v>120</v>
      </c>
      <c r="Y349" t="s">
        <v>120</v>
      </c>
      <c r="Z349" t="s">
        <v>120</v>
      </c>
      <c r="AA349" t="s">
        <v>120</v>
      </c>
      <c r="AB349" t="s">
        <v>120</v>
      </c>
      <c r="AC349" t="s">
        <v>120</v>
      </c>
      <c r="AD349" t="s">
        <v>120</v>
      </c>
      <c r="AE349" t="s">
        <v>120</v>
      </c>
      <c r="AF349" t="s">
        <v>120</v>
      </c>
      <c r="AG349" t="s">
        <v>120</v>
      </c>
      <c r="AH349" t="s">
        <v>120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31.55</v>
      </c>
      <c r="AP349">
        <v>0</v>
      </c>
      <c r="AQ349">
        <v>0</v>
      </c>
      <c r="AR349">
        <v>70.2</v>
      </c>
      <c r="AS349">
        <v>0</v>
      </c>
    </row>
    <row r="350" spans="1:45" x14ac:dyDescent="0.25">
      <c r="A350" t="s">
        <v>902</v>
      </c>
      <c r="B350" t="s">
        <v>903</v>
      </c>
      <c r="C350" t="s">
        <v>127</v>
      </c>
      <c r="D350" t="s">
        <v>96</v>
      </c>
      <c r="E350" t="s">
        <v>120</v>
      </c>
      <c r="F350" t="s">
        <v>120</v>
      </c>
      <c r="G350" t="s">
        <v>120</v>
      </c>
      <c r="H350" t="s">
        <v>120</v>
      </c>
      <c r="I350" t="s">
        <v>120</v>
      </c>
      <c r="J350" t="s">
        <v>120</v>
      </c>
      <c r="K350" t="s">
        <v>120</v>
      </c>
      <c r="L350" t="s">
        <v>120</v>
      </c>
      <c r="M350" t="s">
        <v>120</v>
      </c>
      <c r="N350" t="s">
        <v>120</v>
      </c>
      <c r="O350" t="s">
        <v>120</v>
      </c>
      <c r="P350" t="s">
        <v>120</v>
      </c>
      <c r="Q350" t="s">
        <v>120</v>
      </c>
      <c r="R350" t="s">
        <v>120</v>
      </c>
      <c r="S350" t="s">
        <v>120</v>
      </c>
      <c r="T350" t="s">
        <v>120</v>
      </c>
      <c r="U350" t="s">
        <v>120</v>
      </c>
      <c r="V350" t="s">
        <v>120</v>
      </c>
      <c r="W350" t="s">
        <v>120</v>
      </c>
      <c r="X350" t="s">
        <v>120</v>
      </c>
      <c r="Y350" t="s">
        <v>120</v>
      </c>
      <c r="Z350" t="s">
        <v>120</v>
      </c>
      <c r="AA350" t="s">
        <v>120</v>
      </c>
      <c r="AB350" t="s">
        <v>120</v>
      </c>
      <c r="AC350" t="s">
        <v>120</v>
      </c>
      <c r="AD350" t="s">
        <v>120</v>
      </c>
      <c r="AE350" t="s">
        <v>120</v>
      </c>
      <c r="AF350" t="s">
        <v>120</v>
      </c>
      <c r="AG350" t="s">
        <v>120</v>
      </c>
      <c r="AH350" t="s">
        <v>120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33.43</v>
      </c>
      <c r="AP350">
        <v>0</v>
      </c>
      <c r="AQ350">
        <v>0</v>
      </c>
      <c r="AR350">
        <v>75.06</v>
      </c>
      <c r="AS350">
        <v>0</v>
      </c>
    </row>
    <row r="351" spans="1:45" x14ac:dyDescent="0.25">
      <c r="A351" t="s">
        <v>904</v>
      </c>
      <c r="B351" t="s">
        <v>905</v>
      </c>
      <c r="C351" t="s">
        <v>127</v>
      </c>
      <c r="D351" t="s">
        <v>96</v>
      </c>
      <c r="E351" t="s">
        <v>120</v>
      </c>
      <c r="F351" t="s">
        <v>120</v>
      </c>
      <c r="G351" t="s">
        <v>120</v>
      </c>
      <c r="H351" t="s">
        <v>120</v>
      </c>
      <c r="I351" t="s">
        <v>120</v>
      </c>
      <c r="J351" t="s">
        <v>120</v>
      </c>
      <c r="K351" t="s">
        <v>120</v>
      </c>
      <c r="L351" t="s">
        <v>120</v>
      </c>
      <c r="M351" t="s">
        <v>120</v>
      </c>
      <c r="N351" t="s">
        <v>120</v>
      </c>
      <c r="O351" t="s">
        <v>120</v>
      </c>
      <c r="P351" t="s">
        <v>120</v>
      </c>
      <c r="Q351" t="s">
        <v>120</v>
      </c>
      <c r="R351" t="s">
        <v>120</v>
      </c>
      <c r="S351" t="s">
        <v>120</v>
      </c>
      <c r="T351" t="s">
        <v>120</v>
      </c>
      <c r="U351" t="s">
        <v>120</v>
      </c>
      <c r="V351" t="s">
        <v>120</v>
      </c>
      <c r="W351" t="s">
        <v>120</v>
      </c>
      <c r="X351" t="s">
        <v>120</v>
      </c>
      <c r="Y351" t="s">
        <v>120</v>
      </c>
      <c r="Z351" t="s">
        <v>120</v>
      </c>
      <c r="AA351" t="s">
        <v>120</v>
      </c>
      <c r="AB351" t="s">
        <v>120</v>
      </c>
      <c r="AC351" t="s">
        <v>120</v>
      </c>
      <c r="AD351" t="s">
        <v>120</v>
      </c>
      <c r="AE351" t="s">
        <v>120</v>
      </c>
      <c r="AF351" t="s">
        <v>120</v>
      </c>
      <c r="AG351" t="s">
        <v>120</v>
      </c>
      <c r="AH351" t="s">
        <v>120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33.43</v>
      </c>
      <c r="AP351">
        <v>0</v>
      </c>
      <c r="AQ351">
        <v>0</v>
      </c>
      <c r="AR351">
        <v>75.06</v>
      </c>
      <c r="AS351">
        <v>0</v>
      </c>
    </row>
    <row r="352" spans="1:45" x14ac:dyDescent="0.25">
      <c r="A352" t="s">
        <v>906</v>
      </c>
      <c r="B352" t="s">
        <v>907</v>
      </c>
      <c r="C352" t="s">
        <v>127</v>
      </c>
      <c r="D352" t="s">
        <v>96</v>
      </c>
      <c r="E352" t="s">
        <v>120</v>
      </c>
      <c r="F352" t="s">
        <v>120</v>
      </c>
      <c r="G352" t="s">
        <v>120</v>
      </c>
      <c r="H352" t="s">
        <v>120</v>
      </c>
      <c r="I352" t="s">
        <v>120</v>
      </c>
      <c r="J352" t="s">
        <v>120</v>
      </c>
      <c r="K352" t="s">
        <v>120</v>
      </c>
      <c r="L352" t="s">
        <v>120</v>
      </c>
      <c r="M352" t="s">
        <v>120</v>
      </c>
      <c r="N352" t="s">
        <v>120</v>
      </c>
      <c r="O352" t="s">
        <v>120</v>
      </c>
      <c r="P352" t="s">
        <v>120</v>
      </c>
      <c r="Q352" t="s">
        <v>120</v>
      </c>
      <c r="R352" t="s">
        <v>120</v>
      </c>
      <c r="S352" t="s">
        <v>120</v>
      </c>
      <c r="T352" t="s">
        <v>120</v>
      </c>
      <c r="U352" t="s">
        <v>120</v>
      </c>
      <c r="V352" t="s">
        <v>120</v>
      </c>
      <c r="W352" t="s">
        <v>120</v>
      </c>
      <c r="X352" t="s">
        <v>120</v>
      </c>
      <c r="Y352" t="s">
        <v>120</v>
      </c>
      <c r="Z352" t="s">
        <v>120</v>
      </c>
      <c r="AA352" t="s">
        <v>120</v>
      </c>
      <c r="AB352" t="s">
        <v>120</v>
      </c>
      <c r="AC352" t="s">
        <v>120</v>
      </c>
      <c r="AD352" t="s">
        <v>120</v>
      </c>
      <c r="AE352" t="s">
        <v>120</v>
      </c>
      <c r="AF352" t="s">
        <v>120</v>
      </c>
      <c r="AG352" t="s">
        <v>120</v>
      </c>
      <c r="AH352" t="s">
        <v>120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30.13</v>
      </c>
      <c r="AP352">
        <v>0</v>
      </c>
      <c r="AQ352">
        <v>0</v>
      </c>
      <c r="AR352">
        <v>75.06</v>
      </c>
      <c r="AS352">
        <v>0</v>
      </c>
    </row>
    <row r="353" spans="1:45" x14ac:dyDescent="0.25">
      <c r="A353" t="s">
        <v>908</v>
      </c>
      <c r="B353" t="s">
        <v>909</v>
      </c>
      <c r="C353" t="s">
        <v>127</v>
      </c>
      <c r="D353" t="s">
        <v>96</v>
      </c>
      <c r="E353" t="s">
        <v>120</v>
      </c>
      <c r="F353" t="s">
        <v>120</v>
      </c>
      <c r="G353" t="s">
        <v>120</v>
      </c>
      <c r="H353" t="s">
        <v>120</v>
      </c>
      <c r="I353" t="s">
        <v>120</v>
      </c>
      <c r="J353" t="s">
        <v>120</v>
      </c>
      <c r="K353" t="s">
        <v>120</v>
      </c>
      <c r="L353" t="s">
        <v>120</v>
      </c>
      <c r="M353" t="s">
        <v>120</v>
      </c>
      <c r="N353" t="s">
        <v>120</v>
      </c>
      <c r="O353" t="s">
        <v>141</v>
      </c>
      <c r="P353" t="s">
        <v>120</v>
      </c>
      <c r="Q353" t="s">
        <v>120</v>
      </c>
      <c r="R353" t="s">
        <v>120</v>
      </c>
      <c r="S353" t="s">
        <v>120</v>
      </c>
      <c r="T353" t="s">
        <v>120</v>
      </c>
      <c r="U353" t="s">
        <v>120</v>
      </c>
      <c r="V353" t="s">
        <v>120</v>
      </c>
      <c r="W353" t="s">
        <v>120</v>
      </c>
      <c r="X353" t="s">
        <v>120</v>
      </c>
      <c r="Y353" t="s">
        <v>120</v>
      </c>
      <c r="Z353" t="s">
        <v>120</v>
      </c>
      <c r="AA353" t="s">
        <v>120</v>
      </c>
      <c r="AB353" t="s">
        <v>120</v>
      </c>
      <c r="AC353" t="s">
        <v>120</v>
      </c>
      <c r="AD353" t="s">
        <v>120</v>
      </c>
      <c r="AE353" t="s">
        <v>120</v>
      </c>
      <c r="AF353" t="s">
        <v>120</v>
      </c>
      <c r="AG353" t="s">
        <v>120</v>
      </c>
      <c r="AH353" t="s">
        <v>120</v>
      </c>
      <c r="AJ353">
        <v>0</v>
      </c>
      <c r="AK353">
        <v>8</v>
      </c>
      <c r="AL353">
        <v>8</v>
      </c>
      <c r="AM353">
        <v>0</v>
      </c>
      <c r="AN353">
        <v>0</v>
      </c>
      <c r="AO353">
        <v>33.43</v>
      </c>
      <c r="AP353">
        <v>8</v>
      </c>
      <c r="AQ353">
        <v>0</v>
      </c>
      <c r="AR353">
        <v>75.06</v>
      </c>
      <c r="AS353">
        <v>534.88</v>
      </c>
    </row>
    <row r="354" spans="1:45" x14ac:dyDescent="0.25">
      <c r="A354" t="s">
        <v>910</v>
      </c>
      <c r="B354" t="s">
        <v>911</v>
      </c>
      <c r="C354" t="s">
        <v>127</v>
      </c>
      <c r="D354" t="s">
        <v>96</v>
      </c>
      <c r="E354" t="s">
        <v>120</v>
      </c>
      <c r="F354" t="s">
        <v>120</v>
      </c>
      <c r="G354" t="s">
        <v>120</v>
      </c>
      <c r="H354" t="s">
        <v>120</v>
      </c>
      <c r="I354" t="s">
        <v>120</v>
      </c>
      <c r="J354" t="s">
        <v>120</v>
      </c>
      <c r="K354" t="s">
        <v>120</v>
      </c>
      <c r="L354" t="s">
        <v>120</v>
      </c>
      <c r="M354" t="s">
        <v>120</v>
      </c>
      <c r="N354" t="s">
        <v>120</v>
      </c>
      <c r="O354" t="s">
        <v>120</v>
      </c>
      <c r="P354" t="s">
        <v>120</v>
      </c>
      <c r="Q354" t="s">
        <v>120</v>
      </c>
      <c r="R354" t="s">
        <v>120</v>
      </c>
      <c r="S354" t="s">
        <v>120</v>
      </c>
      <c r="T354" t="s">
        <v>120</v>
      </c>
      <c r="U354" t="s">
        <v>120</v>
      </c>
      <c r="V354" t="s">
        <v>120</v>
      </c>
      <c r="W354" t="s">
        <v>120</v>
      </c>
      <c r="X354" t="s">
        <v>120</v>
      </c>
      <c r="Y354" t="s">
        <v>120</v>
      </c>
      <c r="Z354" t="s">
        <v>120</v>
      </c>
      <c r="AA354" t="s">
        <v>120</v>
      </c>
      <c r="AB354" t="s">
        <v>120</v>
      </c>
      <c r="AC354" t="s">
        <v>120</v>
      </c>
      <c r="AD354" t="s">
        <v>120</v>
      </c>
      <c r="AE354" t="s">
        <v>120</v>
      </c>
      <c r="AF354" t="s">
        <v>120</v>
      </c>
      <c r="AG354" t="s">
        <v>120</v>
      </c>
      <c r="AH354" t="s">
        <v>120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33.43</v>
      </c>
      <c r="AP354">
        <v>0</v>
      </c>
      <c r="AQ354">
        <v>0</v>
      </c>
      <c r="AR354">
        <v>75.06</v>
      </c>
      <c r="AS354">
        <v>0</v>
      </c>
    </row>
    <row r="355" spans="1:45" x14ac:dyDescent="0.25">
      <c r="A355" t="s">
        <v>912</v>
      </c>
      <c r="B355" t="s">
        <v>913</v>
      </c>
      <c r="C355" t="s">
        <v>127</v>
      </c>
      <c r="D355" t="s">
        <v>96</v>
      </c>
      <c r="E355" t="s">
        <v>120</v>
      </c>
      <c r="F355" t="s">
        <v>120</v>
      </c>
      <c r="G355" t="s">
        <v>120</v>
      </c>
      <c r="H355" t="s">
        <v>120</v>
      </c>
      <c r="I355" t="s">
        <v>120</v>
      </c>
      <c r="J355" t="s">
        <v>120</v>
      </c>
      <c r="K355" t="s">
        <v>120</v>
      </c>
      <c r="L355" t="s">
        <v>120</v>
      </c>
      <c r="M355" t="s">
        <v>120</v>
      </c>
      <c r="N355" t="s">
        <v>120</v>
      </c>
      <c r="O355" t="s">
        <v>120</v>
      </c>
      <c r="P355" t="s">
        <v>120</v>
      </c>
      <c r="Q355" t="s">
        <v>120</v>
      </c>
      <c r="R355" t="s">
        <v>120</v>
      </c>
      <c r="S355" t="s">
        <v>120</v>
      </c>
      <c r="T355" t="s">
        <v>120</v>
      </c>
      <c r="U355" t="s">
        <v>120</v>
      </c>
      <c r="V355" t="s">
        <v>120</v>
      </c>
      <c r="W355" t="s">
        <v>120</v>
      </c>
      <c r="X355" t="s">
        <v>120</v>
      </c>
      <c r="Y355" t="s">
        <v>120</v>
      </c>
      <c r="Z355" t="s">
        <v>120</v>
      </c>
      <c r="AA355" t="s">
        <v>120</v>
      </c>
      <c r="AB355" t="s">
        <v>120</v>
      </c>
      <c r="AC355" t="s">
        <v>120</v>
      </c>
      <c r="AD355" t="s">
        <v>120</v>
      </c>
      <c r="AE355" t="s">
        <v>120</v>
      </c>
      <c r="AF355" t="s">
        <v>120</v>
      </c>
      <c r="AG355" t="s">
        <v>120</v>
      </c>
      <c r="AH355" t="s">
        <v>120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33.43</v>
      </c>
      <c r="AP355">
        <v>0</v>
      </c>
      <c r="AQ355">
        <v>0</v>
      </c>
      <c r="AR355">
        <v>75.06</v>
      </c>
      <c r="AS355">
        <v>0</v>
      </c>
    </row>
    <row r="356" spans="1:45" x14ac:dyDescent="0.25">
      <c r="A356" t="s">
        <v>914</v>
      </c>
      <c r="B356" t="s">
        <v>915</v>
      </c>
      <c r="C356" t="s">
        <v>127</v>
      </c>
      <c r="D356" t="s">
        <v>96</v>
      </c>
      <c r="E356" t="s">
        <v>120</v>
      </c>
      <c r="F356" t="s">
        <v>120</v>
      </c>
      <c r="G356" t="s">
        <v>120</v>
      </c>
      <c r="H356" t="s">
        <v>120</v>
      </c>
      <c r="I356" t="s">
        <v>120</v>
      </c>
      <c r="J356" t="s">
        <v>120</v>
      </c>
      <c r="K356" t="s">
        <v>120</v>
      </c>
      <c r="L356" t="s">
        <v>120</v>
      </c>
      <c r="M356" t="s">
        <v>120</v>
      </c>
      <c r="N356" t="s">
        <v>141</v>
      </c>
      <c r="O356" t="s">
        <v>120</v>
      </c>
      <c r="P356" t="s">
        <v>120</v>
      </c>
      <c r="Q356" t="s">
        <v>120</v>
      </c>
      <c r="R356" t="s">
        <v>120</v>
      </c>
      <c r="S356" t="s">
        <v>120</v>
      </c>
      <c r="T356" t="s">
        <v>120</v>
      </c>
      <c r="U356" t="s">
        <v>120</v>
      </c>
      <c r="V356" t="s">
        <v>120</v>
      </c>
      <c r="W356" t="s">
        <v>120</v>
      </c>
      <c r="X356" t="s">
        <v>120</v>
      </c>
      <c r="Y356" t="s">
        <v>120</v>
      </c>
      <c r="Z356" t="s">
        <v>120</v>
      </c>
      <c r="AA356" t="s">
        <v>120</v>
      </c>
      <c r="AB356" t="s">
        <v>120</v>
      </c>
      <c r="AC356" t="s">
        <v>120</v>
      </c>
      <c r="AD356" t="s">
        <v>120</v>
      </c>
      <c r="AE356" t="s">
        <v>120</v>
      </c>
      <c r="AF356" t="s">
        <v>120</v>
      </c>
      <c r="AG356" t="s">
        <v>120</v>
      </c>
      <c r="AH356" t="s">
        <v>120</v>
      </c>
      <c r="AJ356">
        <v>0</v>
      </c>
      <c r="AK356">
        <v>8</v>
      </c>
      <c r="AL356">
        <v>8</v>
      </c>
      <c r="AM356">
        <v>0</v>
      </c>
      <c r="AN356">
        <v>0</v>
      </c>
      <c r="AO356">
        <v>33.43</v>
      </c>
      <c r="AP356">
        <v>8</v>
      </c>
      <c r="AQ356">
        <v>0</v>
      </c>
      <c r="AR356">
        <v>75.06</v>
      </c>
      <c r="AS356">
        <v>534.88</v>
      </c>
    </row>
    <row r="357" spans="1:45" x14ac:dyDescent="0.25">
      <c r="A357" t="s">
        <v>916</v>
      </c>
      <c r="B357" t="s">
        <v>917</v>
      </c>
      <c r="C357" t="s">
        <v>127</v>
      </c>
      <c r="D357" t="s">
        <v>96</v>
      </c>
      <c r="E357" t="s">
        <v>120</v>
      </c>
      <c r="F357" t="s">
        <v>120</v>
      </c>
      <c r="G357" t="s">
        <v>120</v>
      </c>
      <c r="H357" t="s">
        <v>120</v>
      </c>
      <c r="I357" t="s">
        <v>120</v>
      </c>
      <c r="J357" t="s">
        <v>120</v>
      </c>
      <c r="K357" t="s">
        <v>120</v>
      </c>
      <c r="L357" t="s">
        <v>120</v>
      </c>
      <c r="M357" t="s">
        <v>120</v>
      </c>
      <c r="N357" t="s">
        <v>120</v>
      </c>
      <c r="O357" t="s">
        <v>120</v>
      </c>
      <c r="P357" t="s">
        <v>120</v>
      </c>
      <c r="Q357" t="s">
        <v>120</v>
      </c>
      <c r="R357" t="s">
        <v>120</v>
      </c>
      <c r="S357" t="s">
        <v>120</v>
      </c>
      <c r="T357" t="s">
        <v>120</v>
      </c>
      <c r="U357" t="s">
        <v>120</v>
      </c>
      <c r="V357" t="s">
        <v>120</v>
      </c>
      <c r="W357" t="s">
        <v>120</v>
      </c>
      <c r="X357" t="s">
        <v>120</v>
      </c>
      <c r="Y357" t="s">
        <v>120</v>
      </c>
      <c r="Z357" t="s">
        <v>120</v>
      </c>
      <c r="AA357" t="s">
        <v>120</v>
      </c>
      <c r="AB357" t="s">
        <v>120</v>
      </c>
      <c r="AC357" t="s">
        <v>120</v>
      </c>
      <c r="AD357" t="s">
        <v>120</v>
      </c>
      <c r="AE357" t="s">
        <v>120</v>
      </c>
      <c r="AF357" t="s">
        <v>120</v>
      </c>
      <c r="AG357" t="s">
        <v>120</v>
      </c>
      <c r="AH357" t="s">
        <v>120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33.43</v>
      </c>
      <c r="AP357">
        <v>0</v>
      </c>
      <c r="AQ357">
        <v>0</v>
      </c>
      <c r="AR357">
        <v>75.06</v>
      </c>
      <c r="AS357">
        <v>0</v>
      </c>
    </row>
    <row r="358" spans="1:45" x14ac:dyDescent="0.25">
      <c r="A358" t="s">
        <v>918</v>
      </c>
      <c r="B358" t="s">
        <v>919</v>
      </c>
      <c r="C358" t="s">
        <v>127</v>
      </c>
      <c r="D358" t="s">
        <v>96</v>
      </c>
      <c r="E358" t="s">
        <v>120</v>
      </c>
      <c r="F358" t="s">
        <v>120</v>
      </c>
      <c r="G358" t="s">
        <v>120</v>
      </c>
      <c r="H358" t="s">
        <v>120</v>
      </c>
      <c r="I358" t="s">
        <v>120</v>
      </c>
      <c r="J358" t="s">
        <v>120</v>
      </c>
      <c r="K358" t="s">
        <v>120</v>
      </c>
      <c r="L358" t="s">
        <v>120</v>
      </c>
      <c r="M358" t="s">
        <v>120</v>
      </c>
      <c r="N358" t="s">
        <v>120</v>
      </c>
      <c r="O358" t="s">
        <v>120</v>
      </c>
      <c r="P358" t="s">
        <v>120</v>
      </c>
      <c r="Q358" t="s">
        <v>120</v>
      </c>
      <c r="R358" t="s">
        <v>120</v>
      </c>
      <c r="S358" t="s">
        <v>120</v>
      </c>
      <c r="T358" t="s">
        <v>120</v>
      </c>
      <c r="U358" t="s">
        <v>120</v>
      </c>
      <c r="V358" t="s">
        <v>120</v>
      </c>
      <c r="W358" t="s">
        <v>120</v>
      </c>
      <c r="X358" t="s">
        <v>120</v>
      </c>
      <c r="Y358" t="s">
        <v>120</v>
      </c>
      <c r="Z358" t="s">
        <v>120</v>
      </c>
      <c r="AA358" t="s">
        <v>120</v>
      </c>
      <c r="AB358" t="s">
        <v>120</v>
      </c>
      <c r="AC358" t="s">
        <v>120</v>
      </c>
      <c r="AD358" t="s">
        <v>120</v>
      </c>
      <c r="AE358" t="s">
        <v>120</v>
      </c>
      <c r="AF358" t="s">
        <v>120</v>
      </c>
      <c r="AG358" t="s">
        <v>120</v>
      </c>
      <c r="AH358" t="s">
        <v>120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33.43</v>
      </c>
      <c r="AP358">
        <v>0</v>
      </c>
      <c r="AQ358">
        <v>0</v>
      </c>
      <c r="AR358">
        <v>75.06</v>
      </c>
      <c r="AS358">
        <v>0</v>
      </c>
    </row>
    <row r="359" spans="1:45" x14ac:dyDescent="0.25">
      <c r="A359" t="s">
        <v>920</v>
      </c>
      <c r="B359" t="s">
        <v>921</v>
      </c>
      <c r="C359" t="s">
        <v>127</v>
      </c>
      <c r="D359" t="s">
        <v>96</v>
      </c>
      <c r="E359" t="s">
        <v>120</v>
      </c>
      <c r="F359" t="s">
        <v>120</v>
      </c>
      <c r="G359" t="s">
        <v>120</v>
      </c>
      <c r="H359" t="s">
        <v>120</v>
      </c>
      <c r="I359" t="s">
        <v>120</v>
      </c>
      <c r="J359" t="s">
        <v>120</v>
      </c>
      <c r="K359" t="s">
        <v>124</v>
      </c>
      <c r="L359" t="s">
        <v>120</v>
      </c>
      <c r="M359" t="s">
        <v>120</v>
      </c>
      <c r="N359" t="s">
        <v>120</v>
      </c>
      <c r="O359" t="s">
        <v>120</v>
      </c>
      <c r="P359" t="s">
        <v>120</v>
      </c>
      <c r="Q359" t="s">
        <v>120</v>
      </c>
      <c r="R359" t="s">
        <v>120</v>
      </c>
      <c r="S359" t="s">
        <v>120</v>
      </c>
      <c r="T359" t="s">
        <v>120</v>
      </c>
      <c r="U359" t="s">
        <v>120</v>
      </c>
      <c r="V359" t="s">
        <v>120</v>
      </c>
      <c r="W359" t="s">
        <v>120</v>
      </c>
      <c r="X359" t="s">
        <v>120</v>
      </c>
      <c r="Y359" t="s">
        <v>120</v>
      </c>
      <c r="Z359" t="s">
        <v>120</v>
      </c>
      <c r="AA359" t="s">
        <v>120</v>
      </c>
      <c r="AB359" t="s">
        <v>120</v>
      </c>
      <c r="AC359" t="s">
        <v>120</v>
      </c>
      <c r="AD359" t="s">
        <v>120</v>
      </c>
      <c r="AE359" t="s">
        <v>120</v>
      </c>
      <c r="AF359" t="s">
        <v>120</v>
      </c>
      <c r="AG359" t="s">
        <v>120</v>
      </c>
      <c r="AH359" t="s">
        <v>120</v>
      </c>
      <c r="AJ359">
        <v>0</v>
      </c>
      <c r="AK359">
        <v>4</v>
      </c>
      <c r="AL359">
        <v>0</v>
      </c>
      <c r="AM359">
        <v>4</v>
      </c>
      <c r="AN359">
        <v>0</v>
      </c>
      <c r="AO359">
        <v>33.43</v>
      </c>
      <c r="AP359">
        <v>4</v>
      </c>
      <c r="AQ359">
        <v>0</v>
      </c>
      <c r="AR359">
        <v>75.06</v>
      </c>
      <c r="AS359">
        <v>267.44</v>
      </c>
    </row>
    <row r="360" spans="1:45" x14ac:dyDescent="0.25">
      <c r="A360" t="s">
        <v>922</v>
      </c>
      <c r="B360" t="s">
        <v>923</v>
      </c>
      <c r="C360" t="s">
        <v>147</v>
      </c>
      <c r="D360" t="s">
        <v>96</v>
      </c>
      <c r="E360" t="s">
        <v>120</v>
      </c>
      <c r="F360" t="s">
        <v>120</v>
      </c>
      <c r="G360" t="s">
        <v>120</v>
      </c>
      <c r="H360" t="s">
        <v>120</v>
      </c>
      <c r="I360" t="s">
        <v>120</v>
      </c>
      <c r="J360" t="s">
        <v>120</v>
      </c>
      <c r="K360" t="s">
        <v>120</v>
      </c>
      <c r="L360" t="s">
        <v>120</v>
      </c>
      <c r="M360" t="s">
        <v>120</v>
      </c>
      <c r="N360" t="s">
        <v>120</v>
      </c>
      <c r="O360" t="s">
        <v>120</v>
      </c>
      <c r="P360" t="s">
        <v>120</v>
      </c>
      <c r="Q360" t="s">
        <v>120</v>
      </c>
      <c r="R360" t="s">
        <v>120</v>
      </c>
      <c r="S360" t="s">
        <v>120</v>
      </c>
      <c r="T360" t="s">
        <v>120</v>
      </c>
      <c r="U360" t="s">
        <v>120</v>
      </c>
      <c r="V360" t="s">
        <v>120</v>
      </c>
      <c r="W360" t="s">
        <v>120</v>
      </c>
      <c r="X360" t="s">
        <v>120</v>
      </c>
      <c r="Y360" t="s">
        <v>138</v>
      </c>
      <c r="Z360" t="s">
        <v>120</v>
      </c>
      <c r="AA360" t="s">
        <v>120</v>
      </c>
      <c r="AB360" t="s">
        <v>120</v>
      </c>
      <c r="AC360" t="s">
        <v>120</v>
      </c>
      <c r="AD360" t="s">
        <v>120</v>
      </c>
      <c r="AE360" t="s">
        <v>120</v>
      </c>
      <c r="AF360" t="s">
        <v>120</v>
      </c>
      <c r="AG360" t="s">
        <v>120</v>
      </c>
      <c r="AH360" t="s">
        <v>120</v>
      </c>
      <c r="AJ360">
        <v>0</v>
      </c>
      <c r="AK360">
        <v>10</v>
      </c>
      <c r="AL360">
        <v>10</v>
      </c>
      <c r="AM360">
        <v>0</v>
      </c>
      <c r="AN360">
        <v>0</v>
      </c>
      <c r="AO360">
        <v>31.55</v>
      </c>
      <c r="AP360">
        <v>10</v>
      </c>
      <c r="AQ360">
        <v>0</v>
      </c>
      <c r="AR360">
        <v>70.2</v>
      </c>
      <c r="AS360">
        <v>631</v>
      </c>
    </row>
    <row r="361" spans="1:45" x14ac:dyDescent="0.25">
      <c r="A361" t="s">
        <v>924</v>
      </c>
      <c r="B361" t="s">
        <v>925</v>
      </c>
      <c r="C361" t="s">
        <v>127</v>
      </c>
      <c r="D361" t="s">
        <v>96</v>
      </c>
      <c r="E361" t="s">
        <v>120</v>
      </c>
      <c r="F361" t="s">
        <v>120</v>
      </c>
      <c r="G361" t="s">
        <v>120</v>
      </c>
      <c r="H361" t="s">
        <v>120</v>
      </c>
      <c r="I361" t="s">
        <v>120</v>
      </c>
      <c r="J361" t="s">
        <v>120</v>
      </c>
      <c r="K361" t="s">
        <v>120</v>
      </c>
      <c r="L361" t="s">
        <v>120</v>
      </c>
      <c r="M361" t="s">
        <v>120</v>
      </c>
      <c r="N361" t="s">
        <v>120</v>
      </c>
      <c r="O361" t="s">
        <v>120</v>
      </c>
      <c r="P361" t="s">
        <v>120</v>
      </c>
      <c r="Q361" t="s">
        <v>120</v>
      </c>
      <c r="R361" t="s">
        <v>120</v>
      </c>
      <c r="S361" t="s">
        <v>120</v>
      </c>
      <c r="T361" t="s">
        <v>120</v>
      </c>
      <c r="U361" t="s">
        <v>120</v>
      </c>
      <c r="V361" t="s">
        <v>120</v>
      </c>
      <c r="W361" t="s">
        <v>120</v>
      </c>
      <c r="X361" t="s">
        <v>120</v>
      </c>
      <c r="Y361" t="s">
        <v>120</v>
      </c>
      <c r="Z361" t="s">
        <v>120</v>
      </c>
      <c r="AA361" t="s">
        <v>120</v>
      </c>
      <c r="AB361" t="s">
        <v>120</v>
      </c>
      <c r="AC361" t="s">
        <v>120</v>
      </c>
      <c r="AD361" t="s">
        <v>120</v>
      </c>
      <c r="AE361" t="s">
        <v>120</v>
      </c>
      <c r="AF361" t="s">
        <v>120</v>
      </c>
      <c r="AG361" t="s">
        <v>120</v>
      </c>
      <c r="AH361" t="s">
        <v>120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33.43</v>
      </c>
      <c r="AP361">
        <v>0</v>
      </c>
      <c r="AQ361">
        <v>0</v>
      </c>
      <c r="AR361">
        <v>75.06</v>
      </c>
      <c r="AS361">
        <v>0</v>
      </c>
    </row>
    <row r="362" spans="1:45" x14ac:dyDescent="0.25">
      <c r="A362" t="s">
        <v>926</v>
      </c>
      <c r="B362" t="s">
        <v>927</v>
      </c>
      <c r="C362" t="s">
        <v>127</v>
      </c>
      <c r="D362" t="s">
        <v>96</v>
      </c>
      <c r="E362" t="s">
        <v>120</v>
      </c>
      <c r="F362" t="s">
        <v>120</v>
      </c>
      <c r="G362" t="s">
        <v>120</v>
      </c>
      <c r="H362" t="s">
        <v>120</v>
      </c>
      <c r="I362" t="s">
        <v>120</v>
      </c>
      <c r="J362" t="s">
        <v>120</v>
      </c>
      <c r="K362" t="s">
        <v>120</v>
      </c>
      <c r="L362" t="s">
        <v>120</v>
      </c>
      <c r="M362" t="s">
        <v>120</v>
      </c>
      <c r="N362" t="s">
        <v>141</v>
      </c>
      <c r="O362" t="s">
        <v>141</v>
      </c>
      <c r="P362" t="s">
        <v>120</v>
      </c>
      <c r="Q362" t="s">
        <v>120</v>
      </c>
      <c r="R362" t="s">
        <v>120</v>
      </c>
      <c r="S362" t="s">
        <v>120</v>
      </c>
      <c r="T362" t="s">
        <v>120</v>
      </c>
      <c r="U362" t="s">
        <v>120</v>
      </c>
      <c r="V362" t="s">
        <v>120</v>
      </c>
      <c r="W362" t="s">
        <v>120</v>
      </c>
      <c r="X362" t="s">
        <v>120</v>
      </c>
      <c r="Y362" t="s">
        <v>141</v>
      </c>
      <c r="Z362" t="s">
        <v>120</v>
      </c>
      <c r="AA362" t="s">
        <v>120</v>
      </c>
      <c r="AB362" t="s">
        <v>120</v>
      </c>
      <c r="AC362" t="s">
        <v>120</v>
      </c>
      <c r="AD362" t="s">
        <v>120</v>
      </c>
      <c r="AE362" t="s">
        <v>120</v>
      </c>
      <c r="AF362" t="s">
        <v>120</v>
      </c>
      <c r="AG362" t="s">
        <v>120</v>
      </c>
      <c r="AH362" t="s">
        <v>120</v>
      </c>
      <c r="AJ362">
        <v>0</v>
      </c>
      <c r="AK362">
        <v>24</v>
      </c>
      <c r="AL362">
        <v>24</v>
      </c>
      <c r="AM362">
        <v>0</v>
      </c>
      <c r="AN362">
        <v>0</v>
      </c>
      <c r="AO362">
        <v>33.43</v>
      </c>
      <c r="AP362">
        <v>24</v>
      </c>
      <c r="AQ362">
        <v>0</v>
      </c>
      <c r="AR362">
        <v>75.06</v>
      </c>
      <c r="AS362">
        <v>1604.6399999999999</v>
      </c>
    </row>
    <row r="363" spans="1:45" x14ac:dyDescent="0.25">
      <c r="A363" t="s">
        <v>928</v>
      </c>
      <c r="B363" t="s">
        <v>929</v>
      </c>
      <c r="C363" t="s">
        <v>127</v>
      </c>
      <c r="D363" t="s">
        <v>96</v>
      </c>
      <c r="E363" t="s">
        <v>120</v>
      </c>
      <c r="F363" t="s">
        <v>120</v>
      </c>
      <c r="G363" t="s">
        <v>120</v>
      </c>
      <c r="H363" t="s">
        <v>120</v>
      </c>
      <c r="I363" t="s">
        <v>120</v>
      </c>
      <c r="J363" t="s">
        <v>120</v>
      </c>
      <c r="K363" t="s">
        <v>120</v>
      </c>
      <c r="L363" t="s">
        <v>120</v>
      </c>
      <c r="M363" t="s">
        <v>120</v>
      </c>
      <c r="N363" t="s">
        <v>120</v>
      </c>
      <c r="O363" t="s">
        <v>120</v>
      </c>
      <c r="P363" t="s">
        <v>120</v>
      </c>
      <c r="Q363" t="s">
        <v>120</v>
      </c>
      <c r="R363" t="s">
        <v>120</v>
      </c>
      <c r="S363" t="s">
        <v>120</v>
      </c>
      <c r="T363" t="s">
        <v>120</v>
      </c>
      <c r="U363" t="s">
        <v>120</v>
      </c>
      <c r="V363" t="s">
        <v>120</v>
      </c>
      <c r="W363" t="s">
        <v>120</v>
      </c>
      <c r="X363" t="s">
        <v>120</v>
      </c>
      <c r="Y363" t="s">
        <v>120</v>
      </c>
      <c r="Z363" t="s">
        <v>120</v>
      </c>
      <c r="AA363" t="s">
        <v>120</v>
      </c>
      <c r="AB363" t="s">
        <v>120</v>
      </c>
      <c r="AC363" t="s">
        <v>120</v>
      </c>
      <c r="AD363" t="s">
        <v>120</v>
      </c>
      <c r="AE363" t="s">
        <v>120</v>
      </c>
      <c r="AF363" t="s">
        <v>120</v>
      </c>
      <c r="AG363" t="s">
        <v>120</v>
      </c>
      <c r="AH363" t="s">
        <v>120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33.43</v>
      </c>
      <c r="AP363">
        <v>0</v>
      </c>
      <c r="AQ363">
        <v>0</v>
      </c>
      <c r="AR363">
        <v>75.06</v>
      </c>
      <c r="AS363">
        <v>0</v>
      </c>
    </row>
    <row r="364" spans="1:45" x14ac:dyDescent="0.25">
      <c r="A364" t="s">
        <v>930</v>
      </c>
      <c r="B364" t="s">
        <v>931</v>
      </c>
      <c r="C364" t="s">
        <v>127</v>
      </c>
      <c r="D364" t="s">
        <v>96</v>
      </c>
      <c r="E364" t="s">
        <v>120</v>
      </c>
      <c r="F364" t="s">
        <v>120</v>
      </c>
      <c r="G364" t="s">
        <v>120</v>
      </c>
      <c r="H364" t="s">
        <v>120</v>
      </c>
      <c r="I364" t="s">
        <v>120</v>
      </c>
      <c r="J364" t="s">
        <v>120</v>
      </c>
      <c r="K364" t="s">
        <v>120</v>
      </c>
      <c r="L364" t="s">
        <v>120</v>
      </c>
      <c r="M364" t="s">
        <v>120</v>
      </c>
      <c r="N364" t="s">
        <v>120</v>
      </c>
      <c r="O364" t="s">
        <v>120</v>
      </c>
      <c r="P364" t="s">
        <v>120</v>
      </c>
      <c r="Q364" t="s">
        <v>120</v>
      </c>
      <c r="R364" t="s">
        <v>120</v>
      </c>
      <c r="S364" t="s">
        <v>120</v>
      </c>
      <c r="T364" t="s">
        <v>120</v>
      </c>
      <c r="U364" t="s">
        <v>120</v>
      </c>
      <c r="V364" t="s">
        <v>120</v>
      </c>
      <c r="W364" t="s">
        <v>120</v>
      </c>
      <c r="X364" t="s">
        <v>120</v>
      </c>
      <c r="Y364" t="s">
        <v>120</v>
      </c>
      <c r="Z364" t="s">
        <v>120</v>
      </c>
      <c r="AA364" t="s">
        <v>120</v>
      </c>
      <c r="AB364" t="s">
        <v>120</v>
      </c>
      <c r="AC364" t="s">
        <v>120</v>
      </c>
      <c r="AD364" t="s">
        <v>120</v>
      </c>
      <c r="AE364" t="s">
        <v>120</v>
      </c>
      <c r="AF364" t="s">
        <v>120</v>
      </c>
      <c r="AG364" t="s">
        <v>120</v>
      </c>
      <c r="AH364" t="s">
        <v>120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33.43</v>
      </c>
      <c r="AP364">
        <v>0</v>
      </c>
      <c r="AQ364">
        <v>0</v>
      </c>
      <c r="AR364">
        <v>75.06</v>
      </c>
      <c r="AS364">
        <v>0</v>
      </c>
    </row>
    <row r="365" spans="1:45" x14ac:dyDescent="0.25">
      <c r="A365" t="s">
        <v>932</v>
      </c>
      <c r="B365" t="s">
        <v>933</v>
      </c>
      <c r="C365" t="s">
        <v>147</v>
      </c>
      <c r="D365" t="s">
        <v>96</v>
      </c>
      <c r="E365" t="s">
        <v>120</v>
      </c>
      <c r="F365" t="s">
        <v>120</v>
      </c>
      <c r="G365" t="s">
        <v>120</v>
      </c>
      <c r="H365" t="s">
        <v>120</v>
      </c>
      <c r="I365" t="s">
        <v>120</v>
      </c>
      <c r="J365" t="s">
        <v>120</v>
      </c>
      <c r="K365" t="s">
        <v>120</v>
      </c>
      <c r="L365" t="s">
        <v>120</v>
      </c>
      <c r="M365" t="s">
        <v>120</v>
      </c>
      <c r="N365" t="s">
        <v>120</v>
      </c>
      <c r="O365" t="s">
        <v>120</v>
      </c>
      <c r="P365" t="s">
        <v>120</v>
      </c>
      <c r="Q365" t="s">
        <v>120</v>
      </c>
      <c r="R365" t="s">
        <v>120</v>
      </c>
      <c r="S365" t="s">
        <v>120</v>
      </c>
      <c r="T365" t="s">
        <v>120</v>
      </c>
      <c r="U365" t="s">
        <v>120</v>
      </c>
      <c r="V365" t="s">
        <v>120</v>
      </c>
      <c r="W365" t="s">
        <v>120</v>
      </c>
      <c r="X365" t="s">
        <v>120</v>
      </c>
      <c r="Y365" t="s">
        <v>120</v>
      </c>
      <c r="Z365" t="s">
        <v>120</v>
      </c>
      <c r="AA365" t="s">
        <v>120</v>
      </c>
      <c r="AB365" t="s">
        <v>120</v>
      </c>
      <c r="AC365" t="s">
        <v>120</v>
      </c>
      <c r="AD365" t="s">
        <v>120</v>
      </c>
      <c r="AE365" t="s">
        <v>120</v>
      </c>
      <c r="AF365" t="s">
        <v>120</v>
      </c>
      <c r="AG365" t="s">
        <v>120</v>
      </c>
      <c r="AH365" t="s">
        <v>120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31.55</v>
      </c>
      <c r="AP365">
        <v>0</v>
      </c>
      <c r="AQ365">
        <v>0</v>
      </c>
      <c r="AR365">
        <v>70.2</v>
      </c>
      <c r="AS365">
        <v>0</v>
      </c>
    </row>
    <row r="366" spans="1:45" x14ac:dyDescent="0.25">
      <c r="A366" t="s">
        <v>934</v>
      </c>
      <c r="B366" t="s">
        <v>935</v>
      </c>
      <c r="C366" t="s">
        <v>127</v>
      </c>
      <c r="D366" t="s">
        <v>96</v>
      </c>
      <c r="E366" t="s">
        <v>120</v>
      </c>
      <c r="F366" t="s">
        <v>120</v>
      </c>
      <c r="G366" t="s">
        <v>120</v>
      </c>
      <c r="H366" t="s">
        <v>120</v>
      </c>
      <c r="I366" t="s">
        <v>120</v>
      </c>
      <c r="J366" t="s">
        <v>120</v>
      </c>
      <c r="K366" t="s">
        <v>120</v>
      </c>
      <c r="L366" t="s">
        <v>120</v>
      </c>
      <c r="M366" t="s">
        <v>120</v>
      </c>
      <c r="N366" t="s">
        <v>120</v>
      </c>
      <c r="O366" t="s">
        <v>120</v>
      </c>
      <c r="P366" t="s">
        <v>120</v>
      </c>
      <c r="Q366" t="s">
        <v>120</v>
      </c>
      <c r="R366" t="s">
        <v>120</v>
      </c>
      <c r="S366" t="s">
        <v>120</v>
      </c>
      <c r="T366" t="s">
        <v>120</v>
      </c>
      <c r="U366" t="s">
        <v>120</v>
      </c>
      <c r="V366" t="s">
        <v>120</v>
      </c>
      <c r="W366" t="s">
        <v>120</v>
      </c>
      <c r="X366" t="s">
        <v>120</v>
      </c>
      <c r="Y366" t="s">
        <v>120</v>
      </c>
      <c r="Z366" t="s">
        <v>120</v>
      </c>
      <c r="AA366" t="s">
        <v>120</v>
      </c>
      <c r="AB366" t="s">
        <v>120</v>
      </c>
      <c r="AC366" t="s">
        <v>120</v>
      </c>
      <c r="AD366" t="s">
        <v>120</v>
      </c>
      <c r="AE366" t="s">
        <v>120</v>
      </c>
      <c r="AF366" t="s">
        <v>120</v>
      </c>
      <c r="AG366" t="s">
        <v>120</v>
      </c>
      <c r="AH366" t="s">
        <v>120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33.43</v>
      </c>
      <c r="AP366">
        <v>0</v>
      </c>
      <c r="AQ366">
        <v>0</v>
      </c>
      <c r="AR366">
        <v>75.06</v>
      </c>
      <c r="AS366">
        <v>0</v>
      </c>
    </row>
    <row r="367" spans="1:45" x14ac:dyDescent="0.25">
      <c r="A367" t="s">
        <v>936</v>
      </c>
      <c r="B367" t="s">
        <v>937</v>
      </c>
      <c r="C367" t="s">
        <v>127</v>
      </c>
      <c r="D367" t="s">
        <v>96</v>
      </c>
      <c r="E367" t="s">
        <v>120</v>
      </c>
      <c r="F367" t="s">
        <v>120</v>
      </c>
      <c r="G367" t="s">
        <v>120</v>
      </c>
      <c r="H367" t="s">
        <v>120</v>
      </c>
      <c r="I367" t="s">
        <v>120</v>
      </c>
      <c r="J367" t="s">
        <v>120</v>
      </c>
      <c r="K367" t="s">
        <v>120</v>
      </c>
      <c r="L367" t="s">
        <v>120</v>
      </c>
      <c r="M367" t="s">
        <v>120</v>
      </c>
      <c r="N367" t="s">
        <v>120</v>
      </c>
      <c r="O367" t="s">
        <v>120</v>
      </c>
      <c r="P367" t="s">
        <v>120</v>
      </c>
      <c r="Q367" t="s">
        <v>120</v>
      </c>
      <c r="R367" t="s">
        <v>120</v>
      </c>
      <c r="S367" t="s">
        <v>120</v>
      </c>
      <c r="T367" t="s">
        <v>120</v>
      </c>
      <c r="U367" t="s">
        <v>120</v>
      </c>
      <c r="V367" t="s">
        <v>120</v>
      </c>
      <c r="W367" t="s">
        <v>120</v>
      </c>
      <c r="X367" t="s">
        <v>120</v>
      </c>
      <c r="Y367" t="s">
        <v>120</v>
      </c>
      <c r="Z367" t="s">
        <v>120</v>
      </c>
      <c r="AA367" t="s">
        <v>120</v>
      </c>
      <c r="AB367" t="s">
        <v>120</v>
      </c>
      <c r="AC367" t="s">
        <v>120</v>
      </c>
      <c r="AD367" t="s">
        <v>120</v>
      </c>
      <c r="AE367" t="s">
        <v>120</v>
      </c>
      <c r="AF367" t="s">
        <v>120</v>
      </c>
      <c r="AG367" t="s">
        <v>120</v>
      </c>
      <c r="AH367" t="s">
        <v>120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33.43</v>
      </c>
      <c r="AP367">
        <v>0</v>
      </c>
      <c r="AQ367">
        <v>0</v>
      </c>
      <c r="AR367">
        <v>75.06</v>
      </c>
      <c r="AS367">
        <v>0</v>
      </c>
    </row>
    <row r="368" spans="1:45" x14ac:dyDescent="0.25">
      <c r="A368" t="s">
        <v>938</v>
      </c>
      <c r="B368" t="s">
        <v>939</v>
      </c>
      <c r="C368" t="s">
        <v>127</v>
      </c>
      <c r="D368" t="s">
        <v>96</v>
      </c>
      <c r="E368" t="s">
        <v>120</v>
      </c>
      <c r="F368" t="s">
        <v>120</v>
      </c>
      <c r="G368" t="s">
        <v>120</v>
      </c>
      <c r="H368" t="s">
        <v>120</v>
      </c>
      <c r="I368" t="s">
        <v>120</v>
      </c>
      <c r="J368" t="s">
        <v>120</v>
      </c>
      <c r="K368" t="s">
        <v>120</v>
      </c>
      <c r="L368" t="s">
        <v>120</v>
      </c>
      <c r="M368" t="s">
        <v>120</v>
      </c>
      <c r="N368" t="s">
        <v>120</v>
      </c>
      <c r="O368" t="s">
        <v>120</v>
      </c>
      <c r="P368" t="s">
        <v>120</v>
      </c>
      <c r="Q368" t="s">
        <v>120</v>
      </c>
      <c r="R368" t="s">
        <v>120</v>
      </c>
      <c r="S368" t="s">
        <v>120</v>
      </c>
      <c r="T368" t="s">
        <v>120</v>
      </c>
      <c r="U368" t="s">
        <v>120</v>
      </c>
      <c r="V368" t="s">
        <v>120</v>
      </c>
      <c r="W368" t="s">
        <v>120</v>
      </c>
      <c r="X368" t="s">
        <v>120</v>
      </c>
      <c r="Y368" t="s">
        <v>120</v>
      </c>
      <c r="Z368" t="s">
        <v>120</v>
      </c>
      <c r="AA368" t="s">
        <v>120</v>
      </c>
      <c r="AB368" t="s">
        <v>120</v>
      </c>
      <c r="AC368" t="s">
        <v>120</v>
      </c>
      <c r="AD368" t="s">
        <v>120</v>
      </c>
      <c r="AE368" t="s">
        <v>120</v>
      </c>
      <c r="AF368" t="s">
        <v>120</v>
      </c>
      <c r="AG368" t="s">
        <v>120</v>
      </c>
      <c r="AH368" t="s">
        <v>120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33.43</v>
      </c>
      <c r="AP368">
        <v>0</v>
      </c>
      <c r="AQ368">
        <v>0</v>
      </c>
      <c r="AR368">
        <v>75.06</v>
      </c>
      <c r="AS368">
        <v>0</v>
      </c>
    </row>
    <row r="369" spans="1:45" x14ac:dyDescent="0.25">
      <c r="A369" t="s">
        <v>940</v>
      </c>
      <c r="B369" t="s">
        <v>941</v>
      </c>
      <c r="C369" t="s">
        <v>147</v>
      </c>
      <c r="D369" t="s">
        <v>96</v>
      </c>
      <c r="E369" t="s">
        <v>120</v>
      </c>
      <c r="F369" t="s">
        <v>120</v>
      </c>
      <c r="G369" t="s">
        <v>120</v>
      </c>
      <c r="H369" t="s">
        <v>120</v>
      </c>
      <c r="I369" t="s">
        <v>120</v>
      </c>
      <c r="J369" t="s">
        <v>120</v>
      </c>
      <c r="K369" t="s">
        <v>120</v>
      </c>
      <c r="L369" t="s">
        <v>120</v>
      </c>
      <c r="M369" t="s">
        <v>120</v>
      </c>
      <c r="N369" t="s">
        <v>120</v>
      </c>
      <c r="O369" t="s">
        <v>120</v>
      </c>
      <c r="P369" t="s">
        <v>120</v>
      </c>
      <c r="Q369" t="s">
        <v>120</v>
      </c>
      <c r="R369" t="s">
        <v>120</v>
      </c>
      <c r="S369" t="s">
        <v>120</v>
      </c>
      <c r="T369" t="s">
        <v>120</v>
      </c>
      <c r="U369" t="s">
        <v>120</v>
      </c>
      <c r="V369" t="s">
        <v>120</v>
      </c>
      <c r="W369" t="s">
        <v>120</v>
      </c>
      <c r="X369" t="s">
        <v>120</v>
      </c>
      <c r="Y369" t="s">
        <v>120</v>
      </c>
      <c r="Z369" t="s">
        <v>120</v>
      </c>
      <c r="AA369" t="s">
        <v>120</v>
      </c>
      <c r="AB369" t="s">
        <v>120</v>
      </c>
      <c r="AC369" t="s">
        <v>120</v>
      </c>
      <c r="AD369" t="s">
        <v>120</v>
      </c>
      <c r="AE369" t="s">
        <v>120</v>
      </c>
      <c r="AF369" t="s">
        <v>120</v>
      </c>
      <c r="AG369" t="s">
        <v>120</v>
      </c>
      <c r="AH369" t="s">
        <v>120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31.55</v>
      </c>
      <c r="AP369">
        <v>0</v>
      </c>
      <c r="AQ369">
        <v>0</v>
      </c>
      <c r="AR369">
        <v>70.2</v>
      </c>
      <c r="AS369">
        <v>0</v>
      </c>
    </row>
    <row r="370" spans="1:45" x14ac:dyDescent="0.25">
      <c r="A370" t="s">
        <v>942</v>
      </c>
      <c r="B370" t="s">
        <v>943</v>
      </c>
      <c r="C370" t="s">
        <v>127</v>
      </c>
      <c r="D370" t="s">
        <v>96</v>
      </c>
      <c r="E370" t="s">
        <v>120</v>
      </c>
      <c r="F370" t="s">
        <v>120</v>
      </c>
      <c r="G370" t="s">
        <v>120</v>
      </c>
      <c r="H370" t="s">
        <v>120</v>
      </c>
      <c r="I370" t="s">
        <v>120</v>
      </c>
      <c r="J370" t="s">
        <v>120</v>
      </c>
      <c r="K370" t="s">
        <v>120</v>
      </c>
      <c r="L370" t="s">
        <v>120</v>
      </c>
      <c r="M370" t="s">
        <v>120</v>
      </c>
      <c r="N370" t="s">
        <v>120</v>
      </c>
      <c r="O370" t="s">
        <v>120</v>
      </c>
      <c r="P370" t="s">
        <v>120</v>
      </c>
      <c r="Q370" t="s">
        <v>120</v>
      </c>
      <c r="R370" t="s">
        <v>120</v>
      </c>
      <c r="S370" t="s">
        <v>120</v>
      </c>
      <c r="T370" t="s">
        <v>120</v>
      </c>
      <c r="U370" t="s">
        <v>120</v>
      </c>
      <c r="V370" t="s">
        <v>120</v>
      </c>
      <c r="W370" t="s">
        <v>120</v>
      </c>
      <c r="X370" t="s">
        <v>120</v>
      </c>
      <c r="Y370" t="s">
        <v>120</v>
      </c>
      <c r="Z370" t="s">
        <v>120</v>
      </c>
      <c r="AA370" t="s">
        <v>120</v>
      </c>
      <c r="AB370" t="s">
        <v>120</v>
      </c>
      <c r="AC370" t="s">
        <v>120</v>
      </c>
      <c r="AD370" t="s">
        <v>120</v>
      </c>
      <c r="AE370" t="s">
        <v>120</v>
      </c>
      <c r="AF370" t="s">
        <v>120</v>
      </c>
      <c r="AG370" t="s">
        <v>120</v>
      </c>
      <c r="AH370" t="s">
        <v>120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33.43</v>
      </c>
      <c r="AP370">
        <v>0</v>
      </c>
      <c r="AQ370">
        <v>0</v>
      </c>
      <c r="AR370">
        <v>75.06</v>
      </c>
      <c r="AS370">
        <v>0</v>
      </c>
    </row>
    <row r="371" spans="1:45" x14ac:dyDescent="0.25">
      <c r="A371" t="s">
        <v>944</v>
      </c>
      <c r="B371" t="s">
        <v>945</v>
      </c>
      <c r="C371" t="s">
        <v>127</v>
      </c>
      <c r="D371" t="s">
        <v>96</v>
      </c>
      <c r="E371" t="s">
        <v>120</v>
      </c>
      <c r="F371" t="s">
        <v>120</v>
      </c>
      <c r="G371" t="s">
        <v>120</v>
      </c>
      <c r="H371" t="s">
        <v>120</v>
      </c>
      <c r="I371" t="s">
        <v>120</v>
      </c>
      <c r="J371" t="s">
        <v>120</v>
      </c>
      <c r="K371" t="s">
        <v>120</v>
      </c>
      <c r="L371" t="s">
        <v>120</v>
      </c>
      <c r="M371" t="s">
        <v>120</v>
      </c>
      <c r="N371" t="s">
        <v>120</v>
      </c>
      <c r="O371" t="s">
        <v>120</v>
      </c>
      <c r="P371" t="s">
        <v>120</v>
      </c>
      <c r="Q371" t="s">
        <v>120</v>
      </c>
      <c r="R371" t="s">
        <v>120</v>
      </c>
      <c r="S371" t="s">
        <v>120</v>
      </c>
      <c r="T371" t="s">
        <v>120</v>
      </c>
      <c r="U371" t="s">
        <v>120</v>
      </c>
      <c r="V371" t="s">
        <v>120</v>
      </c>
      <c r="W371" t="s">
        <v>120</v>
      </c>
      <c r="X371" t="s">
        <v>120</v>
      </c>
      <c r="Y371" t="s">
        <v>120</v>
      </c>
      <c r="Z371" t="s">
        <v>120</v>
      </c>
      <c r="AA371" t="s">
        <v>120</v>
      </c>
      <c r="AB371" t="s">
        <v>120</v>
      </c>
      <c r="AC371" t="s">
        <v>120</v>
      </c>
      <c r="AD371" t="s">
        <v>120</v>
      </c>
      <c r="AE371" t="s">
        <v>120</v>
      </c>
      <c r="AF371" t="s">
        <v>120</v>
      </c>
      <c r="AG371" t="s">
        <v>120</v>
      </c>
      <c r="AH371" t="s">
        <v>120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33.43</v>
      </c>
      <c r="AP371">
        <v>0</v>
      </c>
      <c r="AQ371">
        <v>0</v>
      </c>
      <c r="AR371">
        <v>75.06</v>
      </c>
      <c r="AS371">
        <v>0</v>
      </c>
    </row>
    <row r="372" spans="1:45" x14ac:dyDescent="0.25">
      <c r="A372" t="s">
        <v>946</v>
      </c>
      <c r="B372" t="s">
        <v>947</v>
      </c>
      <c r="C372" t="s">
        <v>127</v>
      </c>
      <c r="D372" t="s">
        <v>96</v>
      </c>
      <c r="E372" t="s">
        <v>120</v>
      </c>
      <c r="F372" t="s">
        <v>120</v>
      </c>
      <c r="G372" t="s">
        <v>120</v>
      </c>
      <c r="H372" t="s">
        <v>120</v>
      </c>
      <c r="I372" t="s">
        <v>120</v>
      </c>
      <c r="J372" t="s">
        <v>120</v>
      </c>
      <c r="K372" t="s">
        <v>120</v>
      </c>
      <c r="L372" t="s">
        <v>120</v>
      </c>
      <c r="M372" t="s">
        <v>120</v>
      </c>
      <c r="N372" t="s">
        <v>120</v>
      </c>
      <c r="O372" t="s">
        <v>120</v>
      </c>
      <c r="P372" t="s">
        <v>120</v>
      </c>
      <c r="Q372" t="s">
        <v>120</v>
      </c>
      <c r="R372" t="s">
        <v>120</v>
      </c>
      <c r="S372" t="s">
        <v>120</v>
      </c>
      <c r="T372" t="s">
        <v>120</v>
      </c>
      <c r="U372" t="s">
        <v>120</v>
      </c>
      <c r="V372" t="s">
        <v>120</v>
      </c>
      <c r="W372" t="s">
        <v>120</v>
      </c>
      <c r="X372" t="s">
        <v>120</v>
      </c>
      <c r="Y372" t="s">
        <v>120</v>
      </c>
      <c r="Z372" t="s">
        <v>120</v>
      </c>
      <c r="AA372" t="s">
        <v>120</v>
      </c>
      <c r="AB372" t="s">
        <v>120</v>
      </c>
      <c r="AC372" t="s">
        <v>120</v>
      </c>
      <c r="AD372" t="s">
        <v>120</v>
      </c>
      <c r="AE372" t="s">
        <v>120</v>
      </c>
      <c r="AF372" t="s">
        <v>120</v>
      </c>
      <c r="AG372" t="s">
        <v>120</v>
      </c>
      <c r="AH372" t="s">
        <v>120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33.43</v>
      </c>
      <c r="AP372">
        <v>0</v>
      </c>
      <c r="AQ372">
        <v>0</v>
      </c>
      <c r="AR372">
        <v>75.06</v>
      </c>
      <c r="AS372">
        <v>0</v>
      </c>
    </row>
    <row r="373" spans="1:45" x14ac:dyDescent="0.25">
      <c r="A373" t="s">
        <v>948</v>
      </c>
      <c r="B373" t="s">
        <v>949</v>
      </c>
      <c r="C373" t="s">
        <v>127</v>
      </c>
      <c r="D373" t="s">
        <v>96</v>
      </c>
      <c r="E373" t="s">
        <v>120</v>
      </c>
      <c r="F373" t="s">
        <v>120</v>
      </c>
      <c r="G373" t="s">
        <v>120</v>
      </c>
      <c r="H373" t="s">
        <v>120</v>
      </c>
      <c r="I373" t="s">
        <v>120</v>
      </c>
      <c r="J373" t="s">
        <v>120</v>
      </c>
      <c r="K373" t="s">
        <v>120</v>
      </c>
      <c r="L373" t="s">
        <v>120</v>
      </c>
      <c r="M373" t="s">
        <v>120</v>
      </c>
      <c r="N373" t="s">
        <v>120</v>
      </c>
      <c r="O373" t="s">
        <v>120</v>
      </c>
      <c r="P373" t="s">
        <v>120</v>
      </c>
      <c r="Q373" t="s">
        <v>120</v>
      </c>
      <c r="R373" t="s">
        <v>120</v>
      </c>
      <c r="S373" t="s">
        <v>120</v>
      </c>
      <c r="T373" t="s">
        <v>120</v>
      </c>
      <c r="U373" t="s">
        <v>120</v>
      </c>
      <c r="V373" t="s">
        <v>120</v>
      </c>
      <c r="W373" t="s">
        <v>120</v>
      </c>
      <c r="X373" t="s">
        <v>120</v>
      </c>
      <c r="Y373" t="s">
        <v>141</v>
      </c>
      <c r="Z373" t="s">
        <v>120</v>
      </c>
      <c r="AA373" t="s">
        <v>120</v>
      </c>
      <c r="AB373" t="s">
        <v>120</v>
      </c>
      <c r="AC373" t="s">
        <v>120</v>
      </c>
      <c r="AD373" t="s">
        <v>120</v>
      </c>
      <c r="AE373" t="s">
        <v>120</v>
      </c>
      <c r="AF373" t="s">
        <v>120</v>
      </c>
      <c r="AG373" t="s">
        <v>120</v>
      </c>
      <c r="AH373" t="s">
        <v>120</v>
      </c>
      <c r="AJ373">
        <v>0</v>
      </c>
      <c r="AK373">
        <v>8</v>
      </c>
      <c r="AL373">
        <v>8</v>
      </c>
      <c r="AM373">
        <v>0</v>
      </c>
      <c r="AN373">
        <v>0</v>
      </c>
      <c r="AO373">
        <v>33.43</v>
      </c>
      <c r="AP373">
        <v>8</v>
      </c>
      <c r="AQ373">
        <v>0</v>
      </c>
      <c r="AR373">
        <v>75.06</v>
      </c>
      <c r="AS373">
        <v>534.88</v>
      </c>
    </row>
    <row r="374" spans="1:45" x14ac:dyDescent="0.25">
      <c r="A374" t="s">
        <v>950</v>
      </c>
      <c r="B374" t="s">
        <v>951</v>
      </c>
      <c r="C374" t="s">
        <v>127</v>
      </c>
      <c r="D374" t="s">
        <v>96</v>
      </c>
      <c r="E374" t="s">
        <v>120</v>
      </c>
      <c r="F374" t="s">
        <v>120</v>
      </c>
      <c r="G374" t="s">
        <v>120</v>
      </c>
      <c r="H374" t="s">
        <v>120</v>
      </c>
      <c r="I374" t="s">
        <v>120</v>
      </c>
      <c r="J374" t="s">
        <v>120</v>
      </c>
      <c r="K374" t="s">
        <v>120</v>
      </c>
      <c r="L374" t="s">
        <v>120</v>
      </c>
      <c r="M374" t="s">
        <v>120</v>
      </c>
      <c r="N374" t="s">
        <v>120</v>
      </c>
      <c r="O374" t="s">
        <v>141</v>
      </c>
      <c r="P374" t="s">
        <v>120</v>
      </c>
      <c r="Q374" t="s">
        <v>120</v>
      </c>
      <c r="R374" t="s">
        <v>120</v>
      </c>
      <c r="S374" t="s">
        <v>120</v>
      </c>
      <c r="T374" t="s">
        <v>120</v>
      </c>
      <c r="U374" t="s">
        <v>120</v>
      </c>
      <c r="V374" t="s">
        <v>120</v>
      </c>
      <c r="W374" t="s">
        <v>120</v>
      </c>
      <c r="X374" t="s">
        <v>120</v>
      </c>
      <c r="Y374" t="s">
        <v>120</v>
      </c>
      <c r="Z374" t="s">
        <v>120</v>
      </c>
      <c r="AA374" t="s">
        <v>120</v>
      </c>
      <c r="AB374" t="s">
        <v>120</v>
      </c>
      <c r="AC374" t="s">
        <v>120</v>
      </c>
      <c r="AD374" t="s">
        <v>120</v>
      </c>
      <c r="AE374" t="s">
        <v>120</v>
      </c>
      <c r="AF374" t="s">
        <v>120</v>
      </c>
      <c r="AG374" t="s">
        <v>120</v>
      </c>
      <c r="AH374" t="s">
        <v>120</v>
      </c>
      <c r="AJ374">
        <v>0</v>
      </c>
      <c r="AK374">
        <v>8</v>
      </c>
      <c r="AL374">
        <v>8</v>
      </c>
      <c r="AM374">
        <v>0</v>
      </c>
      <c r="AN374">
        <v>0</v>
      </c>
      <c r="AO374">
        <v>33.43</v>
      </c>
      <c r="AP374">
        <v>8</v>
      </c>
      <c r="AQ374">
        <v>0</v>
      </c>
      <c r="AR374">
        <v>75.06</v>
      </c>
      <c r="AS374">
        <v>534.88</v>
      </c>
    </row>
    <row r="375" spans="1:45" x14ac:dyDescent="0.25">
      <c r="A375" t="s">
        <v>952</v>
      </c>
      <c r="B375" t="s">
        <v>953</v>
      </c>
      <c r="C375" t="s">
        <v>127</v>
      </c>
      <c r="D375" t="s">
        <v>96</v>
      </c>
      <c r="E375" t="s">
        <v>120</v>
      </c>
      <c r="F375" t="s">
        <v>120</v>
      </c>
      <c r="G375" t="s">
        <v>120</v>
      </c>
      <c r="H375" t="s">
        <v>120</v>
      </c>
      <c r="I375" t="s">
        <v>120</v>
      </c>
      <c r="J375" t="s">
        <v>120</v>
      </c>
      <c r="K375" t="s">
        <v>120</v>
      </c>
      <c r="L375" t="s">
        <v>120</v>
      </c>
      <c r="M375" t="s">
        <v>120</v>
      </c>
      <c r="N375" t="s">
        <v>120</v>
      </c>
      <c r="O375" t="s">
        <v>120</v>
      </c>
      <c r="P375" t="s">
        <v>120</v>
      </c>
      <c r="Q375" t="s">
        <v>120</v>
      </c>
      <c r="R375" t="s">
        <v>120</v>
      </c>
      <c r="S375" t="s">
        <v>120</v>
      </c>
      <c r="T375" t="s">
        <v>120</v>
      </c>
      <c r="U375" t="s">
        <v>120</v>
      </c>
      <c r="V375" t="s">
        <v>120</v>
      </c>
      <c r="W375" t="s">
        <v>120</v>
      </c>
      <c r="X375" t="s">
        <v>120</v>
      </c>
      <c r="Y375" t="s">
        <v>120</v>
      </c>
      <c r="Z375" t="s">
        <v>120</v>
      </c>
      <c r="AA375" t="s">
        <v>120</v>
      </c>
      <c r="AB375" t="s">
        <v>120</v>
      </c>
      <c r="AC375" t="s">
        <v>120</v>
      </c>
      <c r="AD375" t="s">
        <v>120</v>
      </c>
      <c r="AE375" t="s">
        <v>120</v>
      </c>
      <c r="AF375" t="s">
        <v>120</v>
      </c>
      <c r="AG375" t="s">
        <v>120</v>
      </c>
      <c r="AH375" t="s">
        <v>120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33.43</v>
      </c>
      <c r="AP375">
        <v>0</v>
      </c>
      <c r="AQ375">
        <v>0</v>
      </c>
      <c r="AR375">
        <v>75.06</v>
      </c>
      <c r="AS375">
        <v>0</v>
      </c>
    </row>
    <row r="376" spans="1:45" x14ac:dyDescent="0.25">
      <c r="A376" t="s">
        <v>954</v>
      </c>
      <c r="B376" t="s">
        <v>955</v>
      </c>
      <c r="C376" t="s">
        <v>130</v>
      </c>
      <c r="D376" t="s">
        <v>96</v>
      </c>
      <c r="E376" t="s">
        <v>120</v>
      </c>
      <c r="F376" t="s">
        <v>120</v>
      </c>
      <c r="G376" t="s">
        <v>120</v>
      </c>
      <c r="H376" t="s">
        <v>120</v>
      </c>
      <c r="I376" t="s">
        <v>120</v>
      </c>
      <c r="J376" t="s">
        <v>120</v>
      </c>
      <c r="K376" t="s">
        <v>120</v>
      </c>
      <c r="L376" t="s">
        <v>120</v>
      </c>
      <c r="M376" t="s">
        <v>120</v>
      </c>
      <c r="N376" t="s">
        <v>120</v>
      </c>
      <c r="O376" t="s">
        <v>120</v>
      </c>
      <c r="P376" t="s">
        <v>120</v>
      </c>
      <c r="Q376" t="s">
        <v>120</v>
      </c>
      <c r="R376" t="s">
        <v>120</v>
      </c>
      <c r="S376" t="s">
        <v>120</v>
      </c>
      <c r="T376" t="s">
        <v>120</v>
      </c>
      <c r="U376" t="s">
        <v>120</v>
      </c>
      <c r="V376" t="s">
        <v>120</v>
      </c>
      <c r="W376" t="s">
        <v>120</v>
      </c>
      <c r="X376" t="s">
        <v>120</v>
      </c>
      <c r="Y376" t="s">
        <v>120</v>
      </c>
      <c r="Z376" t="s">
        <v>120</v>
      </c>
      <c r="AA376" t="s">
        <v>120</v>
      </c>
      <c r="AB376" t="s">
        <v>120</v>
      </c>
      <c r="AC376" t="s">
        <v>120</v>
      </c>
      <c r="AD376" t="s">
        <v>120</v>
      </c>
      <c r="AE376" t="s">
        <v>120</v>
      </c>
      <c r="AF376" t="s">
        <v>120</v>
      </c>
      <c r="AG376" t="s">
        <v>120</v>
      </c>
      <c r="AH376" t="s">
        <v>120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7500</v>
      </c>
      <c r="AP376">
        <v>0</v>
      </c>
      <c r="AQ376">
        <v>0</v>
      </c>
      <c r="AR376">
        <v>126.56250000000001</v>
      </c>
      <c r="AS376">
        <v>0</v>
      </c>
    </row>
    <row r="377" spans="1:45" x14ac:dyDescent="0.25">
      <c r="A377" t="s">
        <v>956</v>
      </c>
      <c r="B377" t="s">
        <v>957</v>
      </c>
      <c r="C377" t="s">
        <v>127</v>
      </c>
      <c r="D377" t="s">
        <v>96</v>
      </c>
      <c r="E377" t="s">
        <v>120</v>
      </c>
      <c r="F377" t="s">
        <v>120</v>
      </c>
      <c r="G377" t="s">
        <v>120</v>
      </c>
      <c r="H377" t="s">
        <v>120</v>
      </c>
      <c r="I377" t="s">
        <v>120</v>
      </c>
      <c r="J377" t="s">
        <v>120</v>
      </c>
      <c r="K377" t="s">
        <v>120</v>
      </c>
      <c r="L377" t="s">
        <v>120</v>
      </c>
      <c r="M377" t="s">
        <v>120</v>
      </c>
      <c r="N377" t="s">
        <v>120</v>
      </c>
      <c r="O377" t="s">
        <v>120</v>
      </c>
      <c r="P377" t="s">
        <v>120</v>
      </c>
      <c r="Q377" t="s">
        <v>120</v>
      </c>
      <c r="R377" t="s">
        <v>120</v>
      </c>
      <c r="S377" t="s">
        <v>120</v>
      </c>
      <c r="T377" t="s">
        <v>120</v>
      </c>
      <c r="U377" t="s">
        <v>120</v>
      </c>
      <c r="V377" t="s">
        <v>120</v>
      </c>
      <c r="W377" t="s">
        <v>120</v>
      </c>
      <c r="X377" t="s">
        <v>120</v>
      </c>
      <c r="Y377" t="s">
        <v>120</v>
      </c>
      <c r="Z377" t="s">
        <v>120</v>
      </c>
      <c r="AA377" t="s">
        <v>120</v>
      </c>
      <c r="AB377" t="s">
        <v>120</v>
      </c>
      <c r="AC377" t="s">
        <v>120</v>
      </c>
      <c r="AD377" t="s">
        <v>120</v>
      </c>
      <c r="AE377" t="s">
        <v>120</v>
      </c>
      <c r="AF377" t="s">
        <v>120</v>
      </c>
      <c r="AG377" t="s">
        <v>120</v>
      </c>
      <c r="AH377" t="s">
        <v>120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33.43</v>
      </c>
      <c r="AP377">
        <v>0</v>
      </c>
      <c r="AQ377">
        <v>0</v>
      </c>
      <c r="AR377">
        <v>75.06</v>
      </c>
      <c r="AS377">
        <v>0</v>
      </c>
    </row>
    <row r="378" spans="1:45" x14ac:dyDescent="0.25">
      <c r="A378" t="s">
        <v>958</v>
      </c>
      <c r="B378" t="s">
        <v>959</v>
      </c>
      <c r="C378" t="s">
        <v>147</v>
      </c>
      <c r="D378" t="s">
        <v>96</v>
      </c>
      <c r="E378" t="s">
        <v>120</v>
      </c>
      <c r="F378" t="s">
        <v>120</v>
      </c>
      <c r="G378" t="s">
        <v>120</v>
      </c>
      <c r="H378" t="s">
        <v>120</v>
      </c>
      <c r="I378" t="s">
        <v>120</v>
      </c>
      <c r="J378" t="s">
        <v>120</v>
      </c>
      <c r="K378" t="s">
        <v>120</v>
      </c>
      <c r="L378" t="s">
        <v>120</v>
      </c>
      <c r="M378" t="s">
        <v>120</v>
      </c>
      <c r="N378" t="s">
        <v>120</v>
      </c>
      <c r="O378" t="s">
        <v>120</v>
      </c>
      <c r="P378" t="s">
        <v>120</v>
      </c>
      <c r="Q378" t="s">
        <v>120</v>
      </c>
      <c r="R378" t="s">
        <v>120</v>
      </c>
      <c r="S378" t="s">
        <v>120</v>
      </c>
      <c r="T378" t="s">
        <v>120</v>
      </c>
      <c r="U378" t="s">
        <v>120</v>
      </c>
      <c r="V378" t="s">
        <v>120</v>
      </c>
      <c r="W378" t="s">
        <v>120</v>
      </c>
      <c r="X378" t="s">
        <v>120</v>
      </c>
      <c r="Y378" t="s">
        <v>120</v>
      </c>
      <c r="Z378" t="s">
        <v>120</v>
      </c>
      <c r="AA378" t="s">
        <v>120</v>
      </c>
      <c r="AB378" t="s">
        <v>120</v>
      </c>
      <c r="AC378" t="s">
        <v>120</v>
      </c>
      <c r="AD378" t="s">
        <v>120</v>
      </c>
      <c r="AE378" t="s">
        <v>120</v>
      </c>
      <c r="AF378" t="s">
        <v>120</v>
      </c>
      <c r="AG378" t="s">
        <v>120</v>
      </c>
      <c r="AH378" t="s">
        <v>120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31.55</v>
      </c>
      <c r="AP378">
        <v>0</v>
      </c>
      <c r="AQ378">
        <v>0</v>
      </c>
      <c r="AR378">
        <v>70.2</v>
      </c>
      <c r="AS378">
        <v>0</v>
      </c>
    </row>
    <row r="379" spans="1:45" x14ac:dyDescent="0.25">
      <c r="A379" t="s">
        <v>960</v>
      </c>
      <c r="B379" t="s">
        <v>961</v>
      </c>
      <c r="C379" t="s">
        <v>127</v>
      </c>
      <c r="D379" t="s">
        <v>96</v>
      </c>
      <c r="E379" t="s">
        <v>120</v>
      </c>
      <c r="F379" t="s">
        <v>120</v>
      </c>
      <c r="G379" t="s">
        <v>120</v>
      </c>
      <c r="H379" t="s">
        <v>120</v>
      </c>
      <c r="I379" t="s">
        <v>120</v>
      </c>
      <c r="J379" t="s">
        <v>120</v>
      </c>
      <c r="K379" t="s">
        <v>120</v>
      </c>
      <c r="L379" t="s">
        <v>120</v>
      </c>
      <c r="M379" t="s">
        <v>120</v>
      </c>
      <c r="N379" t="s">
        <v>120</v>
      </c>
      <c r="O379" t="s">
        <v>120</v>
      </c>
      <c r="P379" t="s">
        <v>120</v>
      </c>
      <c r="Q379" t="s">
        <v>120</v>
      </c>
      <c r="R379" t="s">
        <v>120</v>
      </c>
      <c r="S379" t="s">
        <v>120</v>
      </c>
      <c r="T379" t="s">
        <v>120</v>
      </c>
      <c r="U379" t="s">
        <v>120</v>
      </c>
      <c r="V379" t="s">
        <v>120</v>
      </c>
      <c r="W379" t="s">
        <v>120</v>
      </c>
      <c r="X379" t="s">
        <v>120</v>
      </c>
      <c r="Y379" t="s">
        <v>120</v>
      </c>
      <c r="Z379" t="s">
        <v>120</v>
      </c>
      <c r="AA379" t="s">
        <v>120</v>
      </c>
      <c r="AB379" t="s">
        <v>120</v>
      </c>
      <c r="AC379" t="s">
        <v>120</v>
      </c>
      <c r="AD379" t="s">
        <v>120</v>
      </c>
      <c r="AE379" t="s">
        <v>120</v>
      </c>
      <c r="AF379" t="s">
        <v>120</v>
      </c>
      <c r="AG379" t="s">
        <v>120</v>
      </c>
      <c r="AH379" t="s">
        <v>120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33.43</v>
      </c>
      <c r="AP379">
        <v>0</v>
      </c>
      <c r="AQ379">
        <v>0</v>
      </c>
      <c r="AR379">
        <v>75.06</v>
      </c>
      <c r="AS379">
        <v>0</v>
      </c>
    </row>
    <row r="380" spans="1:45" x14ac:dyDescent="0.25">
      <c r="A380" t="s">
        <v>962</v>
      </c>
      <c r="B380" t="s">
        <v>963</v>
      </c>
      <c r="C380" t="s">
        <v>127</v>
      </c>
      <c r="D380" t="s">
        <v>96</v>
      </c>
      <c r="E380" t="s">
        <v>120</v>
      </c>
      <c r="F380" t="s">
        <v>120</v>
      </c>
      <c r="G380" t="s">
        <v>120</v>
      </c>
      <c r="H380" t="s">
        <v>120</v>
      </c>
      <c r="I380" t="s">
        <v>120</v>
      </c>
      <c r="J380" t="s">
        <v>120</v>
      </c>
      <c r="K380" t="s">
        <v>120</v>
      </c>
      <c r="L380" t="s">
        <v>120</v>
      </c>
      <c r="M380" t="s">
        <v>120</v>
      </c>
      <c r="N380" t="s">
        <v>120</v>
      </c>
      <c r="O380" t="s">
        <v>120</v>
      </c>
      <c r="P380" t="s">
        <v>120</v>
      </c>
      <c r="Q380" t="s">
        <v>120</v>
      </c>
      <c r="R380" t="s">
        <v>120</v>
      </c>
      <c r="S380" t="s">
        <v>120</v>
      </c>
      <c r="T380" t="s">
        <v>120</v>
      </c>
      <c r="U380" t="s">
        <v>120</v>
      </c>
      <c r="V380" t="s">
        <v>120</v>
      </c>
      <c r="W380" t="s">
        <v>120</v>
      </c>
      <c r="X380" t="s">
        <v>120</v>
      </c>
      <c r="Y380" t="s">
        <v>120</v>
      </c>
      <c r="Z380" t="s">
        <v>120</v>
      </c>
      <c r="AA380" t="s">
        <v>120</v>
      </c>
      <c r="AB380" t="s">
        <v>120</v>
      </c>
      <c r="AC380" t="s">
        <v>120</v>
      </c>
      <c r="AD380" t="s">
        <v>120</v>
      </c>
      <c r="AE380" t="s">
        <v>120</v>
      </c>
      <c r="AF380" t="s">
        <v>120</v>
      </c>
      <c r="AG380" t="s">
        <v>120</v>
      </c>
      <c r="AH380" t="s">
        <v>120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33.43</v>
      </c>
      <c r="AP380">
        <v>0</v>
      </c>
      <c r="AQ380">
        <v>0</v>
      </c>
      <c r="AR380">
        <v>75.06</v>
      </c>
      <c r="AS380">
        <v>0</v>
      </c>
    </row>
    <row r="381" spans="1:45" x14ac:dyDescent="0.25">
      <c r="A381" t="s">
        <v>964</v>
      </c>
      <c r="B381" t="s">
        <v>965</v>
      </c>
      <c r="C381" t="s">
        <v>127</v>
      </c>
      <c r="D381" t="s">
        <v>96</v>
      </c>
      <c r="E381" t="s">
        <v>120</v>
      </c>
      <c r="F381" t="s">
        <v>120</v>
      </c>
      <c r="G381" t="s">
        <v>120</v>
      </c>
      <c r="H381" t="s">
        <v>120</v>
      </c>
      <c r="I381" t="s">
        <v>120</v>
      </c>
      <c r="J381" t="s">
        <v>120</v>
      </c>
      <c r="K381" t="s">
        <v>120</v>
      </c>
      <c r="L381" t="s">
        <v>120</v>
      </c>
      <c r="M381" t="s">
        <v>120</v>
      </c>
      <c r="N381" t="s">
        <v>120</v>
      </c>
      <c r="O381" t="s">
        <v>120</v>
      </c>
      <c r="P381" t="s">
        <v>120</v>
      </c>
      <c r="Q381" t="s">
        <v>120</v>
      </c>
      <c r="R381" t="s">
        <v>120</v>
      </c>
      <c r="S381" t="s">
        <v>120</v>
      </c>
      <c r="T381" t="s">
        <v>120</v>
      </c>
      <c r="U381" t="s">
        <v>120</v>
      </c>
      <c r="V381" t="s">
        <v>120</v>
      </c>
      <c r="W381" t="s">
        <v>120</v>
      </c>
      <c r="X381" t="s">
        <v>120</v>
      </c>
      <c r="Y381" t="s">
        <v>120</v>
      </c>
      <c r="Z381" t="s">
        <v>120</v>
      </c>
      <c r="AA381" t="s">
        <v>120</v>
      </c>
      <c r="AB381" t="s">
        <v>120</v>
      </c>
      <c r="AC381" t="s">
        <v>120</v>
      </c>
      <c r="AD381" t="s">
        <v>120</v>
      </c>
      <c r="AE381" t="s">
        <v>120</v>
      </c>
      <c r="AF381" t="s">
        <v>120</v>
      </c>
      <c r="AG381" t="s">
        <v>120</v>
      </c>
      <c r="AH381" t="s">
        <v>120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33.43</v>
      </c>
      <c r="AP381">
        <v>0</v>
      </c>
      <c r="AQ381">
        <v>0</v>
      </c>
      <c r="AR381">
        <v>75.06</v>
      </c>
      <c r="AS381">
        <v>0</v>
      </c>
    </row>
    <row r="382" spans="1:45" x14ac:dyDescent="0.25">
      <c r="A382" t="s">
        <v>966</v>
      </c>
      <c r="B382" t="s">
        <v>967</v>
      </c>
      <c r="C382" t="s">
        <v>127</v>
      </c>
      <c r="D382" t="s">
        <v>96</v>
      </c>
      <c r="E382" t="s">
        <v>120</v>
      </c>
      <c r="F382" t="s">
        <v>120</v>
      </c>
      <c r="G382" t="s">
        <v>120</v>
      </c>
      <c r="H382" t="s">
        <v>120</v>
      </c>
      <c r="I382" t="s">
        <v>120</v>
      </c>
      <c r="J382" t="s">
        <v>120</v>
      </c>
      <c r="K382" t="s">
        <v>120</v>
      </c>
      <c r="L382" t="s">
        <v>120</v>
      </c>
      <c r="M382" t="s">
        <v>120</v>
      </c>
      <c r="N382" t="s">
        <v>120</v>
      </c>
      <c r="O382" t="s">
        <v>141</v>
      </c>
      <c r="P382" t="s">
        <v>120</v>
      </c>
      <c r="Q382" t="s">
        <v>120</v>
      </c>
      <c r="R382" t="s">
        <v>120</v>
      </c>
      <c r="S382" t="s">
        <v>120</v>
      </c>
      <c r="T382" t="s">
        <v>120</v>
      </c>
      <c r="U382" t="s">
        <v>120</v>
      </c>
      <c r="V382" t="s">
        <v>120</v>
      </c>
      <c r="W382" t="s">
        <v>120</v>
      </c>
      <c r="X382" t="s">
        <v>120</v>
      </c>
      <c r="Y382" t="s">
        <v>138</v>
      </c>
      <c r="Z382" t="s">
        <v>120</v>
      </c>
      <c r="AA382" t="s">
        <v>120</v>
      </c>
      <c r="AB382" t="s">
        <v>120</v>
      </c>
      <c r="AC382" t="s">
        <v>120</v>
      </c>
      <c r="AD382" t="s">
        <v>120</v>
      </c>
      <c r="AE382" t="s">
        <v>120</v>
      </c>
      <c r="AF382" t="s">
        <v>120</v>
      </c>
      <c r="AG382" t="s">
        <v>120</v>
      </c>
      <c r="AH382" t="s">
        <v>120</v>
      </c>
      <c r="AJ382">
        <v>0</v>
      </c>
      <c r="AK382">
        <v>18</v>
      </c>
      <c r="AL382">
        <v>18</v>
      </c>
      <c r="AM382">
        <v>0</v>
      </c>
      <c r="AN382">
        <v>0</v>
      </c>
      <c r="AO382">
        <v>33.43</v>
      </c>
      <c r="AP382">
        <v>18</v>
      </c>
      <c r="AQ382">
        <v>0</v>
      </c>
      <c r="AR382">
        <v>75.06</v>
      </c>
      <c r="AS382">
        <v>1203.48</v>
      </c>
    </row>
    <row r="383" spans="1:45" x14ac:dyDescent="0.25">
      <c r="A383" t="s">
        <v>968</v>
      </c>
      <c r="B383" t="s">
        <v>969</v>
      </c>
      <c r="C383" t="s">
        <v>147</v>
      </c>
      <c r="D383" t="s">
        <v>96</v>
      </c>
      <c r="E383" t="s">
        <v>120</v>
      </c>
      <c r="F383" t="s">
        <v>120</v>
      </c>
      <c r="G383" t="s">
        <v>120</v>
      </c>
      <c r="H383" t="s">
        <v>120</v>
      </c>
      <c r="I383" t="s">
        <v>120</v>
      </c>
      <c r="J383" t="s">
        <v>120</v>
      </c>
      <c r="K383" t="s">
        <v>120</v>
      </c>
      <c r="L383" t="s">
        <v>120</v>
      </c>
      <c r="M383" t="s">
        <v>120</v>
      </c>
      <c r="N383" t="s">
        <v>120</v>
      </c>
      <c r="O383" t="s">
        <v>120</v>
      </c>
      <c r="P383" t="s">
        <v>120</v>
      </c>
      <c r="Q383" t="s">
        <v>120</v>
      </c>
      <c r="R383" t="s">
        <v>120</v>
      </c>
      <c r="S383" t="s">
        <v>120</v>
      </c>
      <c r="T383" t="s">
        <v>120</v>
      </c>
      <c r="U383" t="s">
        <v>120</v>
      </c>
      <c r="V383" t="s">
        <v>120</v>
      </c>
      <c r="W383" t="s">
        <v>120</v>
      </c>
      <c r="X383" t="s">
        <v>120</v>
      </c>
      <c r="Y383" t="s">
        <v>120</v>
      </c>
      <c r="Z383" t="s">
        <v>120</v>
      </c>
      <c r="AA383" t="s">
        <v>120</v>
      </c>
      <c r="AB383" t="s">
        <v>120</v>
      </c>
      <c r="AC383" t="s">
        <v>120</v>
      </c>
      <c r="AD383" t="s">
        <v>120</v>
      </c>
      <c r="AE383" t="s">
        <v>120</v>
      </c>
      <c r="AF383" t="s">
        <v>120</v>
      </c>
      <c r="AG383" t="s">
        <v>120</v>
      </c>
      <c r="AH383" t="s">
        <v>120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28.25</v>
      </c>
      <c r="AP383">
        <v>0</v>
      </c>
      <c r="AQ383">
        <v>0</v>
      </c>
      <c r="AR383">
        <v>70.2</v>
      </c>
      <c r="AS383">
        <v>0</v>
      </c>
    </row>
    <row r="384" spans="1:45" x14ac:dyDescent="0.25">
      <c r="A384" t="s">
        <v>970</v>
      </c>
      <c r="B384" t="s">
        <v>971</v>
      </c>
      <c r="C384" t="s">
        <v>127</v>
      </c>
      <c r="D384" t="s">
        <v>96</v>
      </c>
      <c r="E384" t="s">
        <v>120</v>
      </c>
      <c r="F384" t="s">
        <v>120</v>
      </c>
      <c r="G384" t="s">
        <v>120</v>
      </c>
      <c r="H384" t="s">
        <v>120</v>
      </c>
      <c r="I384" t="s">
        <v>120</v>
      </c>
      <c r="J384" t="s">
        <v>120</v>
      </c>
      <c r="K384" t="s">
        <v>120</v>
      </c>
      <c r="L384" t="s">
        <v>120</v>
      </c>
      <c r="M384" t="s">
        <v>120</v>
      </c>
      <c r="N384" t="s">
        <v>120</v>
      </c>
      <c r="O384" t="s">
        <v>120</v>
      </c>
      <c r="P384" t="s">
        <v>120</v>
      </c>
      <c r="Q384" t="s">
        <v>120</v>
      </c>
      <c r="R384" t="s">
        <v>120</v>
      </c>
      <c r="S384" t="s">
        <v>120</v>
      </c>
      <c r="T384" t="s">
        <v>120</v>
      </c>
      <c r="U384" t="s">
        <v>120</v>
      </c>
      <c r="V384" t="s">
        <v>120</v>
      </c>
      <c r="W384" t="s">
        <v>120</v>
      </c>
      <c r="X384" t="s">
        <v>120</v>
      </c>
      <c r="Y384" t="s">
        <v>138</v>
      </c>
      <c r="Z384" t="s">
        <v>120</v>
      </c>
      <c r="AA384" t="s">
        <v>120</v>
      </c>
      <c r="AB384" t="s">
        <v>120</v>
      </c>
      <c r="AC384" t="s">
        <v>120</v>
      </c>
      <c r="AD384" t="s">
        <v>120</v>
      </c>
      <c r="AE384" t="s">
        <v>120</v>
      </c>
      <c r="AF384" t="s">
        <v>120</v>
      </c>
      <c r="AG384" t="s">
        <v>120</v>
      </c>
      <c r="AH384" t="s">
        <v>120</v>
      </c>
      <c r="AJ384">
        <v>0</v>
      </c>
      <c r="AK384">
        <v>10</v>
      </c>
      <c r="AL384">
        <v>10</v>
      </c>
      <c r="AM384">
        <v>0</v>
      </c>
      <c r="AN384">
        <v>0</v>
      </c>
      <c r="AO384">
        <v>33.43</v>
      </c>
      <c r="AP384">
        <v>10</v>
      </c>
      <c r="AQ384">
        <v>0</v>
      </c>
      <c r="AR384">
        <v>75.06</v>
      </c>
      <c r="AS384">
        <v>668.6</v>
      </c>
    </row>
    <row r="385" spans="1:45" x14ac:dyDescent="0.25">
      <c r="A385" t="s">
        <v>972</v>
      </c>
      <c r="B385" t="s">
        <v>973</v>
      </c>
      <c r="C385" t="s">
        <v>127</v>
      </c>
      <c r="D385" t="s">
        <v>96</v>
      </c>
      <c r="E385" t="s">
        <v>120</v>
      </c>
      <c r="F385" t="s">
        <v>120</v>
      </c>
      <c r="G385" t="s">
        <v>120</v>
      </c>
      <c r="H385" t="s">
        <v>120</v>
      </c>
      <c r="I385" t="s">
        <v>120</v>
      </c>
      <c r="J385" t="s">
        <v>120</v>
      </c>
      <c r="K385" t="s">
        <v>120</v>
      </c>
      <c r="L385" t="s">
        <v>120</v>
      </c>
      <c r="M385" t="s">
        <v>120</v>
      </c>
      <c r="N385" t="s">
        <v>120</v>
      </c>
      <c r="O385" t="s">
        <v>120</v>
      </c>
      <c r="P385" t="s">
        <v>120</v>
      </c>
      <c r="Q385" t="s">
        <v>120</v>
      </c>
      <c r="R385" t="s">
        <v>120</v>
      </c>
      <c r="S385" t="s">
        <v>120</v>
      </c>
      <c r="T385" t="s">
        <v>120</v>
      </c>
      <c r="U385" t="s">
        <v>120</v>
      </c>
      <c r="V385" t="s">
        <v>120</v>
      </c>
      <c r="W385" t="s">
        <v>120</v>
      </c>
      <c r="X385" t="s">
        <v>120</v>
      </c>
      <c r="Y385" t="s">
        <v>120</v>
      </c>
      <c r="Z385" t="s">
        <v>120</v>
      </c>
      <c r="AA385" t="s">
        <v>120</v>
      </c>
      <c r="AB385" t="s">
        <v>120</v>
      </c>
      <c r="AC385" t="s">
        <v>120</v>
      </c>
      <c r="AD385" t="s">
        <v>120</v>
      </c>
      <c r="AE385" t="s">
        <v>120</v>
      </c>
      <c r="AF385" t="s">
        <v>120</v>
      </c>
      <c r="AG385" t="s">
        <v>120</v>
      </c>
      <c r="AH385" t="s">
        <v>120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33.43</v>
      </c>
      <c r="AP385">
        <v>0</v>
      </c>
      <c r="AQ385">
        <v>0</v>
      </c>
      <c r="AR385">
        <v>75.06</v>
      </c>
      <c r="AS385">
        <v>0</v>
      </c>
    </row>
    <row r="386" spans="1:45" x14ac:dyDescent="0.25">
      <c r="A386" t="s">
        <v>974</v>
      </c>
      <c r="B386" t="s">
        <v>975</v>
      </c>
      <c r="C386" t="s">
        <v>127</v>
      </c>
      <c r="D386" t="s">
        <v>96</v>
      </c>
      <c r="E386" t="s">
        <v>120</v>
      </c>
      <c r="F386" t="s">
        <v>120</v>
      </c>
      <c r="G386" t="s">
        <v>120</v>
      </c>
      <c r="H386" t="s">
        <v>120</v>
      </c>
      <c r="I386" t="s">
        <v>120</v>
      </c>
      <c r="J386" t="s">
        <v>120</v>
      </c>
      <c r="K386" t="s">
        <v>120</v>
      </c>
      <c r="L386" t="s">
        <v>120</v>
      </c>
      <c r="M386" t="s">
        <v>120</v>
      </c>
      <c r="N386" t="s">
        <v>141</v>
      </c>
      <c r="O386" t="s">
        <v>120</v>
      </c>
      <c r="P386" t="s">
        <v>120</v>
      </c>
      <c r="Q386" t="s">
        <v>120</v>
      </c>
      <c r="R386" t="s">
        <v>120</v>
      </c>
      <c r="S386" t="s">
        <v>120</v>
      </c>
      <c r="T386" t="s">
        <v>120</v>
      </c>
      <c r="U386" t="s">
        <v>120</v>
      </c>
      <c r="V386" t="s">
        <v>120</v>
      </c>
      <c r="W386" t="s">
        <v>120</v>
      </c>
      <c r="X386" t="s">
        <v>120</v>
      </c>
      <c r="Y386" t="s">
        <v>120</v>
      </c>
      <c r="Z386" t="s">
        <v>120</v>
      </c>
      <c r="AA386" t="s">
        <v>120</v>
      </c>
      <c r="AB386" t="s">
        <v>120</v>
      </c>
      <c r="AC386" t="s">
        <v>120</v>
      </c>
      <c r="AD386" t="s">
        <v>120</v>
      </c>
      <c r="AE386" t="s">
        <v>120</v>
      </c>
      <c r="AF386" t="s">
        <v>120</v>
      </c>
      <c r="AG386" t="s">
        <v>120</v>
      </c>
      <c r="AH386" t="s">
        <v>120</v>
      </c>
      <c r="AJ386">
        <v>0</v>
      </c>
      <c r="AK386">
        <v>8</v>
      </c>
      <c r="AL386">
        <v>8</v>
      </c>
      <c r="AM386">
        <v>0</v>
      </c>
      <c r="AN386">
        <v>0</v>
      </c>
      <c r="AO386">
        <v>33.43</v>
      </c>
      <c r="AP386">
        <v>8</v>
      </c>
      <c r="AQ386">
        <v>0</v>
      </c>
      <c r="AR386">
        <v>75.06</v>
      </c>
      <c r="AS386">
        <v>534.88</v>
      </c>
    </row>
    <row r="387" spans="1:45" x14ac:dyDescent="0.25">
      <c r="A387" t="s">
        <v>976</v>
      </c>
      <c r="B387" t="s">
        <v>977</v>
      </c>
      <c r="C387" t="s">
        <v>147</v>
      </c>
      <c r="D387" t="s">
        <v>96</v>
      </c>
      <c r="E387" t="s">
        <v>120</v>
      </c>
      <c r="F387" t="s">
        <v>120</v>
      </c>
      <c r="G387" t="s">
        <v>120</v>
      </c>
      <c r="H387" t="s">
        <v>120</v>
      </c>
      <c r="I387" t="s">
        <v>120</v>
      </c>
      <c r="J387" t="s">
        <v>120</v>
      </c>
      <c r="K387" t="s">
        <v>120</v>
      </c>
      <c r="L387" t="s">
        <v>120</v>
      </c>
      <c r="M387" t="s">
        <v>120</v>
      </c>
      <c r="N387" t="s">
        <v>120</v>
      </c>
      <c r="O387" t="s">
        <v>120</v>
      </c>
      <c r="P387" t="s">
        <v>120</v>
      </c>
      <c r="Q387" t="s">
        <v>120</v>
      </c>
      <c r="R387" t="s">
        <v>120</v>
      </c>
      <c r="S387" t="s">
        <v>120</v>
      </c>
      <c r="T387" t="s">
        <v>120</v>
      </c>
      <c r="U387" t="s">
        <v>120</v>
      </c>
      <c r="V387" t="s">
        <v>120</v>
      </c>
      <c r="W387" t="s">
        <v>120</v>
      </c>
      <c r="X387" t="s">
        <v>120</v>
      </c>
      <c r="Y387" t="s">
        <v>120</v>
      </c>
      <c r="Z387" t="s">
        <v>120</v>
      </c>
      <c r="AA387" t="s">
        <v>120</v>
      </c>
      <c r="AB387" t="s">
        <v>120</v>
      </c>
      <c r="AC387" t="s">
        <v>120</v>
      </c>
      <c r="AD387" t="s">
        <v>120</v>
      </c>
      <c r="AE387" t="s">
        <v>120</v>
      </c>
      <c r="AF387" t="s">
        <v>120</v>
      </c>
      <c r="AG387" t="s">
        <v>120</v>
      </c>
      <c r="AH387" t="s">
        <v>120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31.55</v>
      </c>
      <c r="AP387">
        <v>0</v>
      </c>
      <c r="AQ387">
        <v>0</v>
      </c>
      <c r="AR387">
        <v>70.2</v>
      </c>
      <c r="AS387">
        <v>0</v>
      </c>
    </row>
    <row r="388" spans="1:45" x14ac:dyDescent="0.25">
      <c r="A388" t="s">
        <v>978</v>
      </c>
      <c r="B388" t="s">
        <v>979</v>
      </c>
      <c r="C388" t="s">
        <v>127</v>
      </c>
      <c r="D388" t="s">
        <v>96</v>
      </c>
      <c r="E388" t="s">
        <v>120</v>
      </c>
      <c r="F388" t="s">
        <v>120</v>
      </c>
      <c r="G388" t="s">
        <v>120</v>
      </c>
      <c r="H388" t="s">
        <v>120</v>
      </c>
      <c r="I388" t="s">
        <v>120</v>
      </c>
      <c r="J388" t="s">
        <v>120</v>
      </c>
      <c r="K388" t="s">
        <v>120</v>
      </c>
      <c r="L388" t="s">
        <v>120</v>
      </c>
      <c r="M388" t="s">
        <v>120</v>
      </c>
      <c r="N388" t="s">
        <v>120</v>
      </c>
      <c r="O388" t="s">
        <v>120</v>
      </c>
      <c r="P388" t="s">
        <v>120</v>
      </c>
      <c r="Q388" t="s">
        <v>120</v>
      </c>
      <c r="R388" t="s">
        <v>120</v>
      </c>
      <c r="S388" t="s">
        <v>120</v>
      </c>
      <c r="T388" t="s">
        <v>120</v>
      </c>
      <c r="U388" t="s">
        <v>120</v>
      </c>
      <c r="V388" t="s">
        <v>120</v>
      </c>
      <c r="W388" t="s">
        <v>120</v>
      </c>
      <c r="X388" t="s">
        <v>120</v>
      </c>
      <c r="Y388" t="s">
        <v>120</v>
      </c>
      <c r="Z388" t="s">
        <v>120</v>
      </c>
      <c r="AA388" t="s">
        <v>120</v>
      </c>
      <c r="AB388" t="s">
        <v>120</v>
      </c>
      <c r="AC388" t="s">
        <v>120</v>
      </c>
      <c r="AD388" t="s">
        <v>120</v>
      </c>
      <c r="AE388" t="s">
        <v>120</v>
      </c>
      <c r="AF388" t="s">
        <v>120</v>
      </c>
      <c r="AG388" t="s">
        <v>120</v>
      </c>
      <c r="AH388" t="s">
        <v>120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33.43</v>
      </c>
      <c r="AP388">
        <v>0</v>
      </c>
      <c r="AQ388">
        <v>0</v>
      </c>
      <c r="AR388">
        <v>75.06</v>
      </c>
      <c r="AS388">
        <v>0</v>
      </c>
    </row>
    <row r="389" spans="1:45" x14ac:dyDescent="0.25">
      <c r="A389" t="s">
        <v>980</v>
      </c>
      <c r="B389" t="s">
        <v>981</v>
      </c>
      <c r="C389" t="s">
        <v>127</v>
      </c>
      <c r="D389" t="s">
        <v>96</v>
      </c>
      <c r="E389" t="s">
        <v>120</v>
      </c>
      <c r="F389" t="s">
        <v>120</v>
      </c>
      <c r="G389" t="s">
        <v>120</v>
      </c>
      <c r="H389" t="s">
        <v>120</v>
      </c>
      <c r="I389" t="s">
        <v>120</v>
      </c>
      <c r="J389" t="s">
        <v>120</v>
      </c>
      <c r="K389" t="s">
        <v>120</v>
      </c>
      <c r="L389" t="s">
        <v>120</v>
      </c>
      <c r="M389" t="s">
        <v>120</v>
      </c>
      <c r="N389" t="s">
        <v>120</v>
      </c>
      <c r="O389" t="s">
        <v>120</v>
      </c>
      <c r="P389" t="s">
        <v>120</v>
      </c>
      <c r="Q389" t="s">
        <v>120</v>
      </c>
      <c r="R389" t="s">
        <v>120</v>
      </c>
      <c r="S389" t="s">
        <v>120</v>
      </c>
      <c r="T389" t="s">
        <v>120</v>
      </c>
      <c r="U389" t="s">
        <v>120</v>
      </c>
      <c r="V389" t="s">
        <v>120</v>
      </c>
      <c r="W389" t="s">
        <v>120</v>
      </c>
      <c r="X389" t="s">
        <v>120</v>
      </c>
      <c r="Y389" t="s">
        <v>120</v>
      </c>
      <c r="Z389" t="s">
        <v>120</v>
      </c>
      <c r="AA389" t="s">
        <v>120</v>
      </c>
      <c r="AB389" t="s">
        <v>120</v>
      </c>
      <c r="AC389" t="s">
        <v>120</v>
      </c>
      <c r="AD389" t="s">
        <v>120</v>
      </c>
      <c r="AE389" t="s">
        <v>120</v>
      </c>
      <c r="AF389" t="s">
        <v>120</v>
      </c>
      <c r="AG389" t="s">
        <v>120</v>
      </c>
      <c r="AH389" t="s">
        <v>120</v>
      </c>
      <c r="AJ389">
        <v>0</v>
      </c>
      <c r="AK389">
        <v>6</v>
      </c>
      <c r="AL389">
        <v>6</v>
      </c>
      <c r="AM389">
        <v>0</v>
      </c>
      <c r="AN389">
        <v>0</v>
      </c>
      <c r="AO389">
        <v>33.43</v>
      </c>
      <c r="AP389">
        <v>6</v>
      </c>
      <c r="AQ389">
        <v>0</v>
      </c>
      <c r="AR389">
        <v>75.06</v>
      </c>
      <c r="AS389">
        <v>401.15999999999997</v>
      </c>
    </row>
    <row r="390" spans="1:45" x14ac:dyDescent="0.25">
      <c r="A390" t="s">
        <v>982</v>
      </c>
      <c r="B390" t="s">
        <v>983</v>
      </c>
      <c r="C390" t="s">
        <v>127</v>
      </c>
      <c r="D390" t="s">
        <v>96</v>
      </c>
      <c r="E390" t="s">
        <v>120</v>
      </c>
      <c r="F390" t="s">
        <v>120</v>
      </c>
      <c r="G390" t="s">
        <v>120</v>
      </c>
      <c r="H390" t="s">
        <v>120</v>
      </c>
      <c r="I390" t="s">
        <v>120</v>
      </c>
      <c r="J390" t="s">
        <v>120</v>
      </c>
      <c r="K390" t="s">
        <v>120</v>
      </c>
      <c r="L390" t="s">
        <v>120</v>
      </c>
      <c r="M390" t="s">
        <v>120</v>
      </c>
      <c r="N390" t="s">
        <v>120</v>
      </c>
      <c r="O390" t="s">
        <v>120</v>
      </c>
      <c r="P390" t="s">
        <v>120</v>
      </c>
      <c r="Q390" t="s">
        <v>120</v>
      </c>
      <c r="R390" t="s">
        <v>120</v>
      </c>
      <c r="S390" t="s">
        <v>120</v>
      </c>
      <c r="T390" t="s">
        <v>120</v>
      </c>
      <c r="U390" t="s">
        <v>120</v>
      </c>
      <c r="V390" t="s">
        <v>120</v>
      </c>
      <c r="W390" t="s">
        <v>120</v>
      </c>
      <c r="X390" t="s">
        <v>120</v>
      </c>
      <c r="Y390" t="s">
        <v>120</v>
      </c>
      <c r="Z390" t="s">
        <v>120</v>
      </c>
      <c r="AA390" t="s">
        <v>120</v>
      </c>
      <c r="AB390" t="s">
        <v>120</v>
      </c>
      <c r="AC390" t="s">
        <v>120</v>
      </c>
      <c r="AD390" t="s">
        <v>120</v>
      </c>
      <c r="AE390" t="s">
        <v>120</v>
      </c>
      <c r="AF390" t="s">
        <v>120</v>
      </c>
      <c r="AG390" t="s">
        <v>120</v>
      </c>
      <c r="AH390" t="s">
        <v>120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33.43</v>
      </c>
      <c r="AP390">
        <v>0</v>
      </c>
      <c r="AQ390">
        <v>0</v>
      </c>
      <c r="AR390">
        <v>75.06</v>
      </c>
      <c r="AS390">
        <v>0</v>
      </c>
    </row>
    <row r="391" spans="1:45" x14ac:dyDescent="0.25">
      <c r="A391" t="s">
        <v>984</v>
      </c>
      <c r="B391" t="s">
        <v>985</v>
      </c>
      <c r="C391" t="s">
        <v>127</v>
      </c>
      <c r="D391" t="s">
        <v>96</v>
      </c>
      <c r="E391" t="s">
        <v>120</v>
      </c>
      <c r="F391" t="s">
        <v>120</v>
      </c>
      <c r="G391" t="s">
        <v>120</v>
      </c>
      <c r="H391" t="s">
        <v>120</v>
      </c>
      <c r="I391" t="s">
        <v>120</v>
      </c>
      <c r="J391" t="s">
        <v>120</v>
      </c>
      <c r="K391" t="s">
        <v>120</v>
      </c>
      <c r="L391" t="s">
        <v>120</v>
      </c>
      <c r="M391" t="s">
        <v>120</v>
      </c>
      <c r="N391" t="s">
        <v>120</v>
      </c>
      <c r="O391" t="s">
        <v>120</v>
      </c>
      <c r="P391" t="s">
        <v>120</v>
      </c>
      <c r="Q391" t="s">
        <v>120</v>
      </c>
      <c r="R391" t="s">
        <v>120</v>
      </c>
      <c r="S391" t="s">
        <v>120</v>
      </c>
      <c r="T391" t="s">
        <v>120</v>
      </c>
      <c r="U391" t="s">
        <v>120</v>
      </c>
      <c r="V391" t="s">
        <v>120</v>
      </c>
      <c r="W391" t="s">
        <v>120</v>
      </c>
      <c r="X391" t="s">
        <v>120</v>
      </c>
      <c r="Y391" t="s">
        <v>120</v>
      </c>
      <c r="Z391" t="s">
        <v>120</v>
      </c>
      <c r="AA391" t="s">
        <v>120</v>
      </c>
      <c r="AB391" t="s">
        <v>120</v>
      </c>
      <c r="AC391" t="s">
        <v>120</v>
      </c>
      <c r="AD391" t="s">
        <v>120</v>
      </c>
      <c r="AE391" t="s">
        <v>120</v>
      </c>
      <c r="AF391" t="s">
        <v>120</v>
      </c>
      <c r="AG391" t="s">
        <v>120</v>
      </c>
      <c r="AH391" t="s">
        <v>120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33.43</v>
      </c>
      <c r="AP391">
        <v>0</v>
      </c>
      <c r="AQ391">
        <v>0</v>
      </c>
      <c r="AR391">
        <v>75.06</v>
      </c>
      <c r="AS391">
        <v>0</v>
      </c>
    </row>
    <row r="392" spans="1:45" x14ac:dyDescent="0.25">
      <c r="A392" t="s">
        <v>986</v>
      </c>
      <c r="B392" t="s">
        <v>987</v>
      </c>
      <c r="C392" t="s">
        <v>127</v>
      </c>
      <c r="D392" t="s">
        <v>96</v>
      </c>
      <c r="E392" t="s">
        <v>120</v>
      </c>
      <c r="F392" t="s">
        <v>120</v>
      </c>
      <c r="G392" t="s">
        <v>120</v>
      </c>
      <c r="H392" t="s">
        <v>120</v>
      </c>
      <c r="I392" t="s">
        <v>120</v>
      </c>
      <c r="J392" t="s">
        <v>120</v>
      </c>
      <c r="K392" t="s">
        <v>124</v>
      </c>
      <c r="L392" t="s">
        <v>120</v>
      </c>
      <c r="M392" t="s">
        <v>120</v>
      </c>
      <c r="N392" t="s">
        <v>141</v>
      </c>
      <c r="O392" t="s">
        <v>120</v>
      </c>
      <c r="P392" t="s">
        <v>120</v>
      </c>
      <c r="Q392" t="s">
        <v>120</v>
      </c>
      <c r="R392" t="s">
        <v>120</v>
      </c>
      <c r="S392" t="s">
        <v>120</v>
      </c>
      <c r="T392" t="s">
        <v>120</v>
      </c>
      <c r="U392" t="s">
        <v>120</v>
      </c>
      <c r="V392" t="s">
        <v>120</v>
      </c>
      <c r="W392" t="s">
        <v>120</v>
      </c>
      <c r="X392" t="s">
        <v>120</v>
      </c>
      <c r="Y392" t="s">
        <v>120</v>
      </c>
      <c r="Z392" t="s">
        <v>120</v>
      </c>
      <c r="AA392" t="s">
        <v>120</v>
      </c>
      <c r="AB392" t="s">
        <v>120</v>
      </c>
      <c r="AC392" t="s">
        <v>120</v>
      </c>
      <c r="AD392" t="s">
        <v>120</v>
      </c>
      <c r="AE392" t="s">
        <v>120</v>
      </c>
      <c r="AF392" t="s">
        <v>120</v>
      </c>
      <c r="AG392" t="s">
        <v>120</v>
      </c>
      <c r="AH392" t="s">
        <v>120</v>
      </c>
      <c r="AJ392">
        <v>0</v>
      </c>
      <c r="AK392">
        <v>12</v>
      </c>
      <c r="AL392">
        <v>8</v>
      </c>
      <c r="AM392">
        <v>4</v>
      </c>
      <c r="AN392">
        <v>0</v>
      </c>
      <c r="AO392">
        <v>33.43</v>
      </c>
      <c r="AP392">
        <v>12</v>
      </c>
      <c r="AQ392">
        <v>0</v>
      </c>
      <c r="AR392">
        <v>75.06</v>
      </c>
      <c r="AS392">
        <v>802.31999999999994</v>
      </c>
    </row>
    <row r="393" spans="1:45" x14ac:dyDescent="0.25">
      <c r="A393" t="s">
        <v>988</v>
      </c>
      <c r="B393" t="s">
        <v>989</v>
      </c>
      <c r="C393" t="s">
        <v>127</v>
      </c>
      <c r="D393" t="s">
        <v>990</v>
      </c>
      <c r="E393" t="s">
        <v>120</v>
      </c>
      <c r="F393" t="s">
        <v>120</v>
      </c>
      <c r="G393" t="s">
        <v>120</v>
      </c>
      <c r="H393" t="s">
        <v>120</v>
      </c>
      <c r="I393" t="s">
        <v>120</v>
      </c>
      <c r="J393" t="s">
        <v>120</v>
      </c>
      <c r="K393" t="s">
        <v>120</v>
      </c>
      <c r="L393" t="s">
        <v>120</v>
      </c>
      <c r="M393" t="s">
        <v>120</v>
      </c>
      <c r="N393" t="s">
        <v>120</v>
      </c>
      <c r="O393" t="s">
        <v>120</v>
      </c>
      <c r="P393" t="s">
        <v>120</v>
      </c>
      <c r="Q393" t="s">
        <v>120</v>
      </c>
      <c r="R393" t="s">
        <v>120</v>
      </c>
      <c r="S393" t="s">
        <v>120</v>
      </c>
      <c r="T393" t="s">
        <v>120</v>
      </c>
      <c r="U393" t="s">
        <v>120</v>
      </c>
      <c r="V393" t="s">
        <v>120</v>
      </c>
      <c r="W393" t="s">
        <v>120</v>
      </c>
      <c r="X393" t="s">
        <v>120</v>
      </c>
      <c r="Y393" t="s">
        <v>120</v>
      </c>
      <c r="Z393" t="s">
        <v>120</v>
      </c>
      <c r="AA393" t="s">
        <v>120</v>
      </c>
      <c r="AB393" t="s">
        <v>120</v>
      </c>
      <c r="AC393" t="s">
        <v>120</v>
      </c>
      <c r="AD393" t="s">
        <v>120</v>
      </c>
      <c r="AE393" t="s">
        <v>120</v>
      </c>
      <c r="AF393" t="s">
        <v>120</v>
      </c>
      <c r="AG393" t="s">
        <v>120</v>
      </c>
      <c r="AH393" t="s">
        <v>120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33.43</v>
      </c>
      <c r="AP393">
        <v>0</v>
      </c>
      <c r="AQ393">
        <v>0</v>
      </c>
      <c r="AR393">
        <v>75.06</v>
      </c>
      <c r="AS393">
        <v>0</v>
      </c>
    </row>
    <row r="394" spans="1:45" x14ac:dyDescent="0.25">
      <c r="A394" t="s">
        <v>991</v>
      </c>
      <c r="B394" t="s">
        <v>992</v>
      </c>
      <c r="C394" t="s">
        <v>127</v>
      </c>
      <c r="D394" t="s">
        <v>990</v>
      </c>
      <c r="E394" t="s">
        <v>120</v>
      </c>
      <c r="F394" t="s">
        <v>120</v>
      </c>
      <c r="G394" t="s">
        <v>120</v>
      </c>
      <c r="H394" t="s">
        <v>120</v>
      </c>
      <c r="I394" t="s">
        <v>120</v>
      </c>
      <c r="J394" t="s">
        <v>120</v>
      </c>
      <c r="K394" t="s">
        <v>120</v>
      </c>
      <c r="L394" t="s">
        <v>120</v>
      </c>
      <c r="M394" t="s">
        <v>120</v>
      </c>
      <c r="N394" t="s">
        <v>120</v>
      </c>
      <c r="O394" t="s">
        <v>120</v>
      </c>
      <c r="P394" t="s">
        <v>120</v>
      </c>
      <c r="Q394" t="s">
        <v>120</v>
      </c>
      <c r="R394" t="s">
        <v>120</v>
      </c>
      <c r="S394" t="s">
        <v>120</v>
      </c>
      <c r="T394" t="s">
        <v>120</v>
      </c>
      <c r="U394" t="s">
        <v>120</v>
      </c>
      <c r="V394" t="s">
        <v>120</v>
      </c>
      <c r="W394" t="s">
        <v>120</v>
      </c>
      <c r="X394" t="s">
        <v>120</v>
      </c>
      <c r="Y394" t="s">
        <v>120</v>
      </c>
      <c r="Z394" t="s">
        <v>120</v>
      </c>
      <c r="AA394" t="s">
        <v>120</v>
      </c>
      <c r="AB394" t="s">
        <v>120</v>
      </c>
      <c r="AC394" t="s">
        <v>120</v>
      </c>
      <c r="AD394" t="s">
        <v>120</v>
      </c>
      <c r="AE394" t="s">
        <v>120</v>
      </c>
      <c r="AF394" t="s">
        <v>120</v>
      </c>
      <c r="AG394" t="s">
        <v>120</v>
      </c>
      <c r="AH394" t="s">
        <v>120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33.43</v>
      </c>
      <c r="AP394">
        <v>0</v>
      </c>
      <c r="AQ394">
        <v>0</v>
      </c>
      <c r="AR394">
        <v>75.06</v>
      </c>
      <c r="AS394">
        <v>0</v>
      </c>
    </row>
    <row r="395" spans="1:45" x14ac:dyDescent="0.25">
      <c r="A395" t="s">
        <v>993</v>
      </c>
      <c r="B395" t="s">
        <v>994</v>
      </c>
      <c r="C395" t="s">
        <v>147</v>
      </c>
      <c r="D395" t="s">
        <v>990</v>
      </c>
      <c r="E395" t="s">
        <v>120</v>
      </c>
      <c r="F395" t="s">
        <v>120</v>
      </c>
      <c r="G395" t="s">
        <v>120</v>
      </c>
      <c r="H395" t="s">
        <v>120</v>
      </c>
      <c r="I395" t="s">
        <v>120</v>
      </c>
      <c r="J395" t="s">
        <v>120</v>
      </c>
      <c r="K395" t="s">
        <v>120</v>
      </c>
      <c r="L395" t="s">
        <v>120</v>
      </c>
      <c r="M395" t="s">
        <v>120</v>
      </c>
      <c r="N395" t="s">
        <v>120</v>
      </c>
      <c r="O395" t="s">
        <v>120</v>
      </c>
      <c r="P395" t="s">
        <v>120</v>
      </c>
      <c r="Q395" t="s">
        <v>120</v>
      </c>
      <c r="R395" t="s">
        <v>120</v>
      </c>
      <c r="S395" t="s">
        <v>120</v>
      </c>
      <c r="T395" t="s">
        <v>120</v>
      </c>
      <c r="U395" t="s">
        <v>120</v>
      </c>
      <c r="V395" t="s">
        <v>120</v>
      </c>
      <c r="W395" t="s">
        <v>120</v>
      </c>
      <c r="X395" t="s">
        <v>120</v>
      </c>
      <c r="Y395" t="s">
        <v>120</v>
      </c>
      <c r="Z395" t="s">
        <v>120</v>
      </c>
      <c r="AA395" t="s">
        <v>120</v>
      </c>
      <c r="AB395" t="s">
        <v>120</v>
      </c>
      <c r="AC395" t="s">
        <v>120</v>
      </c>
      <c r="AD395" t="s">
        <v>120</v>
      </c>
      <c r="AE395" t="s">
        <v>120</v>
      </c>
      <c r="AF395" t="s">
        <v>120</v>
      </c>
      <c r="AG395" t="s">
        <v>120</v>
      </c>
      <c r="AH395" t="s">
        <v>120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31.55</v>
      </c>
      <c r="AP395">
        <v>0</v>
      </c>
      <c r="AQ395">
        <v>0</v>
      </c>
      <c r="AR395">
        <v>70.2</v>
      </c>
      <c r="AS395">
        <v>0</v>
      </c>
    </row>
    <row r="396" spans="1:45" x14ac:dyDescent="0.25">
      <c r="A396" t="s">
        <v>995</v>
      </c>
      <c r="B396" t="s">
        <v>996</v>
      </c>
      <c r="C396" t="s">
        <v>127</v>
      </c>
      <c r="D396" t="s">
        <v>990</v>
      </c>
      <c r="E396" t="s">
        <v>120</v>
      </c>
      <c r="F396" t="s">
        <v>120</v>
      </c>
      <c r="G396" t="s">
        <v>120</v>
      </c>
      <c r="H396" t="s">
        <v>120</v>
      </c>
      <c r="I396" t="s">
        <v>120</v>
      </c>
      <c r="J396" t="s">
        <v>120</v>
      </c>
      <c r="K396" t="s">
        <v>120</v>
      </c>
      <c r="L396" t="s">
        <v>120</v>
      </c>
      <c r="M396" t="s">
        <v>120</v>
      </c>
      <c r="N396" t="s">
        <v>120</v>
      </c>
      <c r="O396" t="s">
        <v>120</v>
      </c>
      <c r="P396" t="s">
        <v>120</v>
      </c>
      <c r="Q396" t="s">
        <v>120</v>
      </c>
      <c r="R396" t="s">
        <v>120</v>
      </c>
      <c r="S396" t="s">
        <v>120</v>
      </c>
      <c r="T396" t="s">
        <v>120</v>
      </c>
      <c r="U396" t="s">
        <v>120</v>
      </c>
      <c r="V396" t="s">
        <v>120</v>
      </c>
      <c r="W396" t="s">
        <v>120</v>
      </c>
      <c r="X396" t="s">
        <v>120</v>
      </c>
      <c r="Y396" t="s">
        <v>120</v>
      </c>
      <c r="Z396" t="s">
        <v>120</v>
      </c>
      <c r="AA396" t="s">
        <v>120</v>
      </c>
      <c r="AB396" t="s">
        <v>120</v>
      </c>
      <c r="AC396" t="s">
        <v>120</v>
      </c>
      <c r="AD396" t="s">
        <v>120</v>
      </c>
      <c r="AE396" t="s">
        <v>120</v>
      </c>
      <c r="AF396" t="s">
        <v>120</v>
      </c>
      <c r="AG396" t="s">
        <v>120</v>
      </c>
      <c r="AH396" t="s">
        <v>120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33.43</v>
      </c>
      <c r="AP396">
        <v>0</v>
      </c>
      <c r="AQ396">
        <v>0</v>
      </c>
      <c r="AR396">
        <v>75.06</v>
      </c>
      <c r="AS396">
        <v>0</v>
      </c>
    </row>
    <row r="397" spans="1:45" x14ac:dyDescent="0.25">
      <c r="A397" t="s">
        <v>997</v>
      </c>
      <c r="B397" t="s">
        <v>998</v>
      </c>
      <c r="C397" t="s">
        <v>127</v>
      </c>
      <c r="D397" t="s">
        <v>990</v>
      </c>
      <c r="E397" t="s">
        <v>120</v>
      </c>
      <c r="F397" t="s">
        <v>120</v>
      </c>
      <c r="G397" t="s">
        <v>120</v>
      </c>
      <c r="H397" t="s">
        <v>120</v>
      </c>
      <c r="I397" t="s">
        <v>120</v>
      </c>
      <c r="J397" t="s">
        <v>120</v>
      </c>
      <c r="K397" t="s">
        <v>120</v>
      </c>
      <c r="L397" t="s">
        <v>120</v>
      </c>
      <c r="M397" t="s">
        <v>120</v>
      </c>
      <c r="N397" t="s">
        <v>120</v>
      </c>
      <c r="O397" t="s">
        <v>120</v>
      </c>
      <c r="P397" t="s">
        <v>120</v>
      </c>
      <c r="Q397" t="s">
        <v>120</v>
      </c>
      <c r="R397" t="s">
        <v>120</v>
      </c>
      <c r="S397" t="s">
        <v>120</v>
      </c>
      <c r="T397" t="s">
        <v>120</v>
      </c>
      <c r="U397" t="s">
        <v>120</v>
      </c>
      <c r="V397" t="s">
        <v>120</v>
      </c>
      <c r="W397" t="s">
        <v>120</v>
      </c>
      <c r="X397" t="s">
        <v>120</v>
      </c>
      <c r="Y397" t="s">
        <v>120</v>
      </c>
      <c r="Z397" t="s">
        <v>120</v>
      </c>
      <c r="AA397" t="s">
        <v>120</v>
      </c>
      <c r="AB397" t="s">
        <v>120</v>
      </c>
      <c r="AC397" t="s">
        <v>120</v>
      </c>
      <c r="AD397" t="s">
        <v>120</v>
      </c>
      <c r="AE397" t="s">
        <v>120</v>
      </c>
      <c r="AF397" t="s">
        <v>120</v>
      </c>
      <c r="AG397" t="s">
        <v>120</v>
      </c>
      <c r="AH397" t="s">
        <v>120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33.43</v>
      </c>
      <c r="AP397">
        <v>0</v>
      </c>
      <c r="AQ397">
        <v>0</v>
      </c>
      <c r="AR397">
        <v>75.06</v>
      </c>
      <c r="AS397">
        <v>0</v>
      </c>
    </row>
    <row r="398" spans="1:45" x14ac:dyDescent="0.25">
      <c r="A398" t="s">
        <v>999</v>
      </c>
      <c r="B398" t="s">
        <v>1000</v>
      </c>
      <c r="C398" t="s">
        <v>127</v>
      </c>
      <c r="D398" t="s">
        <v>990</v>
      </c>
      <c r="E398" t="s">
        <v>120</v>
      </c>
      <c r="F398" t="s">
        <v>120</v>
      </c>
      <c r="G398" t="s">
        <v>120</v>
      </c>
      <c r="H398" t="s">
        <v>120</v>
      </c>
      <c r="I398" t="s">
        <v>120</v>
      </c>
      <c r="J398" t="s">
        <v>120</v>
      </c>
      <c r="K398" t="s">
        <v>120</v>
      </c>
      <c r="L398" t="s">
        <v>120</v>
      </c>
      <c r="M398" t="s">
        <v>120</v>
      </c>
      <c r="N398" t="s">
        <v>120</v>
      </c>
      <c r="O398" t="s">
        <v>120</v>
      </c>
      <c r="P398" t="s">
        <v>120</v>
      </c>
      <c r="Q398" t="s">
        <v>120</v>
      </c>
      <c r="R398" t="s">
        <v>120</v>
      </c>
      <c r="S398" t="s">
        <v>120</v>
      </c>
      <c r="T398" t="s">
        <v>120</v>
      </c>
      <c r="U398" t="s">
        <v>120</v>
      </c>
      <c r="V398" t="s">
        <v>120</v>
      </c>
      <c r="W398" t="s">
        <v>120</v>
      </c>
      <c r="X398" t="s">
        <v>120</v>
      </c>
      <c r="Y398" t="s">
        <v>120</v>
      </c>
      <c r="Z398" t="s">
        <v>120</v>
      </c>
      <c r="AA398" t="s">
        <v>120</v>
      </c>
      <c r="AB398" t="s">
        <v>120</v>
      </c>
      <c r="AC398" t="s">
        <v>120</v>
      </c>
      <c r="AD398" t="s">
        <v>120</v>
      </c>
      <c r="AE398" t="s">
        <v>120</v>
      </c>
      <c r="AF398" t="s">
        <v>120</v>
      </c>
      <c r="AG398" t="s">
        <v>120</v>
      </c>
      <c r="AH398" t="s">
        <v>120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33.43</v>
      </c>
      <c r="AP398">
        <v>0</v>
      </c>
      <c r="AQ398">
        <v>0</v>
      </c>
      <c r="AR398">
        <v>75.06</v>
      </c>
      <c r="AS398">
        <v>0</v>
      </c>
    </row>
    <row r="399" spans="1:45" x14ac:dyDescent="0.25">
      <c r="A399" t="s">
        <v>1001</v>
      </c>
      <c r="B399" t="s">
        <v>1002</v>
      </c>
      <c r="C399" t="s">
        <v>127</v>
      </c>
      <c r="D399" t="s">
        <v>990</v>
      </c>
      <c r="E399" t="s">
        <v>120</v>
      </c>
      <c r="F399" t="s">
        <v>120</v>
      </c>
      <c r="G399" t="s">
        <v>120</v>
      </c>
      <c r="H399" t="s">
        <v>120</v>
      </c>
      <c r="I399" t="s">
        <v>120</v>
      </c>
      <c r="J399" t="s">
        <v>120</v>
      </c>
      <c r="K399" t="s">
        <v>120</v>
      </c>
      <c r="L399" t="s">
        <v>120</v>
      </c>
      <c r="M399" t="s">
        <v>120</v>
      </c>
      <c r="N399" t="s">
        <v>120</v>
      </c>
      <c r="O399" t="s">
        <v>120</v>
      </c>
      <c r="P399" t="s">
        <v>120</v>
      </c>
      <c r="Q399" t="s">
        <v>120</v>
      </c>
      <c r="R399" t="s">
        <v>120</v>
      </c>
      <c r="S399" t="s">
        <v>120</v>
      </c>
      <c r="T399" t="s">
        <v>120</v>
      </c>
      <c r="U399" t="s">
        <v>120</v>
      </c>
      <c r="V399" t="s">
        <v>120</v>
      </c>
      <c r="W399" t="s">
        <v>120</v>
      </c>
      <c r="X399" t="s">
        <v>120</v>
      </c>
      <c r="Y399" t="s">
        <v>120</v>
      </c>
      <c r="Z399" t="s">
        <v>120</v>
      </c>
      <c r="AA399" t="s">
        <v>120</v>
      </c>
      <c r="AB399" t="s">
        <v>120</v>
      </c>
      <c r="AC399" t="s">
        <v>120</v>
      </c>
      <c r="AD399" t="s">
        <v>120</v>
      </c>
      <c r="AE399" t="s">
        <v>120</v>
      </c>
      <c r="AF399" t="s">
        <v>120</v>
      </c>
      <c r="AG399" t="s">
        <v>120</v>
      </c>
      <c r="AH399" t="s">
        <v>120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33.43</v>
      </c>
      <c r="AP399">
        <v>0</v>
      </c>
      <c r="AQ399">
        <v>0</v>
      </c>
      <c r="AR399">
        <v>75.06</v>
      </c>
      <c r="AS399">
        <v>0</v>
      </c>
    </row>
    <row r="400" spans="1:45" x14ac:dyDescent="0.25">
      <c r="A400" t="s">
        <v>1003</v>
      </c>
      <c r="B400" t="s">
        <v>1004</v>
      </c>
      <c r="C400" t="s">
        <v>127</v>
      </c>
      <c r="D400" t="s">
        <v>990</v>
      </c>
      <c r="E400" t="s">
        <v>120</v>
      </c>
      <c r="F400" t="s">
        <v>120</v>
      </c>
      <c r="G400" t="s">
        <v>120</v>
      </c>
      <c r="H400" t="s">
        <v>120</v>
      </c>
      <c r="I400" t="s">
        <v>120</v>
      </c>
      <c r="J400" t="s">
        <v>120</v>
      </c>
      <c r="K400" t="s">
        <v>120</v>
      </c>
      <c r="L400" t="s">
        <v>120</v>
      </c>
      <c r="M400" t="s">
        <v>120</v>
      </c>
      <c r="N400" t="s">
        <v>120</v>
      </c>
      <c r="O400" t="s">
        <v>120</v>
      </c>
      <c r="P400" t="s">
        <v>120</v>
      </c>
      <c r="Q400" t="s">
        <v>120</v>
      </c>
      <c r="R400" t="s">
        <v>120</v>
      </c>
      <c r="S400" t="s">
        <v>120</v>
      </c>
      <c r="T400" t="s">
        <v>120</v>
      </c>
      <c r="U400" t="s">
        <v>120</v>
      </c>
      <c r="V400" t="s">
        <v>120</v>
      </c>
      <c r="W400" t="s">
        <v>120</v>
      </c>
      <c r="X400" t="s">
        <v>120</v>
      </c>
      <c r="Y400" t="s">
        <v>120</v>
      </c>
      <c r="Z400" t="s">
        <v>120</v>
      </c>
      <c r="AA400" t="s">
        <v>120</v>
      </c>
      <c r="AB400" t="s">
        <v>120</v>
      </c>
      <c r="AC400" t="s">
        <v>120</v>
      </c>
      <c r="AD400" t="s">
        <v>120</v>
      </c>
      <c r="AE400" t="s">
        <v>120</v>
      </c>
      <c r="AF400" t="s">
        <v>120</v>
      </c>
      <c r="AG400" t="s">
        <v>120</v>
      </c>
      <c r="AH400" t="s">
        <v>120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33.43</v>
      </c>
      <c r="AP400">
        <v>0</v>
      </c>
      <c r="AQ400">
        <v>0</v>
      </c>
      <c r="AR400">
        <v>75.06</v>
      </c>
      <c r="AS400">
        <v>0</v>
      </c>
    </row>
    <row r="401" spans="1:45" x14ac:dyDescent="0.25">
      <c r="A401" t="s">
        <v>1005</v>
      </c>
      <c r="B401" t="s">
        <v>1006</v>
      </c>
      <c r="C401" t="s">
        <v>127</v>
      </c>
      <c r="D401" t="s">
        <v>990</v>
      </c>
      <c r="E401" t="s">
        <v>120</v>
      </c>
      <c r="F401" t="s">
        <v>120</v>
      </c>
      <c r="G401" t="s">
        <v>120</v>
      </c>
      <c r="H401" t="s">
        <v>120</v>
      </c>
      <c r="I401" t="s">
        <v>120</v>
      </c>
      <c r="J401" t="s">
        <v>120</v>
      </c>
      <c r="K401" t="s">
        <v>120</v>
      </c>
      <c r="L401" t="s">
        <v>120</v>
      </c>
      <c r="M401" t="s">
        <v>120</v>
      </c>
      <c r="N401" t="s">
        <v>120</v>
      </c>
      <c r="O401" t="s">
        <v>120</v>
      </c>
      <c r="P401" t="s">
        <v>120</v>
      </c>
      <c r="Q401" t="s">
        <v>120</v>
      </c>
      <c r="R401" t="s">
        <v>120</v>
      </c>
      <c r="S401" t="s">
        <v>120</v>
      </c>
      <c r="T401" t="s">
        <v>120</v>
      </c>
      <c r="U401" t="s">
        <v>120</v>
      </c>
      <c r="V401" t="s">
        <v>120</v>
      </c>
      <c r="W401" t="s">
        <v>120</v>
      </c>
      <c r="X401" t="s">
        <v>120</v>
      </c>
      <c r="Y401" t="s">
        <v>120</v>
      </c>
      <c r="Z401" t="s">
        <v>120</v>
      </c>
      <c r="AA401" t="s">
        <v>120</v>
      </c>
      <c r="AB401" t="s">
        <v>120</v>
      </c>
      <c r="AC401" t="s">
        <v>120</v>
      </c>
      <c r="AD401" t="s">
        <v>120</v>
      </c>
      <c r="AE401" t="s">
        <v>120</v>
      </c>
      <c r="AF401" t="s">
        <v>120</v>
      </c>
      <c r="AG401" t="s">
        <v>120</v>
      </c>
      <c r="AH401" t="s">
        <v>120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33.43</v>
      </c>
      <c r="AP401">
        <v>0</v>
      </c>
      <c r="AQ401">
        <v>0</v>
      </c>
      <c r="AR401">
        <v>75.06</v>
      </c>
      <c r="AS401">
        <v>0</v>
      </c>
    </row>
    <row r="402" spans="1:45" x14ac:dyDescent="0.25">
      <c r="A402" t="s">
        <v>1007</v>
      </c>
      <c r="B402" t="s">
        <v>1008</v>
      </c>
      <c r="C402" t="s">
        <v>127</v>
      </c>
      <c r="D402" t="s">
        <v>990</v>
      </c>
      <c r="E402" t="s">
        <v>120</v>
      </c>
      <c r="F402" t="s">
        <v>120</v>
      </c>
      <c r="G402" t="s">
        <v>120</v>
      </c>
      <c r="H402" t="s">
        <v>120</v>
      </c>
      <c r="I402" t="s">
        <v>120</v>
      </c>
      <c r="J402" t="s">
        <v>120</v>
      </c>
      <c r="K402" t="s">
        <v>120</v>
      </c>
      <c r="L402" t="s">
        <v>120</v>
      </c>
      <c r="M402" t="s">
        <v>120</v>
      </c>
      <c r="N402" t="s">
        <v>120</v>
      </c>
      <c r="O402" t="s">
        <v>120</v>
      </c>
      <c r="P402" t="s">
        <v>120</v>
      </c>
      <c r="Q402" t="s">
        <v>120</v>
      </c>
      <c r="R402" t="s">
        <v>120</v>
      </c>
      <c r="S402" t="s">
        <v>120</v>
      </c>
      <c r="T402" t="s">
        <v>120</v>
      </c>
      <c r="U402" t="s">
        <v>120</v>
      </c>
      <c r="V402" t="s">
        <v>120</v>
      </c>
      <c r="W402" t="s">
        <v>120</v>
      </c>
      <c r="X402" t="s">
        <v>120</v>
      </c>
      <c r="Y402" t="s">
        <v>120</v>
      </c>
      <c r="Z402" t="s">
        <v>120</v>
      </c>
      <c r="AA402" t="s">
        <v>120</v>
      </c>
      <c r="AB402" t="s">
        <v>120</v>
      </c>
      <c r="AC402" t="s">
        <v>120</v>
      </c>
      <c r="AD402" t="s">
        <v>120</v>
      </c>
      <c r="AE402" t="s">
        <v>120</v>
      </c>
      <c r="AF402" t="s">
        <v>120</v>
      </c>
      <c r="AG402" t="s">
        <v>120</v>
      </c>
      <c r="AH402" t="s">
        <v>120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30.13</v>
      </c>
      <c r="AP402">
        <v>0</v>
      </c>
      <c r="AQ402">
        <v>0</v>
      </c>
      <c r="AR402">
        <v>75.06</v>
      </c>
      <c r="AS402">
        <v>0</v>
      </c>
    </row>
    <row r="403" spans="1:45" x14ac:dyDescent="0.25">
      <c r="A403" t="s">
        <v>1009</v>
      </c>
      <c r="B403" t="s">
        <v>1010</v>
      </c>
      <c r="C403" t="s">
        <v>127</v>
      </c>
      <c r="D403" t="s">
        <v>990</v>
      </c>
      <c r="E403" t="s">
        <v>120</v>
      </c>
      <c r="F403" t="s">
        <v>120</v>
      </c>
      <c r="G403" t="s">
        <v>120</v>
      </c>
      <c r="H403" t="s">
        <v>120</v>
      </c>
      <c r="I403" t="s">
        <v>120</v>
      </c>
      <c r="J403" t="s">
        <v>120</v>
      </c>
      <c r="K403" t="s">
        <v>120</v>
      </c>
      <c r="L403" t="s">
        <v>120</v>
      </c>
      <c r="M403" t="s">
        <v>120</v>
      </c>
      <c r="N403" t="s">
        <v>120</v>
      </c>
      <c r="O403" t="s">
        <v>120</v>
      </c>
      <c r="P403" t="s">
        <v>120</v>
      </c>
      <c r="Q403" t="s">
        <v>120</v>
      </c>
      <c r="R403" t="s">
        <v>120</v>
      </c>
      <c r="S403" t="s">
        <v>120</v>
      </c>
      <c r="T403" t="s">
        <v>120</v>
      </c>
      <c r="U403" t="s">
        <v>120</v>
      </c>
      <c r="V403" t="s">
        <v>120</v>
      </c>
      <c r="W403" t="s">
        <v>120</v>
      </c>
      <c r="X403" t="s">
        <v>120</v>
      </c>
      <c r="Y403" t="s">
        <v>120</v>
      </c>
      <c r="Z403" t="s">
        <v>120</v>
      </c>
      <c r="AA403" t="s">
        <v>120</v>
      </c>
      <c r="AB403" t="s">
        <v>120</v>
      </c>
      <c r="AC403" t="s">
        <v>120</v>
      </c>
      <c r="AD403" t="s">
        <v>120</v>
      </c>
      <c r="AE403" t="s">
        <v>120</v>
      </c>
      <c r="AF403" t="s">
        <v>120</v>
      </c>
      <c r="AG403" t="s">
        <v>120</v>
      </c>
      <c r="AH403" t="s">
        <v>120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33.43</v>
      </c>
      <c r="AP403">
        <v>0</v>
      </c>
      <c r="AQ403">
        <v>0</v>
      </c>
      <c r="AR403">
        <v>75.06</v>
      </c>
      <c r="AS403">
        <v>0</v>
      </c>
    </row>
    <row r="404" spans="1:45" x14ac:dyDescent="0.25">
      <c r="A404" t="s">
        <v>1011</v>
      </c>
      <c r="B404" t="s">
        <v>1012</v>
      </c>
      <c r="C404" t="s">
        <v>127</v>
      </c>
      <c r="D404" t="s">
        <v>990</v>
      </c>
      <c r="E404" t="s">
        <v>120</v>
      </c>
      <c r="F404" t="s">
        <v>120</v>
      </c>
      <c r="G404" t="s">
        <v>120</v>
      </c>
      <c r="H404" t="s">
        <v>120</v>
      </c>
      <c r="I404" t="s">
        <v>120</v>
      </c>
      <c r="J404" t="s">
        <v>120</v>
      </c>
      <c r="K404" t="s">
        <v>120</v>
      </c>
      <c r="L404" t="s">
        <v>120</v>
      </c>
      <c r="M404" t="s">
        <v>120</v>
      </c>
      <c r="N404" t="s">
        <v>120</v>
      </c>
      <c r="O404" t="s">
        <v>120</v>
      </c>
      <c r="P404" t="s">
        <v>120</v>
      </c>
      <c r="Q404" t="s">
        <v>120</v>
      </c>
      <c r="R404" t="s">
        <v>120</v>
      </c>
      <c r="S404" t="s">
        <v>120</v>
      </c>
      <c r="T404" t="s">
        <v>120</v>
      </c>
      <c r="U404" t="s">
        <v>120</v>
      </c>
      <c r="V404" t="s">
        <v>120</v>
      </c>
      <c r="W404" t="s">
        <v>120</v>
      </c>
      <c r="X404" t="s">
        <v>120</v>
      </c>
      <c r="Y404" t="s">
        <v>120</v>
      </c>
      <c r="Z404" t="s">
        <v>120</v>
      </c>
      <c r="AA404" t="s">
        <v>120</v>
      </c>
      <c r="AB404" t="s">
        <v>120</v>
      </c>
      <c r="AC404" t="s">
        <v>120</v>
      </c>
      <c r="AD404" t="s">
        <v>120</v>
      </c>
      <c r="AE404" t="s">
        <v>120</v>
      </c>
      <c r="AF404" t="s">
        <v>120</v>
      </c>
      <c r="AG404" t="s">
        <v>120</v>
      </c>
      <c r="AH404" t="s">
        <v>120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33.43</v>
      </c>
      <c r="AP404">
        <v>0</v>
      </c>
      <c r="AQ404">
        <v>0</v>
      </c>
      <c r="AR404">
        <v>75.06</v>
      </c>
      <c r="AS404">
        <v>0</v>
      </c>
    </row>
    <row r="405" spans="1:45" x14ac:dyDescent="0.25">
      <c r="A405" t="s">
        <v>1013</v>
      </c>
      <c r="B405" t="s">
        <v>1014</v>
      </c>
      <c r="C405" t="s">
        <v>127</v>
      </c>
      <c r="D405" t="s">
        <v>990</v>
      </c>
      <c r="E405" t="s">
        <v>120</v>
      </c>
      <c r="F405" t="s">
        <v>120</v>
      </c>
      <c r="G405" t="s">
        <v>120</v>
      </c>
      <c r="H405" t="s">
        <v>120</v>
      </c>
      <c r="I405" t="s">
        <v>120</v>
      </c>
      <c r="J405" t="s">
        <v>120</v>
      </c>
      <c r="K405" t="s">
        <v>120</v>
      </c>
      <c r="L405" t="s">
        <v>120</v>
      </c>
      <c r="M405" t="s">
        <v>120</v>
      </c>
      <c r="N405" t="s">
        <v>120</v>
      </c>
      <c r="O405" t="s">
        <v>120</v>
      </c>
      <c r="P405" t="s">
        <v>120</v>
      </c>
      <c r="Q405" t="s">
        <v>120</v>
      </c>
      <c r="R405" t="s">
        <v>120</v>
      </c>
      <c r="S405" t="s">
        <v>120</v>
      </c>
      <c r="T405" t="s">
        <v>120</v>
      </c>
      <c r="U405" t="s">
        <v>120</v>
      </c>
      <c r="V405" t="s">
        <v>120</v>
      </c>
      <c r="W405" t="s">
        <v>120</v>
      </c>
      <c r="X405" t="s">
        <v>120</v>
      </c>
      <c r="Y405" t="s">
        <v>120</v>
      </c>
      <c r="Z405" t="s">
        <v>120</v>
      </c>
      <c r="AA405" t="s">
        <v>120</v>
      </c>
      <c r="AB405" t="s">
        <v>120</v>
      </c>
      <c r="AC405" t="s">
        <v>120</v>
      </c>
      <c r="AD405" t="s">
        <v>120</v>
      </c>
      <c r="AE405" t="s">
        <v>120</v>
      </c>
      <c r="AF405" t="s">
        <v>120</v>
      </c>
      <c r="AG405" t="s">
        <v>120</v>
      </c>
      <c r="AH405" t="s">
        <v>120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33.43</v>
      </c>
      <c r="AP405">
        <v>0</v>
      </c>
      <c r="AQ405">
        <v>0</v>
      </c>
      <c r="AR405">
        <v>75.06</v>
      </c>
      <c r="AS405">
        <v>0</v>
      </c>
    </row>
    <row r="406" spans="1:45" x14ac:dyDescent="0.25">
      <c r="A406" t="s">
        <v>1015</v>
      </c>
      <c r="B406" t="s">
        <v>1016</v>
      </c>
      <c r="C406" t="s">
        <v>127</v>
      </c>
      <c r="D406" t="s">
        <v>990</v>
      </c>
      <c r="E406" t="s">
        <v>120</v>
      </c>
      <c r="F406" t="s">
        <v>120</v>
      </c>
      <c r="G406" t="s">
        <v>120</v>
      </c>
      <c r="H406" t="s">
        <v>120</v>
      </c>
      <c r="I406" t="s">
        <v>120</v>
      </c>
      <c r="J406" t="s">
        <v>120</v>
      </c>
      <c r="K406" t="s">
        <v>120</v>
      </c>
      <c r="L406" t="s">
        <v>120</v>
      </c>
      <c r="M406" t="s">
        <v>120</v>
      </c>
      <c r="N406" t="s">
        <v>120</v>
      </c>
      <c r="O406" t="s">
        <v>120</v>
      </c>
      <c r="P406" t="s">
        <v>120</v>
      </c>
      <c r="Q406" t="s">
        <v>120</v>
      </c>
      <c r="R406" t="s">
        <v>120</v>
      </c>
      <c r="S406" t="s">
        <v>120</v>
      </c>
      <c r="T406" t="s">
        <v>120</v>
      </c>
      <c r="U406" t="s">
        <v>120</v>
      </c>
      <c r="V406" t="s">
        <v>120</v>
      </c>
      <c r="W406" t="s">
        <v>120</v>
      </c>
      <c r="X406" t="s">
        <v>120</v>
      </c>
      <c r="Y406" t="s">
        <v>120</v>
      </c>
      <c r="Z406" t="s">
        <v>120</v>
      </c>
      <c r="AA406" t="s">
        <v>120</v>
      </c>
      <c r="AB406" t="s">
        <v>120</v>
      </c>
      <c r="AC406" t="s">
        <v>120</v>
      </c>
      <c r="AD406" t="s">
        <v>120</v>
      </c>
      <c r="AE406" t="s">
        <v>120</v>
      </c>
      <c r="AF406" t="s">
        <v>120</v>
      </c>
      <c r="AG406" t="s">
        <v>120</v>
      </c>
      <c r="AH406" t="s">
        <v>120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33.43</v>
      </c>
      <c r="AP406">
        <v>0</v>
      </c>
      <c r="AQ406">
        <v>0</v>
      </c>
      <c r="AR406">
        <v>75.06</v>
      </c>
      <c r="AS406">
        <v>0</v>
      </c>
    </row>
    <row r="407" spans="1:45" x14ac:dyDescent="0.25">
      <c r="A407" t="s">
        <v>1017</v>
      </c>
      <c r="B407" t="s">
        <v>1018</v>
      </c>
      <c r="C407" t="s">
        <v>127</v>
      </c>
      <c r="D407" t="s">
        <v>990</v>
      </c>
      <c r="E407" t="s">
        <v>120</v>
      </c>
      <c r="F407" t="s">
        <v>120</v>
      </c>
      <c r="G407" t="s">
        <v>120</v>
      </c>
      <c r="H407" t="s">
        <v>120</v>
      </c>
      <c r="I407" t="s">
        <v>120</v>
      </c>
      <c r="J407" t="s">
        <v>120</v>
      </c>
      <c r="K407" t="s">
        <v>120</v>
      </c>
      <c r="L407" t="s">
        <v>120</v>
      </c>
      <c r="M407" t="s">
        <v>120</v>
      </c>
      <c r="N407" t="s">
        <v>120</v>
      </c>
      <c r="O407" t="s">
        <v>120</v>
      </c>
      <c r="P407" t="s">
        <v>120</v>
      </c>
      <c r="Q407" t="s">
        <v>120</v>
      </c>
      <c r="R407" t="s">
        <v>120</v>
      </c>
      <c r="S407" t="s">
        <v>120</v>
      </c>
      <c r="T407" t="s">
        <v>120</v>
      </c>
      <c r="U407" t="s">
        <v>120</v>
      </c>
      <c r="V407" t="s">
        <v>120</v>
      </c>
      <c r="W407" t="s">
        <v>120</v>
      </c>
      <c r="X407" t="s">
        <v>120</v>
      </c>
      <c r="Y407" t="s">
        <v>120</v>
      </c>
      <c r="Z407" t="s">
        <v>120</v>
      </c>
      <c r="AA407" t="s">
        <v>120</v>
      </c>
      <c r="AB407" t="s">
        <v>120</v>
      </c>
      <c r="AC407" t="s">
        <v>120</v>
      </c>
      <c r="AD407" t="s">
        <v>120</v>
      </c>
      <c r="AE407" t="s">
        <v>120</v>
      </c>
      <c r="AF407" t="s">
        <v>120</v>
      </c>
      <c r="AG407" t="s">
        <v>120</v>
      </c>
      <c r="AH407" t="s">
        <v>120</v>
      </c>
      <c r="AJ407">
        <v>40</v>
      </c>
      <c r="AK407">
        <v>40</v>
      </c>
      <c r="AL407">
        <v>0</v>
      </c>
      <c r="AM407">
        <v>0</v>
      </c>
      <c r="AN407">
        <v>0</v>
      </c>
      <c r="AO407">
        <v>33.43</v>
      </c>
      <c r="AP407">
        <v>40</v>
      </c>
      <c r="AQ407">
        <v>0</v>
      </c>
      <c r="AR407">
        <v>75.06</v>
      </c>
      <c r="AS407">
        <v>2674.4</v>
      </c>
    </row>
    <row r="408" spans="1:45" x14ac:dyDescent="0.25">
      <c r="A408" t="s">
        <v>1019</v>
      </c>
      <c r="B408" t="s">
        <v>1020</v>
      </c>
      <c r="C408" t="s">
        <v>127</v>
      </c>
      <c r="D408" t="s">
        <v>990</v>
      </c>
      <c r="E408" t="s">
        <v>120</v>
      </c>
      <c r="F408" t="s">
        <v>120</v>
      </c>
      <c r="G408" t="s">
        <v>120</v>
      </c>
      <c r="H408" t="s">
        <v>120</v>
      </c>
      <c r="I408" t="s">
        <v>120</v>
      </c>
      <c r="J408" t="s">
        <v>120</v>
      </c>
      <c r="K408" t="s">
        <v>120</v>
      </c>
      <c r="L408" t="s">
        <v>120</v>
      </c>
      <c r="M408" t="s">
        <v>120</v>
      </c>
      <c r="N408" t="s">
        <v>120</v>
      </c>
      <c r="O408" t="s">
        <v>120</v>
      </c>
      <c r="P408" t="s">
        <v>120</v>
      </c>
      <c r="Q408" t="s">
        <v>120</v>
      </c>
      <c r="R408" t="s">
        <v>120</v>
      </c>
      <c r="S408" t="s">
        <v>120</v>
      </c>
      <c r="T408" t="s">
        <v>120</v>
      </c>
      <c r="U408" t="s">
        <v>120</v>
      </c>
      <c r="V408" t="s">
        <v>120</v>
      </c>
      <c r="W408" t="s">
        <v>120</v>
      </c>
      <c r="X408" t="s">
        <v>120</v>
      </c>
      <c r="Y408" t="s">
        <v>120</v>
      </c>
      <c r="Z408" t="s">
        <v>120</v>
      </c>
      <c r="AA408" t="s">
        <v>120</v>
      </c>
      <c r="AB408" t="s">
        <v>120</v>
      </c>
      <c r="AC408" t="s">
        <v>120</v>
      </c>
      <c r="AD408" t="s">
        <v>120</v>
      </c>
      <c r="AE408" t="s">
        <v>120</v>
      </c>
      <c r="AF408" t="s">
        <v>120</v>
      </c>
      <c r="AG408" t="s">
        <v>120</v>
      </c>
      <c r="AH408" t="s">
        <v>120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33.43</v>
      </c>
      <c r="AP408">
        <v>0</v>
      </c>
      <c r="AQ408">
        <v>0</v>
      </c>
      <c r="AR408">
        <v>75.06</v>
      </c>
      <c r="AS408">
        <v>0</v>
      </c>
    </row>
    <row r="409" spans="1:45" x14ac:dyDescent="0.25">
      <c r="A409" t="s">
        <v>1021</v>
      </c>
      <c r="B409" t="s">
        <v>1022</v>
      </c>
      <c r="C409" t="s">
        <v>127</v>
      </c>
      <c r="D409" t="s">
        <v>990</v>
      </c>
      <c r="E409" t="s">
        <v>120</v>
      </c>
      <c r="F409" t="s">
        <v>120</v>
      </c>
      <c r="G409" t="s">
        <v>120</v>
      </c>
      <c r="H409" t="s">
        <v>120</v>
      </c>
      <c r="I409" t="s">
        <v>120</v>
      </c>
      <c r="J409" t="s">
        <v>120</v>
      </c>
      <c r="K409" t="s">
        <v>120</v>
      </c>
      <c r="L409" t="s">
        <v>120</v>
      </c>
      <c r="M409" t="s">
        <v>120</v>
      </c>
      <c r="N409" t="s">
        <v>120</v>
      </c>
      <c r="O409" t="s">
        <v>120</v>
      </c>
      <c r="P409" t="s">
        <v>120</v>
      </c>
      <c r="Q409" t="s">
        <v>120</v>
      </c>
      <c r="R409" t="s">
        <v>120</v>
      </c>
      <c r="S409" t="s">
        <v>120</v>
      </c>
      <c r="T409" t="s">
        <v>120</v>
      </c>
      <c r="U409" t="s">
        <v>120</v>
      </c>
      <c r="V409" t="s">
        <v>120</v>
      </c>
      <c r="W409" t="s">
        <v>120</v>
      </c>
      <c r="X409" t="s">
        <v>120</v>
      </c>
      <c r="Y409" t="s">
        <v>120</v>
      </c>
      <c r="Z409" t="s">
        <v>120</v>
      </c>
      <c r="AA409" t="s">
        <v>120</v>
      </c>
      <c r="AB409" t="s">
        <v>120</v>
      </c>
      <c r="AC409" t="s">
        <v>120</v>
      </c>
      <c r="AD409" t="s">
        <v>120</v>
      </c>
      <c r="AE409" t="s">
        <v>120</v>
      </c>
      <c r="AF409" t="s">
        <v>120</v>
      </c>
      <c r="AG409" t="s">
        <v>120</v>
      </c>
      <c r="AH409" t="s">
        <v>120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33.43</v>
      </c>
      <c r="AP409">
        <v>0</v>
      </c>
      <c r="AQ409">
        <v>0</v>
      </c>
      <c r="AR409">
        <v>75.06</v>
      </c>
      <c r="AS409">
        <v>0</v>
      </c>
    </row>
    <row r="410" spans="1:45" x14ac:dyDescent="0.25">
      <c r="A410" t="s">
        <v>1023</v>
      </c>
      <c r="B410" t="s">
        <v>1024</v>
      </c>
      <c r="C410" t="s">
        <v>127</v>
      </c>
      <c r="D410" t="s">
        <v>990</v>
      </c>
      <c r="E410" t="s">
        <v>120</v>
      </c>
      <c r="F410" t="s">
        <v>120</v>
      </c>
      <c r="G410" t="s">
        <v>120</v>
      </c>
      <c r="H410" t="s">
        <v>120</v>
      </c>
      <c r="I410" t="s">
        <v>120</v>
      </c>
      <c r="J410" t="s">
        <v>120</v>
      </c>
      <c r="K410" t="s">
        <v>120</v>
      </c>
      <c r="L410" t="s">
        <v>120</v>
      </c>
      <c r="M410" t="s">
        <v>120</v>
      </c>
      <c r="N410" t="s">
        <v>120</v>
      </c>
      <c r="O410" t="s">
        <v>120</v>
      </c>
      <c r="P410" t="s">
        <v>120</v>
      </c>
      <c r="Q410" t="s">
        <v>120</v>
      </c>
      <c r="R410" t="s">
        <v>120</v>
      </c>
      <c r="S410" t="s">
        <v>120</v>
      </c>
      <c r="T410" t="s">
        <v>120</v>
      </c>
      <c r="U410" t="s">
        <v>120</v>
      </c>
      <c r="V410" t="s">
        <v>120</v>
      </c>
      <c r="W410" t="s">
        <v>120</v>
      </c>
      <c r="X410" t="s">
        <v>120</v>
      </c>
      <c r="Y410" t="s">
        <v>120</v>
      </c>
      <c r="Z410" t="s">
        <v>120</v>
      </c>
      <c r="AA410" t="s">
        <v>120</v>
      </c>
      <c r="AB410" t="s">
        <v>120</v>
      </c>
      <c r="AC410" t="s">
        <v>120</v>
      </c>
      <c r="AD410" t="s">
        <v>120</v>
      </c>
      <c r="AE410" t="s">
        <v>120</v>
      </c>
      <c r="AF410" t="s">
        <v>120</v>
      </c>
      <c r="AG410" t="s">
        <v>120</v>
      </c>
      <c r="AH410" t="s">
        <v>120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33.43</v>
      </c>
      <c r="AP410">
        <v>0</v>
      </c>
      <c r="AQ410">
        <v>0</v>
      </c>
      <c r="AR410">
        <v>75.06</v>
      </c>
      <c r="AS410">
        <v>0</v>
      </c>
    </row>
    <row r="411" spans="1:45" x14ac:dyDescent="0.25">
      <c r="A411" t="s">
        <v>1025</v>
      </c>
      <c r="B411" t="s">
        <v>1026</v>
      </c>
      <c r="C411" t="s">
        <v>127</v>
      </c>
      <c r="D411" t="s">
        <v>990</v>
      </c>
      <c r="E411" t="s">
        <v>120</v>
      </c>
      <c r="F411" t="s">
        <v>120</v>
      </c>
      <c r="G411" t="s">
        <v>120</v>
      </c>
      <c r="H411" t="s">
        <v>120</v>
      </c>
      <c r="I411" t="s">
        <v>120</v>
      </c>
      <c r="J411" t="s">
        <v>120</v>
      </c>
      <c r="K411" t="s">
        <v>120</v>
      </c>
      <c r="L411" t="s">
        <v>120</v>
      </c>
      <c r="M411" t="s">
        <v>120</v>
      </c>
      <c r="N411" t="s">
        <v>120</v>
      </c>
      <c r="O411" t="s">
        <v>120</v>
      </c>
      <c r="P411" t="s">
        <v>120</v>
      </c>
      <c r="Q411" t="s">
        <v>120</v>
      </c>
      <c r="R411" t="s">
        <v>120</v>
      </c>
      <c r="S411" t="s">
        <v>120</v>
      </c>
      <c r="T411" t="s">
        <v>120</v>
      </c>
      <c r="U411" t="s">
        <v>120</v>
      </c>
      <c r="V411" t="s">
        <v>120</v>
      </c>
      <c r="W411" t="s">
        <v>120</v>
      </c>
      <c r="X411" t="s">
        <v>120</v>
      </c>
      <c r="Y411" t="s">
        <v>120</v>
      </c>
      <c r="Z411" t="s">
        <v>120</v>
      </c>
      <c r="AA411" t="s">
        <v>120</v>
      </c>
      <c r="AB411" t="s">
        <v>120</v>
      </c>
      <c r="AC411" t="s">
        <v>120</v>
      </c>
      <c r="AD411" t="s">
        <v>120</v>
      </c>
      <c r="AE411" t="s">
        <v>120</v>
      </c>
      <c r="AF411" t="s">
        <v>120</v>
      </c>
      <c r="AG411" t="s">
        <v>120</v>
      </c>
      <c r="AH411" t="s">
        <v>120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33.43</v>
      </c>
      <c r="AP411">
        <v>0</v>
      </c>
      <c r="AQ411">
        <v>0</v>
      </c>
      <c r="AR411">
        <v>75.06</v>
      </c>
      <c r="AS411">
        <v>0</v>
      </c>
    </row>
    <row r="412" spans="1:45" x14ac:dyDescent="0.25">
      <c r="A412" t="s">
        <v>1027</v>
      </c>
      <c r="B412" t="s">
        <v>1028</v>
      </c>
      <c r="C412" t="s">
        <v>127</v>
      </c>
      <c r="D412" t="s">
        <v>990</v>
      </c>
      <c r="E412" t="s">
        <v>120</v>
      </c>
      <c r="F412" t="s">
        <v>120</v>
      </c>
      <c r="G412" t="s">
        <v>120</v>
      </c>
      <c r="H412" t="s">
        <v>120</v>
      </c>
      <c r="I412" t="s">
        <v>120</v>
      </c>
      <c r="J412" t="s">
        <v>120</v>
      </c>
      <c r="K412" t="s">
        <v>120</v>
      </c>
      <c r="L412" t="s">
        <v>120</v>
      </c>
      <c r="M412" t="s">
        <v>120</v>
      </c>
      <c r="N412" t="s">
        <v>120</v>
      </c>
      <c r="O412" t="s">
        <v>120</v>
      </c>
      <c r="P412" t="s">
        <v>120</v>
      </c>
      <c r="Q412" t="s">
        <v>120</v>
      </c>
      <c r="R412" t="s">
        <v>120</v>
      </c>
      <c r="S412" t="s">
        <v>120</v>
      </c>
      <c r="T412" t="s">
        <v>120</v>
      </c>
      <c r="U412" t="s">
        <v>120</v>
      </c>
      <c r="V412" t="s">
        <v>120</v>
      </c>
      <c r="W412" t="s">
        <v>120</v>
      </c>
      <c r="X412" t="s">
        <v>120</v>
      </c>
      <c r="Y412" t="s">
        <v>120</v>
      </c>
      <c r="Z412" t="s">
        <v>120</v>
      </c>
      <c r="AA412" t="s">
        <v>120</v>
      </c>
      <c r="AB412" t="s">
        <v>120</v>
      </c>
      <c r="AC412" t="s">
        <v>120</v>
      </c>
      <c r="AD412" t="s">
        <v>120</v>
      </c>
      <c r="AE412" t="s">
        <v>120</v>
      </c>
      <c r="AF412" t="s">
        <v>120</v>
      </c>
      <c r="AG412" t="s">
        <v>120</v>
      </c>
      <c r="AH412" t="s">
        <v>120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33.43</v>
      </c>
      <c r="AP412">
        <v>0</v>
      </c>
      <c r="AQ412">
        <v>0</v>
      </c>
      <c r="AR412">
        <v>75.06</v>
      </c>
      <c r="AS412">
        <v>0</v>
      </c>
    </row>
    <row r="413" spans="1:45" x14ac:dyDescent="0.25">
      <c r="A413" t="s">
        <v>1029</v>
      </c>
      <c r="B413" t="s">
        <v>1030</v>
      </c>
      <c r="C413" t="s">
        <v>147</v>
      </c>
      <c r="D413" t="s">
        <v>990</v>
      </c>
      <c r="E413" t="s">
        <v>120</v>
      </c>
      <c r="F413" t="s">
        <v>120</v>
      </c>
      <c r="G413" t="s">
        <v>120</v>
      </c>
      <c r="H413" t="s">
        <v>120</v>
      </c>
      <c r="I413" t="s">
        <v>120</v>
      </c>
      <c r="J413" t="s">
        <v>120</v>
      </c>
      <c r="K413" t="s">
        <v>120</v>
      </c>
      <c r="L413" t="s">
        <v>120</v>
      </c>
      <c r="M413" t="s">
        <v>120</v>
      </c>
      <c r="N413" t="s">
        <v>120</v>
      </c>
      <c r="O413" t="s">
        <v>120</v>
      </c>
      <c r="P413" t="s">
        <v>120</v>
      </c>
      <c r="Q413" t="s">
        <v>120</v>
      </c>
      <c r="R413" t="s">
        <v>120</v>
      </c>
      <c r="S413" t="s">
        <v>120</v>
      </c>
      <c r="T413" t="s">
        <v>120</v>
      </c>
      <c r="U413" t="s">
        <v>120</v>
      </c>
      <c r="V413" t="s">
        <v>120</v>
      </c>
      <c r="W413" t="s">
        <v>120</v>
      </c>
      <c r="X413" t="s">
        <v>120</v>
      </c>
      <c r="Y413" t="s">
        <v>120</v>
      </c>
      <c r="Z413" t="s">
        <v>120</v>
      </c>
      <c r="AA413" t="s">
        <v>120</v>
      </c>
      <c r="AB413" t="s">
        <v>120</v>
      </c>
      <c r="AC413" t="s">
        <v>120</v>
      </c>
      <c r="AD413" t="s">
        <v>120</v>
      </c>
      <c r="AE413" t="s">
        <v>120</v>
      </c>
      <c r="AF413" t="s">
        <v>120</v>
      </c>
      <c r="AG413" t="s">
        <v>120</v>
      </c>
      <c r="AH413" t="s">
        <v>120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33.43</v>
      </c>
      <c r="AP413">
        <v>0</v>
      </c>
      <c r="AQ413">
        <v>0</v>
      </c>
      <c r="AR413">
        <v>70.2</v>
      </c>
      <c r="AS413">
        <v>0</v>
      </c>
    </row>
    <row r="414" spans="1:45" x14ac:dyDescent="0.25">
      <c r="A414" t="s">
        <v>1031</v>
      </c>
      <c r="B414" t="s">
        <v>1032</v>
      </c>
      <c r="C414" t="s">
        <v>127</v>
      </c>
      <c r="D414" t="s">
        <v>990</v>
      </c>
      <c r="E414" t="s">
        <v>120</v>
      </c>
      <c r="F414" t="s">
        <v>120</v>
      </c>
      <c r="G414" t="s">
        <v>120</v>
      </c>
      <c r="H414" t="s">
        <v>120</v>
      </c>
      <c r="I414" t="s">
        <v>120</v>
      </c>
      <c r="J414" t="s">
        <v>120</v>
      </c>
      <c r="K414" t="s">
        <v>120</v>
      </c>
      <c r="L414" t="s">
        <v>120</v>
      </c>
      <c r="M414" t="s">
        <v>120</v>
      </c>
      <c r="N414" t="s">
        <v>120</v>
      </c>
      <c r="O414" t="s">
        <v>120</v>
      </c>
      <c r="P414" t="s">
        <v>120</v>
      </c>
      <c r="Q414" t="s">
        <v>120</v>
      </c>
      <c r="R414" t="s">
        <v>120</v>
      </c>
      <c r="S414" t="s">
        <v>120</v>
      </c>
      <c r="T414" t="s">
        <v>120</v>
      </c>
      <c r="U414" t="s">
        <v>120</v>
      </c>
      <c r="V414" t="s">
        <v>120</v>
      </c>
      <c r="W414" t="s">
        <v>120</v>
      </c>
      <c r="X414" t="s">
        <v>120</v>
      </c>
      <c r="Y414" t="s">
        <v>120</v>
      </c>
      <c r="Z414" t="s">
        <v>120</v>
      </c>
      <c r="AA414" t="s">
        <v>120</v>
      </c>
      <c r="AB414" t="s">
        <v>120</v>
      </c>
      <c r="AC414" t="s">
        <v>120</v>
      </c>
      <c r="AD414" t="s">
        <v>120</v>
      </c>
      <c r="AE414" t="s">
        <v>120</v>
      </c>
      <c r="AF414" t="s">
        <v>120</v>
      </c>
      <c r="AG414" t="s">
        <v>120</v>
      </c>
      <c r="AH414" t="s">
        <v>120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33.43</v>
      </c>
      <c r="AP414">
        <v>0</v>
      </c>
      <c r="AQ414">
        <v>0</v>
      </c>
      <c r="AR414">
        <v>75.06</v>
      </c>
      <c r="AS414">
        <v>0</v>
      </c>
    </row>
    <row r="415" spans="1:45" x14ac:dyDescent="0.25">
      <c r="A415" t="s">
        <v>1033</v>
      </c>
      <c r="B415" t="s">
        <v>1034</v>
      </c>
      <c r="C415" t="s">
        <v>127</v>
      </c>
      <c r="D415" t="s">
        <v>990</v>
      </c>
      <c r="E415" t="s">
        <v>120</v>
      </c>
      <c r="F415" t="s">
        <v>120</v>
      </c>
      <c r="G415" t="s">
        <v>120</v>
      </c>
      <c r="H415" t="s">
        <v>120</v>
      </c>
      <c r="I415" t="s">
        <v>120</v>
      </c>
      <c r="J415" t="s">
        <v>120</v>
      </c>
      <c r="K415" t="s">
        <v>120</v>
      </c>
      <c r="L415" t="s">
        <v>120</v>
      </c>
      <c r="M415" t="s">
        <v>120</v>
      </c>
      <c r="N415" t="s">
        <v>120</v>
      </c>
      <c r="O415" t="s">
        <v>120</v>
      </c>
      <c r="P415" t="s">
        <v>120</v>
      </c>
      <c r="Q415" t="s">
        <v>120</v>
      </c>
      <c r="R415" t="s">
        <v>120</v>
      </c>
      <c r="S415" t="s">
        <v>120</v>
      </c>
      <c r="T415" t="s">
        <v>120</v>
      </c>
      <c r="U415" t="s">
        <v>120</v>
      </c>
      <c r="V415" t="s">
        <v>120</v>
      </c>
      <c r="W415" t="s">
        <v>120</v>
      </c>
      <c r="X415" t="s">
        <v>120</v>
      </c>
      <c r="Y415" t="s">
        <v>120</v>
      </c>
      <c r="Z415" t="s">
        <v>120</v>
      </c>
      <c r="AA415" t="s">
        <v>120</v>
      </c>
      <c r="AB415" t="s">
        <v>120</v>
      </c>
      <c r="AC415" t="s">
        <v>120</v>
      </c>
      <c r="AD415" t="s">
        <v>120</v>
      </c>
      <c r="AE415" t="s">
        <v>120</v>
      </c>
      <c r="AF415" t="s">
        <v>120</v>
      </c>
      <c r="AG415" t="s">
        <v>120</v>
      </c>
      <c r="AH415" t="s">
        <v>120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33.43</v>
      </c>
      <c r="AP415">
        <v>0</v>
      </c>
      <c r="AQ415">
        <v>0</v>
      </c>
      <c r="AR415">
        <v>75.06</v>
      </c>
      <c r="AS415">
        <v>0</v>
      </c>
    </row>
    <row r="416" spans="1:45" x14ac:dyDescent="0.25">
      <c r="A416" t="s">
        <v>1035</v>
      </c>
      <c r="B416" t="s">
        <v>1036</v>
      </c>
      <c r="C416" t="s">
        <v>127</v>
      </c>
      <c r="D416" t="s">
        <v>990</v>
      </c>
      <c r="E416" t="s">
        <v>120</v>
      </c>
      <c r="F416" t="s">
        <v>120</v>
      </c>
      <c r="G416" t="s">
        <v>120</v>
      </c>
      <c r="H416" t="s">
        <v>120</v>
      </c>
      <c r="I416" t="s">
        <v>120</v>
      </c>
      <c r="J416" t="s">
        <v>120</v>
      </c>
      <c r="K416" t="s">
        <v>120</v>
      </c>
      <c r="L416" t="s">
        <v>120</v>
      </c>
      <c r="M416" t="s">
        <v>120</v>
      </c>
      <c r="N416" t="s">
        <v>120</v>
      </c>
      <c r="O416" t="s">
        <v>120</v>
      </c>
      <c r="P416" t="s">
        <v>120</v>
      </c>
      <c r="Q416" t="s">
        <v>120</v>
      </c>
      <c r="R416" t="s">
        <v>120</v>
      </c>
      <c r="S416" t="s">
        <v>120</v>
      </c>
      <c r="T416" t="s">
        <v>120</v>
      </c>
      <c r="U416" t="s">
        <v>120</v>
      </c>
      <c r="V416" t="s">
        <v>120</v>
      </c>
      <c r="W416" t="s">
        <v>120</v>
      </c>
      <c r="X416" t="s">
        <v>120</v>
      </c>
      <c r="Y416" t="s">
        <v>120</v>
      </c>
      <c r="Z416" t="s">
        <v>120</v>
      </c>
      <c r="AA416" t="s">
        <v>120</v>
      </c>
      <c r="AB416" t="s">
        <v>120</v>
      </c>
      <c r="AC416" t="s">
        <v>120</v>
      </c>
      <c r="AD416" t="s">
        <v>120</v>
      </c>
      <c r="AE416" t="s">
        <v>120</v>
      </c>
      <c r="AF416" t="s">
        <v>120</v>
      </c>
      <c r="AG416" t="s">
        <v>120</v>
      </c>
      <c r="AH416" t="s">
        <v>120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33.43</v>
      </c>
      <c r="AP416">
        <v>0</v>
      </c>
      <c r="AQ416">
        <v>0</v>
      </c>
      <c r="AR416">
        <v>75.06</v>
      </c>
      <c r="AS416">
        <v>0</v>
      </c>
    </row>
    <row r="417" spans="1:45" x14ac:dyDescent="0.25">
      <c r="A417" t="s">
        <v>1037</v>
      </c>
      <c r="B417" t="s">
        <v>1038</v>
      </c>
      <c r="C417" t="s">
        <v>127</v>
      </c>
      <c r="D417" t="s">
        <v>990</v>
      </c>
      <c r="E417" t="s">
        <v>120</v>
      </c>
      <c r="F417" t="s">
        <v>120</v>
      </c>
      <c r="G417" t="s">
        <v>120</v>
      </c>
      <c r="H417" t="s">
        <v>120</v>
      </c>
      <c r="I417" t="s">
        <v>120</v>
      </c>
      <c r="J417" t="s">
        <v>120</v>
      </c>
      <c r="K417" t="s">
        <v>120</v>
      </c>
      <c r="L417" t="s">
        <v>120</v>
      </c>
      <c r="M417" t="s">
        <v>120</v>
      </c>
      <c r="N417" t="s">
        <v>120</v>
      </c>
      <c r="O417" t="s">
        <v>120</v>
      </c>
      <c r="P417" t="s">
        <v>120</v>
      </c>
      <c r="Q417" t="s">
        <v>120</v>
      </c>
      <c r="R417" t="s">
        <v>120</v>
      </c>
      <c r="S417" t="s">
        <v>120</v>
      </c>
      <c r="T417" t="s">
        <v>120</v>
      </c>
      <c r="U417" t="s">
        <v>120</v>
      </c>
      <c r="V417" t="s">
        <v>120</v>
      </c>
      <c r="W417" t="s">
        <v>120</v>
      </c>
      <c r="X417" t="s">
        <v>120</v>
      </c>
      <c r="Y417" t="s">
        <v>120</v>
      </c>
      <c r="Z417" t="s">
        <v>120</v>
      </c>
      <c r="AA417" t="s">
        <v>120</v>
      </c>
      <c r="AB417" t="s">
        <v>120</v>
      </c>
      <c r="AC417" t="s">
        <v>120</v>
      </c>
      <c r="AD417" t="s">
        <v>120</v>
      </c>
      <c r="AE417" t="s">
        <v>120</v>
      </c>
      <c r="AF417" t="s">
        <v>120</v>
      </c>
      <c r="AG417" t="s">
        <v>120</v>
      </c>
      <c r="AH417" t="s">
        <v>120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33.43</v>
      </c>
      <c r="AP417">
        <v>0</v>
      </c>
      <c r="AQ417">
        <v>0</v>
      </c>
      <c r="AR417">
        <v>75.06</v>
      </c>
      <c r="AS417">
        <v>0</v>
      </c>
    </row>
    <row r="418" spans="1:45" x14ac:dyDescent="0.25">
      <c r="A418" t="s">
        <v>1039</v>
      </c>
      <c r="B418" t="s">
        <v>1040</v>
      </c>
      <c r="C418" t="s">
        <v>130</v>
      </c>
      <c r="D418" t="s">
        <v>990</v>
      </c>
      <c r="E418" t="s">
        <v>120</v>
      </c>
      <c r="F418" t="s">
        <v>120</v>
      </c>
      <c r="G418" t="s">
        <v>120</v>
      </c>
      <c r="H418" t="s">
        <v>120</v>
      </c>
      <c r="I418" t="s">
        <v>120</v>
      </c>
      <c r="J418" t="s">
        <v>120</v>
      </c>
      <c r="K418" t="s">
        <v>120</v>
      </c>
      <c r="L418" t="s">
        <v>120</v>
      </c>
      <c r="M418" t="s">
        <v>120</v>
      </c>
      <c r="N418" t="s">
        <v>120</v>
      </c>
      <c r="O418" t="s">
        <v>120</v>
      </c>
      <c r="P418" t="s">
        <v>124</v>
      </c>
      <c r="Q418" t="s">
        <v>120</v>
      </c>
      <c r="R418" t="s">
        <v>120</v>
      </c>
      <c r="S418" t="s">
        <v>120</v>
      </c>
      <c r="T418" t="s">
        <v>120</v>
      </c>
      <c r="U418" t="s">
        <v>120</v>
      </c>
      <c r="V418" t="s">
        <v>120</v>
      </c>
      <c r="W418" t="s">
        <v>120</v>
      </c>
      <c r="X418" t="s">
        <v>120</v>
      </c>
      <c r="Y418" t="s">
        <v>120</v>
      </c>
      <c r="Z418" t="s">
        <v>138</v>
      </c>
      <c r="AA418" t="s">
        <v>120</v>
      </c>
      <c r="AB418" t="s">
        <v>120</v>
      </c>
      <c r="AC418" t="s">
        <v>120</v>
      </c>
      <c r="AD418" t="s">
        <v>120</v>
      </c>
      <c r="AE418" t="s">
        <v>120</v>
      </c>
      <c r="AF418" t="s">
        <v>120</v>
      </c>
      <c r="AG418" t="s">
        <v>120</v>
      </c>
      <c r="AH418" t="s">
        <v>120</v>
      </c>
      <c r="AJ418">
        <v>0</v>
      </c>
      <c r="AK418">
        <v>14</v>
      </c>
      <c r="AL418">
        <v>10</v>
      </c>
      <c r="AM418">
        <v>4</v>
      </c>
      <c r="AN418">
        <v>0</v>
      </c>
      <c r="AO418">
        <v>7500</v>
      </c>
      <c r="AP418">
        <v>14</v>
      </c>
      <c r="AQ418">
        <v>0</v>
      </c>
      <c r="AR418">
        <v>126.56250000000001</v>
      </c>
      <c r="AS418">
        <v>1312.5</v>
      </c>
    </row>
    <row r="419" spans="1:45" x14ac:dyDescent="0.25">
      <c r="A419" t="s">
        <v>1041</v>
      </c>
      <c r="B419" t="s">
        <v>1042</v>
      </c>
      <c r="C419" t="s">
        <v>127</v>
      </c>
      <c r="D419" t="s">
        <v>990</v>
      </c>
      <c r="E419" t="s">
        <v>120</v>
      </c>
      <c r="F419" t="s">
        <v>120</v>
      </c>
      <c r="G419" t="s">
        <v>120</v>
      </c>
      <c r="H419" t="s">
        <v>120</v>
      </c>
      <c r="I419" t="s">
        <v>120</v>
      </c>
      <c r="J419" t="s">
        <v>120</v>
      </c>
      <c r="K419" t="s">
        <v>120</v>
      </c>
      <c r="L419" t="s">
        <v>120</v>
      </c>
      <c r="M419" t="s">
        <v>120</v>
      </c>
      <c r="N419" t="s">
        <v>120</v>
      </c>
      <c r="O419" t="s">
        <v>120</v>
      </c>
      <c r="P419" t="s">
        <v>120</v>
      </c>
      <c r="Q419" t="s">
        <v>120</v>
      </c>
      <c r="R419" t="s">
        <v>120</v>
      </c>
      <c r="S419" t="s">
        <v>120</v>
      </c>
      <c r="T419" t="s">
        <v>120</v>
      </c>
      <c r="U419" t="s">
        <v>120</v>
      </c>
      <c r="V419" t="s">
        <v>120</v>
      </c>
      <c r="W419" t="s">
        <v>120</v>
      </c>
      <c r="X419" t="s">
        <v>120</v>
      </c>
      <c r="Y419" t="s">
        <v>120</v>
      </c>
      <c r="Z419" t="s">
        <v>120</v>
      </c>
      <c r="AA419" t="s">
        <v>120</v>
      </c>
      <c r="AB419" t="s">
        <v>120</v>
      </c>
      <c r="AC419" t="s">
        <v>120</v>
      </c>
      <c r="AD419" t="s">
        <v>120</v>
      </c>
      <c r="AE419" t="s">
        <v>120</v>
      </c>
      <c r="AF419" t="s">
        <v>120</v>
      </c>
      <c r="AG419" t="s">
        <v>120</v>
      </c>
      <c r="AH419" t="s">
        <v>120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33.43</v>
      </c>
      <c r="AP419">
        <v>0</v>
      </c>
      <c r="AQ419">
        <v>0</v>
      </c>
      <c r="AR419">
        <v>75.06</v>
      </c>
      <c r="AS419">
        <v>0</v>
      </c>
    </row>
    <row r="420" spans="1:45" x14ac:dyDescent="0.25">
      <c r="A420" t="s">
        <v>1043</v>
      </c>
      <c r="B420" t="s">
        <v>1044</v>
      </c>
      <c r="C420" t="s">
        <v>127</v>
      </c>
      <c r="D420" t="s">
        <v>990</v>
      </c>
      <c r="E420" t="s">
        <v>120</v>
      </c>
      <c r="F420" t="s">
        <v>120</v>
      </c>
      <c r="G420" t="s">
        <v>120</v>
      </c>
      <c r="H420" t="s">
        <v>120</v>
      </c>
      <c r="I420" t="s">
        <v>120</v>
      </c>
      <c r="J420" t="s">
        <v>120</v>
      </c>
      <c r="K420" t="s">
        <v>120</v>
      </c>
      <c r="L420" t="s">
        <v>120</v>
      </c>
      <c r="M420" t="s">
        <v>120</v>
      </c>
      <c r="N420" t="s">
        <v>120</v>
      </c>
      <c r="O420" t="s">
        <v>120</v>
      </c>
      <c r="P420" t="s">
        <v>120</v>
      </c>
      <c r="Q420" t="s">
        <v>120</v>
      </c>
      <c r="R420" t="s">
        <v>120</v>
      </c>
      <c r="S420" t="s">
        <v>120</v>
      </c>
      <c r="T420" t="s">
        <v>120</v>
      </c>
      <c r="U420" t="s">
        <v>120</v>
      </c>
      <c r="V420" t="s">
        <v>120</v>
      </c>
      <c r="W420" t="s">
        <v>120</v>
      </c>
      <c r="X420" t="s">
        <v>120</v>
      </c>
      <c r="Y420" t="s">
        <v>120</v>
      </c>
      <c r="Z420" t="s">
        <v>120</v>
      </c>
      <c r="AA420" t="s">
        <v>120</v>
      </c>
      <c r="AB420" t="s">
        <v>120</v>
      </c>
      <c r="AC420" t="s">
        <v>120</v>
      </c>
      <c r="AD420" t="s">
        <v>120</v>
      </c>
      <c r="AE420" t="s">
        <v>120</v>
      </c>
      <c r="AF420" t="s">
        <v>120</v>
      </c>
      <c r="AG420" t="s">
        <v>120</v>
      </c>
      <c r="AH420" t="s">
        <v>120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33.43</v>
      </c>
      <c r="AP420">
        <v>0</v>
      </c>
      <c r="AQ420">
        <v>0</v>
      </c>
      <c r="AR420">
        <v>75.06</v>
      </c>
      <c r="AS420">
        <v>0</v>
      </c>
    </row>
    <row r="421" spans="1:45" x14ac:dyDescent="0.25">
      <c r="A421" t="s">
        <v>1045</v>
      </c>
      <c r="B421" t="s">
        <v>1046</v>
      </c>
      <c r="C421" t="s">
        <v>127</v>
      </c>
      <c r="D421" t="s">
        <v>990</v>
      </c>
      <c r="E421" t="s">
        <v>120</v>
      </c>
      <c r="F421" t="s">
        <v>120</v>
      </c>
      <c r="G421" t="s">
        <v>120</v>
      </c>
      <c r="H421" t="s">
        <v>120</v>
      </c>
      <c r="I421" t="s">
        <v>120</v>
      </c>
      <c r="J421" t="s">
        <v>120</v>
      </c>
      <c r="K421" t="s">
        <v>120</v>
      </c>
      <c r="L421" t="s">
        <v>120</v>
      </c>
      <c r="M421" t="s">
        <v>120</v>
      </c>
      <c r="N421" t="s">
        <v>120</v>
      </c>
      <c r="O421" t="s">
        <v>120</v>
      </c>
      <c r="P421" t="s">
        <v>120</v>
      </c>
      <c r="Q421" t="s">
        <v>120</v>
      </c>
      <c r="R421" t="s">
        <v>120</v>
      </c>
      <c r="S421" t="s">
        <v>120</v>
      </c>
      <c r="T421" t="s">
        <v>120</v>
      </c>
      <c r="U421" t="s">
        <v>120</v>
      </c>
      <c r="V421" t="s">
        <v>120</v>
      </c>
      <c r="W421" t="s">
        <v>120</v>
      </c>
      <c r="X421" t="s">
        <v>120</v>
      </c>
      <c r="Y421" t="s">
        <v>120</v>
      </c>
      <c r="Z421" t="s">
        <v>120</v>
      </c>
      <c r="AA421" t="s">
        <v>120</v>
      </c>
      <c r="AB421" t="s">
        <v>120</v>
      </c>
      <c r="AC421" t="s">
        <v>120</v>
      </c>
      <c r="AD421" t="s">
        <v>120</v>
      </c>
      <c r="AE421" t="s">
        <v>120</v>
      </c>
      <c r="AF421" t="s">
        <v>120</v>
      </c>
      <c r="AG421" t="s">
        <v>120</v>
      </c>
      <c r="AH421" t="s">
        <v>120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33.43</v>
      </c>
      <c r="AP421">
        <v>0</v>
      </c>
      <c r="AQ421">
        <v>0</v>
      </c>
      <c r="AR421">
        <v>75.06</v>
      </c>
      <c r="AS421">
        <v>0</v>
      </c>
    </row>
    <row r="422" spans="1:45" x14ac:dyDescent="0.25">
      <c r="A422" t="s">
        <v>1047</v>
      </c>
      <c r="B422" t="s">
        <v>1048</v>
      </c>
      <c r="C422" t="s">
        <v>127</v>
      </c>
      <c r="D422" t="s">
        <v>990</v>
      </c>
      <c r="E422" t="s">
        <v>120</v>
      </c>
      <c r="F422" t="s">
        <v>120</v>
      </c>
      <c r="G422" t="s">
        <v>120</v>
      </c>
      <c r="H422" t="s">
        <v>120</v>
      </c>
      <c r="I422" t="s">
        <v>120</v>
      </c>
      <c r="J422" t="s">
        <v>120</v>
      </c>
      <c r="K422" t="s">
        <v>120</v>
      </c>
      <c r="L422" t="s">
        <v>120</v>
      </c>
      <c r="M422" t="s">
        <v>120</v>
      </c>
      <c r="N422" t="s">
        <v>120</v>
      </c>
      <c r="O422" t="s">
        <v>120</v>
      </c>
      <c r="P422" t="s">
        <v>120</v>
      </c>
      <c r="Q422" t="s">
        <v>120</v>
      </c>
      <c r="R422" t="s">
        <v>120</v>
      </c>
      <c r="S422" t="s">
        <v>120</v>
      </c>
      <c r="T422" t="s">
        <v>120</v>
      </c>
      <c r="U422" t="s">
        <v>120</v>
      </c>
      <c r="V422" t="s">
        <v>120</v>
      </c>
      <c r="W422" t="s">
        <v>120</v>
      </c>
      <c r="X422" t="s">
        <v>120</v>
      </c>
      <c r="Y422" t="s">
        <v>120</v>
      </c>
      <c r="Z422" t="s">
        <v>120</v>
      </c>
      <c r="AA422" t="s">
        <v>120</v>
      </c>
      <c r="AB422" t="s">
        <v>120</v>
      </c>
      <c r="AC422" t="s">
        <v>120</v>
      </c>
      <c r="AD422" t="s">
        <v>120</v>
      </c>
      <c r="AE422" t="s">
        <v>120</v>
      </c>
      <c r="AF422" t="s">
        <v>120</v>
      </c>
      <c r="AG422" t="s">
        <v>120</v>
      </c>
      <c r="AH422" t="s">
        <v>120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33.43</v>
      </c>
      <c r="AP422">
        <v>0</v>
      </c>
      <c r="AQ422">
        <v>0</v>
      </c>
      <c r="AR422">
        <v>75.06</v>
      </c>
      <c r="AS422">
        <v>0</v>
      </c>
    </row>
    <row r="423" spans="1:45" x14ac:dyDescent="0.25">
      <c r="A423" t="s">
        <v>1049</v>
      </c>
      <c r="B423" t="s">
        <v>1050</v>
      </c>
      <c r="C423" t="s">
        <v>127</v>
      </c>
      <c r="D423" t="s">
        <v>990</v>
      </c>
      <c r="E423" t="s">
        <v>120</v>
      </c>
      <c r="F423" t="s">
        <v>120</v>
      </c>
      <c r="G423" t="s">
        <v>120</v>
      </c>
      <c r="H423" t="s">
        <v>120</v>
      </c>
      <c r="I423" t="s">
        <v>120</v>
      </c>
      <c r="J423" t="s">
        <v>120</v>
      </c>
      <c r="K423" t="s">
        <v>120</v>
      </c>
      <c r="L423" t="s">
        <v>120</v>
      </c>
      <c r="M423" t="s">
        <v>120</v>
      </c>
      <c r="N423" t="s">
        <v>120</v>
      </c>
      <c r="O423" t="s">
        <v>120</v>
      </c>
      <c r="P423" t="s">
        <v>120</v>
      </c>
      <c r="Q423" t="s">
        <v>120</v>
      </c>
      <c r="R423" t="s">
        <v>120</v>
      </c>
      <c r="S423" t="s">
        <v>120</v>
      </c>
      <c r="T423" t="s">
        <v>120</v>
      </c>
      <c r="U423" t="s">
        <v>120</v>
      </c>
      <c r="V423" t="s">
        <v>120</v>
      </c>
      <c r="W423" t="s">
        <v>120</v>
      </c>
      <c r="X423" t="s">
        <v>120</v>
      </c>
      <c r="Y423" t="s">
        <v>120</v>
      </c>
      <c r="Z423" t="s">
        <v>120</v>
      </c>
      <c r="AA423" t="s">
        <v>120</v>
      </c>
      <c r="AB423" t="s">
        <v>120</v>
      </c>
      <c r="AC423" t="s">
        <v>120</v>
      </c>
      <c r="AD423" t="s">
        <v>120</v>
      </c>
      <c r="AE423" t="s">
        <v>120</v>
      </c>
      <c r="AF423" t="s">
        <v>120</v>
      </c>
      <c r="AG423" t="s">
        <v>120</v>
      </c>
      <c r="AH423" t="s">
        <v>120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33.43</v>
      </c>
      <c r="AP423">
        <v>0</v>
      </c>
      <c r="AQ423">
        <v>0</v>
      </c>
      <c r="AR423">
        <v>75.06</v>
      </c>
      <c r="AS423">
        <v>0</v>
      </c>
    </row>
    <row r="424" spans="1:45" x14ac:dyDescent="0.25">
      <c r="A424" t="s">
        <v>1051</v>
      </c>
      <c r="B424" t="s">
        <v>1052</v>
      </c>
      <c r="C424" t="s">
        <v>147</v>
      </c>
      <c r="D424" t="s">
        <v>990</v>
      </c>
      <c r="E424" t="s">
        <v>120</v>
      </c>
      <c r="F424" t="s">
        <v>120</v>
      </c>
      <c r="G424" t="s">
        <v>120</v>
      </c>
      <c r="H424" t="s">
        <v>120</v>
      </c>
      <c r="I424" t="s">
        <v>120</v>
      </c>
      <c r="J424" t="s">
        <v>120</v>
      </c>
      <c r="K424" t="s">
        <v>120</v>
      </c>
      <c r="L424" t="s">
        <v>120</v>
      </c>
      <c r="M424" t="s">
        <v>120</v>
      </c>
      <c r="N424" t="s">
        <v>120</v>
      </c>
      <c r="O424" t="s">
        <v>120</v>
      </c>
      <c r="P424" t="s">
        <v>120</v>
      </c>
      <c r="Q424" t="s">
        <v>120</v>
      </c>
      <c r="R424" t="s">
        <v>120</v>
      </c>
      <c r="S424" t="s">
        <v>120</v>
      </c>
      <c r="T424" t="s">
        <v>120</v>
      </c>
      <c r="U424" t="s">
        <v>120</v>
      </c>
      <c r="V424" t="s">
        <v>120</v>
      </c>
      <c r="W424" t="s">
        <v>120</v>
      </c>
      <c r="X424" t="s">
        <v>120</v>
      </c>
      <c r="Y424" t="s">
        <v>120</v>
      </c>
      <c r="Z424" t="s">
        <v>120</v>
      </c>
      <c r="AA424" t="s">
        <v>120</v>
      </c>
      <c r="AB424" t="s">
        <v>120</v>
      </c>
      <c r="AC424" t="s">
        <v>120</v>
      </c>
      <c r="AD424" t="s">
        <v>120</v>
      </c>
      <c r="AE424" t="s">
        <v>120</v>
      </c>
      <c r="AF424" t="s">
        <v>120</v>
      </c>
      <c r="AG424" t="s">
        <v>120</v>
      </c>
      <c r="AH424" t="s">
        <v>120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28.25</v>
      </c>
      <c r="AP424">
        <v>0</v>
      </c>
      <c r="AQ424">
        <v>0</v>
      </c>
      <c r="AR424">
        <v>70.2</v>
      </c>
      <c r="AS424">
        <v>0</v>
      </c>
    </row>
    <row r="425" spans="1:45" x14ac:dyDescent="0.25">
      <c r="A425" t="s">
        <v>1053</v>
      </c>
      <c r="B425" t="s">
        <v>1054</v>
      </c>
      <c r="C425" t="s">
        <v>127</v>
      </c>
      <c r="D425" t="s">
        <v>990</v>
      </c>
      <c r="E425" t="s">
        <v>120</v>
      </c>
      <c r="F425" t="s">
        <v>120</v>
      </c>
      <c r="G425" t="s">
        <v>120</v>
      </c>
      <c r="H425" t="s">
        <v>120</v>
      </c>
      <c r="I425" t="s">
        <v>120</v>
      </c>
      <c r="J425" t="s">
        <v>120</v>
      </c>
      <c r="K425" t="s">
        <v>120</v>
      </c>
      <c r="L425" t="s">
        <v>120</v>
      </c>
      <c r="M425" t="s">
        <v>120</v>
      </c>
      <c r="N425" t="s">
        <v>120</v>
      </c>
      <c r="O425" t="s">
        <v>120</v>
      </c>
      <c r="P425" t="s">
        <v>120</v>
      </c>
      <c r="Q425" t="s">
        <v>120</v>
      </c>
      <c r="R425" t="s">
        <v>120</v>
      </c>
      <c r="S425" t="s">
        <v>120</v>
      </c>
      <c r="T425" t="s">
        <v>120</v>
      </c>
      <c r="U425" t="s">
        <v>120</v>
      </c>
      <c r="V425" t="s">
        <v>120</v>
      </c>
      <c r="W425" t="s">
        <v>120</v>
      </c>
      <c r="X425" t="s">
        <v>120</v>
      </c>
      <c r="Y425" t="s">
        <v>120</v>
      </c>
      <c r="Z425" t="s">
        <v>135</v>
      </c>
      <c r="AA425" t="s">
        <v>120</v>
      </c>
      <c r="AB425" t="s">
        <v>120</v>
      </c>
      <c r="AC425" t="s">
        <v>120</v>
      </c>
      <c r="AD425" t="s">
        <v>120</v>
      </c>
      <c r="AE425" t="s">
        <v>120</v>
      </c>
      <c r="AF425" t="s">
        <v>120</v>
      </c>
      <c r="AG425" t="s">
        <v>120</v>
      </c>
      <c r="AH425" t="s">
        <v>120</v>
      </c>
      <c r="AJ425">
        <v>0</v>
      </c>
      <c r="AK425">
        <v>8</v>
      </c>
      <c r="AL425">
        <v>0</v>
      </c>
      <c r="AM425">
        <v>8</v>
      </c>
      <c r="AN425">
        <v>0</v>
      </c>
      <c r="AO425">
        <v>33.43</v>
      </c>
      <c r="AP425">
        <v>8</v>
      </c>
      <c r="AQ425">
        <v>0</v>
      </c>
      <c r="AR425">
        <v>75.06</v>
      </c>
      <c r="AS425">
        <v>534.88</v>
      </c>
    </row>
    <row r="426" spans="1:45" x14ac:dyDescent="0.25">
      <c r="A426" t="s">
        <v>1055</v>
      </c>
      <c r="B426" t="s">
        <v>1056</v>
      </c>
      <c r="C426" t="s">
        <v>127</v>
      </c>
      <c r="D426" t="s">
        <v>990</v>
      </c>
      <c r="E426" t="s">
        <v>120</v>
      </c>
      <c r="F426" t="s">
        <v>120</v>
      </c>
      <c r="G426" t="s">
        <v>120</v>
      </c>
      <c r="H426" t="s">
        <v>120</v>
      </c>
      <c r="I426" t="s">
        <v>120</v>
      </c>
      <c r="J426" t="s">
        <v>120</v>
      </c>
      <c r="K426" t="s">
        <v>120</v>
      </c>
      <c r="L426" t="s">
        <v>120</v>
      </c>
      <c r="M426" t="s">
        <v>120</v>
      </c>
      <c r="N426" t="s">
        <v>120</v>
      </c>
      <c r="O426" t="s">
        <v>120</v>
      </c>
      <c r="P426" t="s">
        <v>120</v>
      </c>
      <c r="Q426" t="s">
        <v>120</v>
      </c>
      <c r="R426" t="s">
        <v>120</v>
      </c>
      <c r="S426" t="s">
        <v>120</v>
      </c>
      <c r="T426" t="s">
        <v>120</v>
      </c>
      <c r="U426" t="s">
        <v>120</v>
      </c>
      <c r="V426" t="s">
        <v>120</v>
      </c>
      <c r="W426" t="s">
        <v>120</v>
      </c>
      <c r="X426" t="s">
        <v>120</v>
      </c>
      <c r="Y426" t="s">
        <v>120</v>
      </c>
      <c r="Z426" t="s">
        <v>135</v>
      </c>
      <c r="AA426" t="s">
        <v>120</v>
      </c>
      <c r="AB426" t="s">
        <v>120</v>
      </c>
      <c r="AC426" t="s">
        <v>120</v>
      </c>
      <c r="AD426" t="s">
        <v>120</v>
      </c>
      <c r="AE426" t="s">
        <v>120</v>
      </c>
      <c r="AF426" t="s">
        <v>120</v>
      </c>
      <c r="AG426" t="s">
        <v>120</v>
      </c>
      <c r="AH426" t="s">
        <v>120</v>
      </c>
      <c r="AJ426">
        <v>0</v>
      </c>
      <c r="AK426">
        <v>8</v>
      </c>
      <c r="AL426">
        <v>0</v>
      </c>
      <c r="AM426">
        <v>8</v>
      </c>
      <c r="AN426">
        <v>0</v>
      </c>
      <c r="AO426">
        <v>33.43</v>
      </c>
      <c r="AP426">
        <v>8</v>
      </c>
      <c r="AQ426">
        <v>0</v>
      </c>
      <c r="AR426">
        <v>75.06</v>
      </c>
      <c r="AS426">
        <v>534.88</v>
      </c>
    </row>
    <row r="427" spans="1:45" x14ac:dyDescent="0.25">
      <c r="A427" t="s">
        <v>1057</v>
      </c>
      <c r="B427" t="s">
        <v>1058</v>
      </c>
      <c r="C427" t="s">
        <v>127</v>
      </c>
      <c r="D427" t="s">
        <v>990</v>
      </c>
      <c r="E427" t="s">
        <v>120</v>
      </c>
      <c r="F427" t="s">
        <v>120</v>
      </c>
      <c r="G427" t="s">
        <v>120</v>
      </c>
      <c r="H427" t="s">
        <v>120</v>
      </c>
      <c r="I427" t="s">
        <v>120</v>
      </c>
      <c r="J427" t="s">
        <v>120</v>
      </c>
      <c r="K427" t="s">
        <v>120</v>
      </c>
      <c r="L427" t="s">
        <v>120</v>
      </c>
      <c r="M427" t="s">
        <v>120</v>
      </c>
      <c r="N427" t="s">
        <v>120</v>
      </c>
      <c r="O427" t="s">
        <v>120</v>
      </c>
      <c r="P427" t="s">
        <v>120</v>
      </c>
      <c r="Q427" t="s">
        <v>120</v>
      </c>
      <c r="R427" t="s">
        <v>120</v>
      </c>
      <c r="S427" t="s">
        <v>120</v>
      </c>
      <c r="T427" t="s">
        <v>120</v>
      </c>
      <c r="U427" t="s">
        <v>120</v>
      </c>
      <c r="V427" t="s">
        <v>120</v>
      </c>
      <c r="W427" t="s">
        <v>120</v>
      </c>
      <c r="X427" t="s">
        <v>120</v>
      </c>
      <c r="Y427" t="s">
        <v>120</v>
      </c>
      <c r="Z427" t="s">
        <v>120</v>
      </c>
      <c r="AA427" t="s">
        <v>120</v>
      </c>
      <c r="AB427" t="s">
        <v>120</v>
      </c>
      <c r="AC427" t="s">
        <v>120</v>
      </c>
      <c r="AD427" t="s">
        <v>120</v>
      </c>
      <c r="AE427" t="s">
        <v>120</v>
      </c>
      <c r="AF427" t="s">
        <v>120</v>
      </c>
      <c r="AG427" t="s">
        <v>120</v>
      </c>
      <c r="AH427" t="s">
        <v>120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33.43</v>
      </c>
      <c r="AP427">
        <v>0</v>
      </c>
      <c r="AQ427">
        <v>0</v>
      </c>
      <c r="AR427">
        <v>75.06</v>
      </c>
      <c r="AS427">
        <v>0</v>
      </c>
    </row>
    <row r="428" spans="1:45" x14ac:dyDescent="0.25">
      <c r="A428" t="s">
        <v>1059</v>
      </c>
      <c r="B428" t="s">
        <v>1060</v>
      </c>
      <c r="C428" t="s">
        <v>127</v>
      </c>
      <c r="D428" t="s">
        <v>990</v>
      </c>
      <c r="E428" t="s">
        <v>120</v>
      </c>
      <c r="F428" t="s">
        <v>120</v>
      </c>
      <c r="G428" t="s">
        <v>120</v>
      </c>
      <c r="H428" t="s">
        <v>120</v>
      </c>
      <c r="I428" t="s">
        <v>120</v>
      </c>
      <c r="J428" t="s">
        <v>120</v>
      </c>
      <c r="K428" t="s">
        <v>120</v>
      </c>
      <c r="L428" t="s">
        <v>120</v>
      </c>
      <c r="M428" t="s">
        <v>120</v>
      </c>
      <c r="N428" t="s">
        <v>120</v>
      </c>
      <c r="O428" t="s">
        <v>120</v>
      </c>
      <c r="P428" t="s">
        <v>120</v>
      </c>
      <c r="Q428" t="s">
        <v>120</v>
      </c>
      <c r="R428" t="s">
        <v>120</v>
      </c>
      <c r="S428" t="s">
        <v>120</v>
      </c>
      <c r="T428" t="s">
        <v>120</v>
      </c>
      <c r="U428" t="s">
        <v>120</v>
      </c>
      <c r="V428" t="s">
        <v>120</v>
      </c>
      <c r="W428" t="s">
        <v>120</v>
      </c>
      <c r="X428" t="s">
        <v>120</v>
      </c>
      <c r="Y428" t="s">
        <v>120</v>
      </c>
      <c r="Z428" t="s">
        <v>135</v>
      </c>
      <c r="AA428" t="s">
        <v>120</v>
      </c>
      <c r="AB428" t="s">
        <v>120</v>
      </c>
      <c r="AC428" t="s">
        <v>120</v>
      </c>
      <c r="AD428" t="s">
        <v>120</v>
      </c>
      <c r="AE428" t="s">
        <v>120</v>
      </c>
      <c r="AF428" t="s">
        <v>120</v>
      </c>
      <c r="AG428" t="s">
        <v>120</v>
      </c>
      <c r="AH428" t="s">
        <v>120</v>
      </c>
      <c r="AJ428">
        <v>0</v>
      </c>
      <c r="AK428">
        <v>8</v>
      </c>
      <c r="AL428">
        <v>0</v>
      </c>
      <c r="AM428">
        <v>8</v>
      </c>
      <c r="AN428">
        <v>0</v>
      </c>
      <c r="AO428">
        <v>33.43</v>
      </c>
      <c r="AP428">
        <v>8</v>
      </c>
      <c r="AQ428">
        <v>0</v>
      </c>
      <c r="AR428">
        <v>75.06</v>
      </c>
      <c r="AS428">
        <v>534.88</v>
      </c>
    </row>
    <row r="429" spans="1:45" x14ac:dyDescent="0.25">
      <c r="A429" t="s">
        <v>1061</v>
      </c>
      <c r="B429" t="s">
        <v>1062</v>
      </c>
      <c r="C429" t="s">
        <v>127</v>
      </c>
      <c r="D429" t="s">
        <v>990</v>
      </c>
      <c r="E429" t="s">
        <v>120</v>
      </c>
      <c r="F429" t="s">
        <v>120</v>
      </c>
      <c r="G429" t="s">
        <v>120</v>
      </c>
      <c r="H429" t="s">
        <v>120</v>
      </c>
      <c r="I429" t="s">
        <v>120</v>
      </c>
      <c r="J429" t="s">
        <v>120</v>
      </c>
      <c r="K429" t="s">
        <v>120</v>
      </c>
      <c r="L429" t="s">
        <v>120</v>
      </c>
      <c r="M429" t="s">
        <v>120</v>
      </c>
      <c r="N429" t="s">
        <v>120</v>
      </c>
      <c r="O429" t="s">
        <v>120</v>
      </c>
      <c r="P429" t="s">
        <v>120</v>
      </c>
      <c r="Q429" t="s">
        <v>120</v>
      </c>
      <c r="R429" t="s">
        <v>120</v>
      </c>
      <c r="S429" t="s">
        <v>120</v>
      </c>
      <c r="T429" t="s">
        <v>120</v>
      </c>
      <c r="U429" t="s">
        <v>120</v>
      </c>
      <c r="V429" t="s">
        <v>120</v>
      </c>
      <c r="W429" t="s">
        <v>120</v>
      </c>
      <c r="X429" t="s">
        <v>120</v>
      </c>
      <c r="Y429" t="s">
        <v>120</v>
      </c>
      <c r="Z429" t="s">
        <v>120</v>
      </c>
      <c r="AA429" t="s">
        <v>120</v>
      </c>
      <c r="AB429" t="s">
        <v>120</v>
      </c>
      <c r="AC429" t="s">
        <v>120</v>
      </c>
      <c r="AD429" t="s">
        <v>120</v>
      </c>
      <c r="AE429" t="s">
        <v>120</v>
      </c>
      <c r="AF429" t="s">
        <v>120</v>
      </c>
      <c r="AG429" t="s">
        <v>120</v>
      </c>
      <c r="AH429" t="s">
        <v>120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33.43</v>
      </c>
      <c r="AP429">
        <v>0</v>
      </c>
      <c r="AQ429">
        <v>0</v>
      </c>
      <c r="AR429">
        <v>75.06</v>
      </c>
      <c r="AS429">
        <v>0</v>
      </c>
    </row>
    <row r="430" spans="1:45" x14ac:dyDescent="0.25">
      <c r="A430" t="s">
        <v>1063</v>
      </c>
      <c r="B430" t="s">
        <v>1064</v>
      </c>
      <c r="C430" t="s">
        <v>127</v>
      </c>
      <c r="D430" t="s">
        <v>990</v>
      </c>
      <c r="E430" t="s">
        <v>120</v>
      </c>
      <c r="F430" t="s">
        <v>120</v>
      </c>
      <c r="G430" t="s">
        <v>120</v>
      </c>
      <c r="H430" t="s">
        <v>120</v>
      </c>
      <c r="I430" t="s">
        <v>120</v>
      </c>
      <c r="J430" t="s">
        <v>120</v>
      </c>
      <c r="K430" t="s">
        <v>120</v>
      </c>
      <c r="L430" t="s">
        <v>120</v>
      </c>
      <c r="M430" t="s">
        <v>120</v>
      </c>
      <c r="N430" t="s">
        <v>120</v>
      </c>
      <c r="O430" t="s">
        <v>120</v>
      </c>
      <c r="P430" t="s">
        <v>120</v>
      </c>
      <c r="Q430" t="s">
        <v>120</v>
      </c>
      <c r="R430" t="s">
        <v>120</v>
      </c>
      <c r="S430" t="s">
        <v>120</v>
      </c>
      <c r="T430" t="s">
        <v>120</v>
      </c>
      <c r="U430" t="s">
        <v>120</v>
      </c>
      <c r="V430" t="s">
        <v>120</v>
      </c>
      <c r="W430" t="s">
        <v>120</v>
      </c>
      <c r="X430" t="s">
        <v>120</v>
      </c>
      <c r="Y430" t="s">
        <v>120</v>
      </c>
      <c r="Z430" t="s">
        <v>120</v>
      </c>
      <c r="AA430" t="s">
        <v>120</v>
      </c>
      <c r="AB430" t="s">
        <v>120</v>
      </c>
      <c r="AC430" t="s">
        <v>120</v>
      </c>
      <c r="AD430" t="s">
        <v>120</v>
      </c>
      <c r="AE430" t="s">
        <v>120</v>
      </c>
      <c r="AF430" t="s">
        <v>120</v>
      </c>
      <c r="AG430" t="s">
        <v>120</v>
      </c>
      <c r="AH430" t="s">
        <v>120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33.43</v>
      </c>
      <c r="AP430">
        <v>0</v>
      </c>
      <c r="AQ430">
        <v>0</v>
      </c>
      <c r="AR430">
        <v>75.06</v>
      </c>
      <c r="AS430">
        <v>0</v>
      </c>
    </row>
    <row r="431" spans="1:45" x14ac:dyDescent="0.25">
      <c r="A431" t="s">
        <v>1065</v>
      </c>
      <c r="B431" t="s">
        <v>1066</v>
      </c>
      <c r="C431" t="s">
        <v>127</v>
      </c>
      <c r="D431" t="s">
        <v>990</v>
      </c>
      <c r="E431" t="s">
        <v>120</v>
      </c>
      <c r="F431" t="s">
        <v>120</v>
      </c>
      <c r="G431" t="s">
        <v>120</v>
      </c>
      <c r="H431" t="s">
        <v>120</v>
      </c>
      <c r="I431" t="s">
        <v>120</v>
      </c>
      <c r="J431" t="s">
        <v>120</v>
      </c>
      <c r="K431" t="s">
        <v>120</v>
      </c>
      <c r="L431" t="s">
        <v>120</v>
      </c>
      <c r="M431" t="s">
        <v>120</v>
      </c>
      <c r="N431" t="s">
        <v>120</v>
      </c>
      <c r="O431" t="s">
        <v>120</v>
      </c>
      <c r="P431" t="s">
        <v>120</v>
      </c>
      <c r="Q431" t="s">
        <v>120</v>
      </c>
      <c r="R431" t="s">
        <v>120</v>
      </c>
      <c r="S431" t="s">
        <v>120</v>
      </c>
      <c r="T431" t="s">
        <v>120</v>
      </c>
      <c r="U431" t="s">
        <v>120</v>
      </c>
      <c r="V431" t="s">
        <v>120</v>
      </c>
      <c r="W431" t="s">
        <v>120</v>
      </c>
      <c r="X431" t="s">
        <v>120</v>
      </c>
      <c r="Y431" t="s">
        <v>120</v>
      </c>
      <c r="Z431" t="s">
        <v>598</v>
      </c>
      <c r="AA431" t="s">
        <v>120</v>
      </c>
      <c r="AB431" t="s">
        <v>120</v>
      </c>
      <c r="AC431" t="s">
        <v>120</v>
      </c>
      <c r="AD431" t="s">
        <v>120</v>
      </c>
      <c r="AE431" t="s">
        <v>120</v>
      </c>
      <c r="AF431" t="s">
        <v>120</v>
      </c>
      <c r="AG431" t="s">
        <v>120</v>
      </c>
      <c r="AH431" t="s">
        <v>120</v>
      </c>
      <c r="AJ431">
        <v>0</v>
      </c>
      <c r="AK431">
        <v>6</v>
      </c>
      <c r="AL431">
        <v>0</v>
      </c>
      <c r="AM431">
        <v>6</v>
      </c>
      <c r="AN431">
        <v>0</v>
      </c>
      <c r="AO431">
        <v>33.43</v>
      </c>
      <c r="AP431">
        <v>6</v>
      </c>
      <c r="AQ431">
        <v>0</v>
      </c>
      <c r="AR431">
        <v>75.06</v>
      </c>
      <c r="AS431">
        <v>401.15999999999997</v>
      </c>
    </row>
    <row r="432" spans="1:45" x14ac:dyDescent="0.25">
      <c r="A432" t="s">
        <v>1067</v>
      </c>
      <c r="B432" t="s">
        <v>1068</v>
      </c>
      <c r="C432" t="s">
        <v>127</v>
      </c>
      <c r="D432" t="s">
        <v>990</v>
      </c>
      <c r="E432" t="s">
        <v>120</v>
      </c>
      <c r="F432" t="s">
        <v>120</v>
      </c>
      <c r="G432" t="s">
        <v>120</v>
      </c>
      <c r="H432" t="s">
        <v>120</v>
      </c>
      <c r="I432" t="s">
        <v>120</v>
      </c>
      <c r="J432" t="s">
        <v>120</v>
      </c>
      <c r="K432" t="s">
        <v>120</v>
      </c>
      <c r="L432" t="s">
        <v>120</v>
      </c>
      <c r="M432" t="s">
        <v>120</v>
      </c>
      <c r="N432" t="s">
        <v>120</v>
      </c>
      <c r="O432" t="s">
        <v>120</v>
      </c>
      <c r="P432" t="s">
        <v>120</v>
      </c>
      <c r="Q432" t="s">
        <v>120</v>
      </c>
      <c r="R432" t="s">
        <v>120</v>
      </c>
      <c r="S432" t="s">
        <v>120</v>
      </c>
      <c r="T432" t="s">
        <v>120</v>
      </c>
      <c r="U432" t="s">
        <v>120</v>
      </c>
      <c r="V432" t="s">
        <v>120</v>
      </c>
      <c r="W432" t="s">
        <v>120</v>
      </c>
      <c r="X432" t="s">
        <v>120</v>
      </c>
      <c r="Y432" t="s">
        <v>120</v>
      </c>
      <c r="Z432" t="s">
        <v>120</v>
      </c>
      <c r="AA432" t="s">
        <v>120</v>
      </c>
      <c r="AB432" t="s">
        <v>120</v>
      </c>
      <c r="AC432" t="s">
        <v>120</v>
      </c>
      <c r="AD432" t="s">
        <v>120</v>
      </c>
      <c r="AE432" t="s">
        <v>120</v>
      </c>
      <c r="AF432" t="s">
        <v>120</v>
      </c>
      <c r="AG432" t="s">
        <v>120</v>
      </c>
      <c r="AH432" t="s">
        <v>120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33.43</v>
      </c>
      <c r="AP432">
        <v>0</v>
      </c>
      <c r="AQ432">
        <v>0</v>
      </c>
      <c r="AR432">
        <v>75.06</v>
      </c>
      <c r="AS432">
        <v>0</v>
      </c>
    </row>
    <row r="433" spans="1:45" x14ac:dyDescent="0.25">
      <c r="A433" t="s">
        <v>1069</v>
      </c>
      <c r="B433" t="s">
        <v>1070</v>
      </c>
      <c r="C433" t="s">
        <v>127</v>
      </c>
      <c r="D433" t="s">
        <v>990</v>
      </c>
      <c r="E433" t="s">
        <v>120</v>
      </c>
      <c r="F433" t="s">
        <v>120</v>
      </c>
      <c r="G433" t="s">
        <v>120</v>
      </c>
      <c r="H433" t="s">
        <v>120</v>
      </c>
      <c r="I433" t="s">
        <v>120</v>
      </c>
      <c r="J433" t="s">
        <v>120</v>
      </c>
      <c r="K433" t="s">
        <v>120</v>
      </c>
      <c r="L433" t="s">
        <v>120</v>
      </c>
      <c r="M433" t="s">
        <v>120</v>
      </c>
      <c r="N433" t="s">
        <v>120</v>
      </c>
      <c r="O433" t="s">
        <v>120</v>
      </c>
      <c r="P433" t="s">
        <v>120</v>
      </c>
      <c r="Q433" t="s">
        <v>120</v>
      </c>
      <c r="R433" t="s">
        <v>120</v>
      </c>
      <c r="S433" t="s">
        <v>120</v>
      </c>
      <c r="T433" t="s">
        <v>120</v>
      </c>
      <c r="U433" t="s">
        <v>120</v>
      </c>
      <c r="V433" t="s">
        <v>120</v>
      </c>
      <c r="W433" t="s">
        <v>120</v>
      </c>
      <c r="X433" t="s">
        <v>120</v>
      </c>
      <c r="Y433" t="s">
        <v>120</v>
      </c>
      <c r="Z433" t="s">
        <v>120</v>
      </c>
      <c r="AA433" t="s">
        <v>120</v>
      </c>
      <c r="AB433" t="s">
        <v>120</v>
      </c>
      <c r="AC433" t="s">
        <v>120</v>
      </c>
      <c r="AD433" t="s">
        <v>120</v>
      </c>
      <c r="AE433" t="s">
        <v>120</v>
      </c>
      <c r="AF433" t="s">
        <v>120</v>
      </c>
      <c r="AG433" t="s">
        <v>120</v>
      </c>
      <c r="AH433" t="s">
        <v>120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33.43</v>
      </c>
      <c r="AP433">
        <v>0</v>
      </c>
      <c r="AQ433">
        <v>0</v>
      </c>
      <c r="AR433">
        <v>75.06</v>
      </c>
      <c r="AS433">
        <v>0</v>
      </c>
    </row>
    <row r="434" spans="1:45" x14ac:dyDescent="0.25">
      <c r="A434" t="s">
        <v>1071</v>
      </c>
      <c r="B434" t="s">
        <v>1072</v>
      </c>
      <c r="C434" t="s">
        <v>147</v>
      </c>
      <c r="D434" t="s">
        <v>990</v>
      </c>
      <c r="E434" t="s">
        <v>120</v>
      </c>
      <c r="F434" t="s">
        <v>120</v>
      </c>
      <c r="G434" t="s">
        <v>120</v>
      </c>
      <c r="H434" t="s">
        <v>120</v>
      </c>
      <c r="I434" t="s">
        <v>120</v>
      </c>
      <c r="J434" t="s">
        <v>120</v>
      </c>
      <c r="K434" t="s">
        <v>120</v>
      </c>
      <c r="L434" t="s">
        <v>120</v>
      </c>
      <c r="M434" t="s">
        <v>120</v>
      </c>
      <c r="N434" t="s">
        <v>120</v>
      </c>
      <c r="O434" t="s">
        <v>120</v>
      </c>
      <c r="P434" t="s">
        <v>120</v>
      </c>
      <c r="Q434" t="s">
        <v>120</v>
      </c>
      <c r="R434" t="s">
        <v>120</v>
      </c>
      <c r="S434" t="s">
        <v>120</v>
      </c>
      <c r="T434" t="s">
        <v>120</v>
      </c>
      <c r="U434" t="s">
        <v>120</v>
      </c>
      <c r="V434" t="s">
        <v>120</v>
      </c>
      <c r="W434" t="s">
        <v>120</v>
      </c>
      <c r="X434" t="s">
        <v>120</v>
      </c>
      <c r="Y434" t="s">
        <v>120</v>
      </c>
      <c r="Z434" t="s">
        <v>120</v>
      </c>
      <c r="AA434" t="s">
        <v>120</v>
      </c>
      <c r="AB434" t="s">
        <v>120</v>
      </c>
      <c r="AC434" t="s">
        <v>120</v>
      </c>
      <c r="AD434" t="s">
        <v>120</v>
      </c>
      <c r="AE434" t="s">
        <v>120</v>
      </c>
      <c r="AF434" t="s">
        <v>120</v>
      </c>
      <c r="AG434" t="s">
        <v>120</v>
      </c>
      <c r="AH434" t="s">
        <v>120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31.55</v>
      </c>
      <c r="AP434">
        <v>0</v>
      </c>
      <c r="AQ434">
        <v>0</v>
      </c>
      <c r="AR434">
        <v>70.2</v>
      </c>
      <c r="AS434">
        <v>0</v>
      </c>
    </row>
    <row r="435" spans="1:45" x14ac:dyDescent="0.25">
      <c r="A435" t="s">
        <v>1073</v>
      </c>
      <c r="B435" t="s">
        <v>1074</v>
      </c>
      <c r="C435" t="s">
        <v>127</v>
      </c>
      <c r="D435" t="s">
        <v>990</v>
      </c>
      <c r="E435" t="s">
        <v>120</v>
      </c>
      <c r="F435" t="s">
        <v>120</v>
      </c>
      <c r="G435" t="s">
        <v>120</v>
      </c>
      <c r="H435" t="s">
        <v>120</v>
      </c>
      <c r="I435" t="s">
        <v>120</v>
      </c>
      <c r="J435" t="s">
        <v>120</v>
      </c>
      <c r="K435" t="s">
        <v>120</v>
      </c>
      <c r="L435" t="s">
        <v>120</v>
      </c>
      <c r="M435" t="s">
        <v>120</v>
      </c>
      <c r="N435" t="s">
        <v>120</v>
      </c>
      <c r="O435" t="s">
        <v>120</v>
      </c>
      <c r="P435" t="s">
        <v>120</v>
      </c>
      <c r="Q435" t="s">
        <v>120</v>
      </c>
      <c r="R435" t="s">
        <v>120</v>
      </c>
      <c r="S435" t="s">
        <v>120</v>
      </c>
      <c r="T435" t="s">
        <v>120</v>
      </c>
      <c r="U435" t="s">
        <v>120</v>
      </c>
      <c r="V435" t="s">
        <v>120</v>
      </c>
      <c r="W435" t="s">
        <v>120</v>
      </c>
      <c r="X435" t="s">
        <v>120</v>
      </c>
      <c r="Y435" t="s">
        <v>120</v>
      </c>
      <c r="Z435" t="s">
        <v>120</v>
      </c>
      <c r="AA435" t="s">
        <v>120</v>
      </c>
      <c r="AB435" t="s">
        <v>120</v>
      </c>
      <c r="AC435" t="s">
        <v>120</v>
      </c>
      <c r="AD435" t="s">
        <v>120</v>
      </c>
      <c r="AE435" t="s">
        <v>120</v>
      </c>
      <c r="AF435" t="s">
        <v>120</v>
      </c>
      <c r="AG435" t="s">
        <v>120</v>
      </c>
      <c r="AH435" t="s">
        <v>120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33.43</v>
      </c>
      <c r="AP435">
        <v>0</v>
      </c>
      <c r="AQ435">
        <v>0</v>
      </c>
      <c r="AR435">
        <v>75.06</v>
      </c>
      <c r="AS435">
        <v>0</v>
      </c>
    </row>
    <row r="436" spans="1:45" x14ac:dyDescent="0.25">
      <c r="A436" t="s">
        <v>1075</v>
      </c>
      <c r="B436" t="s">
        <v>1076</v>
      </c>
      <c r="C436" t="s">
        <v>127</v>
      </c>
      <c r="D436" t="s">
        <v>1077</v>
      </c>
      <c r="E436" t="s">
        <v>120</v>
      </c>
      <c r="F436" t="s">
        <v>120</v>
      </c>
      <c r="G436" t="s">
        <v>120</v>
      </c>
      <c r="H436" t="s">
        <v>120</v>
      </c>
      <c r="I436" t="s">
        <v>120</v>
      </c>
      <c r="J436" t="s">
        <v>120</v>
      </c>
      <c r="K436" t="s">
        <v>120</v>
      </c>
      <c r="L436" t="s">
        <v>120</v>
      </c>
      <c r="M436" t="s">
        <v>120</v>
      </c>
      <c r="N436" t="s">
        <v>120</v>
      </c>
      <c r="O436" t="s">
        <v>120</v>
      </c>
      <c r="P436" t="s">
        <v>120</v>
      </c>
      <c r="Q436" t="s">
        <v>120</v>
      </c>
      <c r="R436" t="s">
        <v>120</v>
      </c>
      <c r="S436" t="s">
        <v>120</v>
      </c>
      <c r="T436" t="s">
        <v>120</v>
      </c>
      <c r="U436" t="s">
        <v>120</v>
      </c>
      <c r="V436" t="s">
        <v>120</v>
      </c>
      <c r="W436" t="s">
        <v>120</v>
      </c>
      <c r="X436" t="s">
        <v>120</v>
      </c>
      <c r="Y436" t="s">
        <v>120</v>
      </c>
      <c r="Z436" t="s">
        <v>120</v>
      </c>
      <c r="AA436" t="s">
        <v>120</v>
      </c>
      <c r="AB436" t="s">
        <v>120</v>
      </c>
      <c r="AC436" t="s">
        <v>120</v>
      </c>
      <c r="AD436" t="s">
        <v>120</v>
      </c>
      <c r="AE436" t="s">
        <v>120</v>
      </c>
      <c r="AF436" t="s">
        <v>120</v>
      </c>
      <c r="AG436" t="s">
        <v>120</v>
      </c>
      <c r="AH436" t="s">
        <v>120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33.43</v>
      </c>
      <c r="AP436">
        <v>0</v>
      </c>
      <c r="AQ436">
        <v>0</v>
      </c>
      <c r="AR436">
        <v>75.06</v>
      </c>
      <c r="AS436">
        <v>0</v>
      </c>
    </row>
    <row r="437" spans="1:45" x14ac:dyDescent="0.25">
      <c r="A437" t="s">
        <v>1078</v>
      </c>
      <c r="B437" t="s">
        <v>1079</v>
      </c>
      <c r="C437" t="s">
        <v>127</v>
      </c>
      <c r="D437" t="s">
        <v>1077</v>
      </c>
      <c r="E437" t="s">
        <v>120</v>
      </c>
      <c r="F437" t="s">
        <v>120</v>
      </c>
      <c r="G437" t="s">
        <v>120</v>
      </c>
      <c r="H437" t="s">
        <v>120</v>
      </c>
      <c r="I437" t="s">
        <v>120</v>
      </c>
      <c r="J437" t="s">
        <v>120</v>
      </c>
      <c r="K437" t="s">
        <v>120</v>
      </c>
      <c r="L437" t="s">
        <v>120</v>
      </c>
      <c r="M437" t="s">
        <v>120</v>
      </c>
      <c r="N437" t="s">
        <v>120</v>
      </c>
      <c r="O437" t="s">
        <v>120</v>
      </c>
      <c r="P437" t="s">
        <v>120</v>
      </c>
      <c r="Q437" t="s">
        <v>120</v>
      </c>
      <c r="R437" t="s">
        <v>120</v>
      </c>
      <c r="S437" t="s">
        <v>120</v>
      </c>
      <c r="T437" t="s">
        <v>120</v>
      </c>
      <c r="U437" t="s">
        <v>120</v>
      </c>
      <c r="V437" t="s">
        <v>120</v>
      </c>
      <c r="W437" t="s">
        <v>120</v>
      </c>
      <c r="X437" t="s">
        <v>120</v>
      </c>
      <c r="Y437" t="s">
        <v>120</v>
      </c>
      <c r="Z437" t="s">
        <v>120</v>
      </c>
      <c r="AA437" t="s">
        <v>120</v>
      </c>
      <c r="AB437" t="s">
        <v>120</v>
      </c>
      <c r="AC437" t="s">
        <v>120</v>
      </c>
      <c r="AD437" t="s">
        <v>120</v>
      </c>
      <c r="AE437" t="s">
        <v>120</v>
      </c>
      <c r="AF437" t="s">
        <v>120</v>
      </c>
      <c r="AG437" t="s">
        <v>120</v>
      </c>
      <c r="AH437" t="s">
        <v>120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33.43</v>
      </c>
      <c r="AP437">
        <v>0</v>
      </c>
      <c r="AQ437">
        <v>0</v>
      </c>
      <c r="AR437">
        <v>75.06</v>
      </c>
      <c r="AS437">
        <v>0</v>
      </c>
    </row>
    <row r="438" spans="1:45" x14ac:dyDescent="0.25">
      <c r="A438" t="s">
        <v>1080</v>
      </c>
      <c r="B438" t="s">
        <v>1081</v>
      </c>
      <c r="C438" t="s">
        <v>127</v>
      </c>
      <c r="D438" t="s">
        <v>1077</v>
      </c>
      <c r="E438" t="s">
        <v>120</v>
      </c>
      <c r="F438" t="s">
        <v>120</v>
      </c>
      <c r="G438" t="s">
        <v>120</v>
      </c>
      <c r="H438" t="s">
        <v>120</v>
      </c>
      <c r="I438" t="s">
        <v>120</v>
      </c>
      <c r="J438" t="s">
        <v>120</v>
      </c>
      <c r="K438" t="s">
        <v>120</v>
      </c>
      <c r="L438" t="s">
        <v>120</v>
      </c>
      <c r="M438" t="s">
        <v>120</v>
      </c>
      <c r="N438" t="s">
        <v>120</v>
      </c>
      <c r="O438" t="s">
        <v>120</v>
      </c>
      <c r="P438" t="s">
        <v>120</v>
      </c>
      <c r="Q438" t="s">
        <v>120</v>
      </c>
      <c r="R438" t="s">
        <v>120</v>
      </c>
      <c r="S438" t="s">
        <v>120</v>
      </c>
      <c r="T438" t="s">
        <v>120</v>
      </c>
      <c r="U438" t="s">
        <v>120</v>
      </c>
      <c r="V438" t="s">
        <v>120</v>
      </c>
      <c r="W438" t="s">
        <v>120</v>
      </c>
      <c r="X438" t="s">
        <v>120</v>
      </c>
      <c r="Y438" t="s">
        <v>120</v>
      </c>
      <c r="Z438" t="s">
        <v>120</v>
      </c>
      <c r="AA438" t="s">
        <v>120</v>
      </c>
      <c r="AB438" t="s">
        <v>120</v>
      </c>
      <c r="AC438" t="s">
        <v>120</v>
      </c>
      <c r="AD438" t="s">
        <v>120</v>
      </c>
      <c r="AE438" t="s">
        <v>120</v>
      </c>
      <c r="AF438" t="s">
        <v>120</v>
      </c>
      <c r="AG438" t="s">
        <v>120</v>
      </c>
      <c r="AH438" t="s">
        <v>120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33.43</v>
      </c>
      <c r="AP438">
        <v>0</v>
      </c>
      <c r="AQ438">
        <v>0</v>
      </c>
      <c r="AR438">
        <v>75.06</v>
      </c>
      <c r="AS438">
        <v>0</v>
      </c>
    </row>
    <row r="439" spans="1:45" x14ac:dyDescent="0.25">
      <c r="A439" t="s">
        <v>1082</v>
      </c>
      <c r="B439" t="s">
        <v>1083</v>
      </c>
      <c r="C439" t="s">
        <v>127</v>
      </c>
      <c r="D439" t="s">
        <v>1077</v>
      </c>
      <c r="E439" t="s">
        <v>120</v>
      </c>
      <c r="F439" t="s">
        <v>120</v>
      </c>
      <c r="G439" t="s">
        <v>120</v>
      </c>
      <c r="H439" t="s">
        <v>120</v>
      </c>
      <c r="I439" t="s">
        <v>120</v>
      </c>
      <c r="J439" t="s">
        <v>120</v>
      </c>
      <c r="K439" t="s">
        <v>120</v>
      </c>
      <c r="L439" t="s">
        <v>120</v>
      </c>
      <c r="M439" t="s">
        <v>120</v>
      </c>
      <c r="N439" t="s">
        <v>120</v>
      </c>
      <c r="O439" t="s">
        <v>120</v>
      </c>
      <c r="P439" t="s">
        <v>120</v>
      </c>
      <c r="Q439" t="s">
        <v>120</v>
      </c>
      <c r="R439" t="s">
        <v>120</v>
      </c>
      <c r="S439" t="s">
        <v>120</v>
      </c>
      <c r="T439" t="s">
        <v>120</v>
      </c>
      <c r="U439" t="s">
        <v>120</v>
      </c>
      <c r="V439" t="s">
        <v>120</v>
      </c>
      <c r="W439" t="s">
        <v>120</v>
      </c>
      <c r="X439" t="s">
        <v>120</v>
      </c>
      <c r="Y439" t="s">
        <v>120</v>
      </c>
      <c r="Z439" t="s">
        <v>120</v>
      </c>
      <c r="AA439" t="s">
        <v>120</v>
      </c>
      <c r="AB439" t="s">
        <v>120</v>
      </c>
      <c r="AC439" t="s">
        <v>120</v>
      </c>
      <c r="AD439" t="s">
        <v>120</v>
      </c>
      <c r="AE439" t="s">
        <v>120</v>
      </c>
      <c r="AF439" t="s">
        <v>120</v>
      </c>
      <c r="AG439" t="s">
        <v>120</v>
      </c>
      <c r="AH439" t="s">
        <v>120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33.43</v>
      </c>
      <c r="AP439">
        <v>0</v>
      </c>
      <c r="AQ439">
        <v>0</v>
      </c>
      <c r="AR439">
        <v>75.06</v>
      </c>
      <c r="AS439">
        <v>0</v>
      </c>
    </row>
    <row r="440" spans="1:45" x14ac:dyDescent="0.25">
      <c r="A440" t="s">
        <v>1084</v>
      </c>
      <c r="B440" t="s">
        <v>1085</v>
      </c>
      <c r="C440" t="s">
        <v>127</v>
      </c>
      <c r="D440" t="s">
        <v>1077</v>
      </c>
      <c r="E440" t="s">
        <v>120</v>
      </c>
      <c r="F440" t="s">
        <v>120</v>
      </c>
      <c r="G440" t="s">
        <v>120</v>
      </c>
      <c r="H440" t="s">
        <v>120</v>
      </c>
      <c r="I440" t="s">
        <v>120</v>
      </c>
      <c r="J440" t="s">
        <v>120</v>
      </c>
      <c r="K440" t="s">
        <v>120</v>
      </c>
      <c r="L440" t="s">
        <v>120</v>
      </c>
      <c r="M440" t="s">
        <v>120</v>
      </c>
      <c r="N440" t="s">
        <v>120</v>
      </c>
      <c r="O440" t="s">
        <v>120</v>
      </c>
      <c r="P440" t="s">
        <v>120</v>
      </c>
      <c r="Q440" t="s">
        <v>120</v>
      </c>
      <c r="R440" t="s">
        <v>120</v>
      </c>
      <c r="S440" t="s">
        <v>120</v>
      </c>
      <c r="T440" t="s">
        <v>120</v>
      </c>
      <c r="U440" t="s">
        <v>120</v>
      </c>
      <c r="V440" t="s">
        <v>120</v>
      </c>
      <c r="W440" t="s">
        <v>120</v>
      </c>
      <c r="X440" t="s">
        <v>120</v>
      </c>
      <c r="Y440" t="s">
        <v>120</v>
      </c>
      <c r="Z440" t="s">
        <v>120</v>
      </c>
      <c r="AA440" t="s">
        <v>120</v>
      </c>
      <c r="AB440" t="s">
        <v>120</v>
      </c>
      <c r="AC440" t="s">
        <v>120</v>
      </c>
      <c r="AD440" t="s">
        <v>120</v>
      </c>
      <c r="AE440" t="s">
        <v>120</v>
      </c>
      <c r="AF440" t="s">
        <v>120</v>
      </c>
      <c r="AG440" t="s">
        <v>120</v>
      </c>
      <c r="AH440" t="s">
        <v>120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33.43</v>
      </c>
      <c r="AP440">
        <v>0</v>
      </c>
      <c r="AQ440">
        <v>0</v>
      </c>
      <c r="AR440">
        <v>75.06</v>
      </c>
      <c r="AS440">
        <v>0</v>
      </c>
    </row>
    <row r="441" spans="1:45" x14ac:dyDescent="0.25">
      <c r="A441" t="s">
        <v>1086</v>
      </c>
      <c r="B441" t="s">
        <v>1087</v>
      </c>
      <c r="C441" t="s">
        <v>127</v>
      </c>
      <c r="D441" t="s">
        <v>1077</v>
      </c>
      <c r="E441" t="s">
        <v>120</v>
      </c>
      <c r="F441" t="s">
        <v>120</v>
      </c>
      <c r="G441" t="s">
        <v>120</v>
      </c>
      <c r="H441" t="s">
        <v>120</v>
      </c>
      <c r="I441" t="s">
        <v>120</v>
      </c>
      <c r="J441" t="s">
        <v>120</v>
      </c>
      <c r="K441" t="s">
        <v>120</v>
      </c>
      <c r="L441" t="s">
        <v>120</v>
      </c>
      <c r="M441" t="s">
        <v>124</v>
      </c>
      <c r="N441" t="s">
        <v>120</v>
      </c>
      <c r="O441" t="s">
        <v>124</v>
      </c>
      <c r="P441" t="s">
        <v>120</v>
      </c>
      <c r="Q441" t="s">
        <v>120</v>
      </c>
      <c r="R441" t="s">
        <v>120</v>
      </c>
      <c r="S441" t="s">
        <v>120</v>
      </c>
      <c r="T441" t="s">
        <v>120</v>
      </c>
      <c r="U441" t="s">
        <v>120</v>
      </c>
      <c r="V441" t="s">
        <v>120</v>
      </c>
      <c r="W441" t="s">
        <v>120</v>
      </c>
      <c r="X441" t="s">
        <v>120</v>
      </c>
      <c r="Y441" t="s">
        <v>120</v>
      </c>
      <c r="Z441" t="s">
        <v>120</v>
      </c>
      <c r="AA441" t="s">
        <v>120</v>
      </c>
      <c r="AB441" t="s">
        <v>120</v>
      </c>
      <c r="AC441" t="s">
        <v>120</v>
      </c>
      <c r="AD441" t="s">
        <v>120</v>
      </c>
      <c r="AE441" t="s">
        <v>120</v>
      </c>
      <c r="AF441" t="s">
        <v>120</v>
      </c>
      <c r="AG441" t="s">
        <v>120</v>
      </c>
      <c r="AH441" t="s">
        <v>120</v>
      </c>
      <c r="AJ441">
        <v>0</v>
      </c>
      <c r="AK441">
        <v>8</v>
      </c>
      <c r="AL441">
        <v>0</v>
      </c>
      <c r="AM441">
        <v>8</v>
      </c>
      <c r="AN441">
        <v>0</v>
      </c>
      <c r="AO441">
        <v>33.43</v>
      </c>
      <c r="AP441">
        <v>8</v>
      </c>
      <c r="AQ441">
        <v>0</v>
      </c>
      <c r="AR441">
        <v>75.06</v>
      </c>
      <c r="AS441">
        <v>534.88</v>
      </c>
    </row>
    <row r="442" spans="1:45" x14ac:dyDescent="0.25">
      <c r="A442" t="s">
        <v>1088</v>
      </c>
      <c r="B442" t="s">
        <v>1089</v>
      </c>
      <c r="C442" t="s">
        <v>127</v>
      </c>
      <c r="D442" t="s">
        <v>1077</v>
      </c>
      <c r="E442" t="s">
        <v>120</v>
      </c>
      <c r="F442" t="s">
        <v>120</v>
      </c>
      <c r="G442" t="s">
        <v>120</v>
      </c>
      <c r="H442" t="s">
        <v>120</v>
      </c>
      <c r="I442" t="s">
        <v>120</v>
      </c>
      <c r="J442" t="s">
        <v>120</v>
      </c>
      <c r="K442" t="s">
        <v>120</v>
      </c>
      <c r="L442" t="s">
        <v>120</v>
      </c>
      <c r="M442" t="s">
        <v>120</v>
      </c>
      <c r="N442" t="s">
        <v>120</v>
      </c>
      <c r="O442" t="s">
        <v>120</v>
      </c>
      <c r="P442" t="s">
        <v>120</v>
      </c>
      <c r="Q442" t="s">
        <v>120</v>
      </c>
      <c r="R442" t="s">
        <v>120</v>
      </c>
      <c r="S442" t="s">
        <v>120</v>
      </c>
      <c r="T442" t="s">
        <v>120</v>
      </c>
      <c r="U442" t="s">
        <v>120</v>
      </c>
      <c r="V442" t="s">
        <v>120</v>
      </c>
      <c r="W442" t="s">
        <v>120</v>
      </c>
      <c r="X442" t="s">
        <v>120</v>
      </c>
      <c r="Y442" t="s">
        <v>141</v>
      </c>
      <c r="Z442" t="s">
        <v>120</v>
      </c>
      <c r="AA442" t="s">
        <v>120</v>
      </c>
      <c r="AB442" t="s">
        <v>120</v>
      </c>
      <c r="AC442" t="s">
        <v>120</v>
      </c>
      <c r="AD442" t="s">
        <v>120</v>
      </c>
      <c r="AE442" t="s">
        <v>120</v>
      </c>
      <c r="AF442" t="s">
        <v>120</v>
      </c>
      <c r="AG442" t="s">
        <v>120</v>
      </c>
      <c r="AH442" t="s">
        <v>120</v>
      </c>
      <c r="AJ442">
        <v>0</v>
      </c>
      <c r="AK442">
        <v>8</v>
      </c>
      <c r="AL442">
        <v>8</v>
      </c>
      <c r="AM442">
        <v>0</v>
      </c>
      <c r="AN442">
        <v>0</v>
      </c>
      <c r="AO442">
        <v>33.43</v>
      </c>
      <c r="AP442">
        <v>8</v>
      </c>
      <c r="AQ442">
        <v>0</v>
      </c>
      <c r="AR442">
        <v>75.06</v>
      </c>
      <c r="AS442">
        <v>534.88</v>
      </c>
    </row>
    <row r="443" spans="1:45" x14ac:dyDescent="0.25">
      <c r="A443" t="s">
        <v>1090</v>
      </c>
      <c r="B443" t="s">
        <v>1091</v>
      </c>
      <c r="C443" t="s">
        <v>127</v>
      </c>
      <c r="D443" t="s">
        <v>1077</v>
      </c>
      <c r="E443" t="s">
        <v>120</v>
      </c>
      <c r="F443" t="s">
        <v>120</v>
      </c>
      <c r="G443" t="s">
        <v>120</v>
      </c>
      <c r="H443" t="s">
        <v>120</v>
      </c>
      <c r="I443" t="s">
        <v>120</v>
      </c>
      <c r="J443" t="s">
        <v>120</v>
      </c>
      <c r="K443" t="s">
        <v>120</v>
      </c>
      <c r="L443" t="s">
        <v>120</v>
      </c>
      <c r="M443" t="s">
        <v>120</v>
      </c>
      <c r="N443" t="s">
        <v>120</v>
      </c>
      <c r="O443" t="s">
        <v>120</v>
      </c>
      <c r="P443" t="s">
        <v>120</v>
      </c>
      <c r="Q443" t="s">
        <v>120</v>
      </c>
      <c r="R443" t="s">
        <v>120</v>
      </c>
      <c r="S443" t="s">
        <v>120</v>
      </c>
      <c r="T443" t="s">
        <v>120</v>
      </c>
      <c r="U443" t="s">
        <v>120</v>
      </c>
      <c r="V443" t="s">
        <v>120</v>
      </c>
      <c r="W443" t="s">
        <v>120</v>
      </c>
      <c r="X443" t="s">
        <v>120</v>
      </c>
      <c r="Y443" t="s">
        <v>120</v>
      </c>
      <c r="Z443" t="s">
        <v>120</v>
      </c>
      <c r="AA443" t="s">
        <v>120</v>
      </c>
      <c r="AB443" t="s">
        <v>120</v>
      </c>
      <c r="AC443" t="s">
        <v>120</v>
      </c>
      <c r="AD443" t="s">
        <v>120</v>
      </c>
      <c r="AE443" t="s">
        <v>120</v>
      </c>
      <c r="AF443" t="s">
        <v>120</v>
      </c>
      <c r="AG443" t="s">
        <v>120</v>
      </c>
      <c r="AH443" t="s">
        <v>120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33.43</v>
      </c>
      <c r="AP443">
        <v>0</v>
      </c>
      <c r="AQ443">
        <v>0</v>
      </c>
      <c r="AR443">
        <v>75.06</v>
      </c>
      <c r="AS443">
        <v>0</v>
      </c>
    </row>
    <row r="444" spans="1:45" x14ac:dyDescent="0.25">
      <c r="A444" t="s">
        <v>1092</v>
      </c>
      <c r="B444" t="s">
        <v>1093</v>
      </c>
      <c r="C444" t="s">
        <v>127</v>
      </c>
      <c r="D444" t="s">
        <v>1077</v>
      </c>
      <c r="E444" t="s">
        <v>120</v>
      </c>
      <c r="F444" t="s">
        <v>120</v>
      </c>
      <c r="G444" t="s">
        <v>120</v>
      </c>
      <c r="H444" t="s">
        <v>120</v>
      </c>
      <c r="I444" t="s">
        <v>120</v>
      </c>
      <c r="J444" t="s">
        <v>120</v>
      </c>
      <c r="K444" t="s">
        <v>120</v>
      </c>
      <c r="L444" t="s">
        <v>120</v>
      </c>
      <c r="M444" t="s">
        <v>120</v>
      </c>
      <c r="N444" t="s">
        <v>120</v>
      </c>
      <c r="O444" t="s">
        <v>120</v>
      </c>
      <c r="P444" t="s">
        <v>120</v>
      </c>
      <c r="Q444" t="s">
        <v>120</v>
      </c>
      <c r="R444" t="s">
        <v>120</v>
      </c>
      <c r="S444" t="s">
        <v>120</v>
      </c>
      <c r="T444" t="s">
        <v>120</v>
      </c>
      <c r="U444" t="s">
        <v>120</v>
      </c>
      <c r="V444" t="s">
        <v>120</v>
      </c>
      <c r="W444" t="s">
        <v>120</v>
      </c>
      <c r="X444" t="s">
        <v>120</v>
      </c>
      <c r="Y444" t="s">
        <v>120</v>
      </c>
      <c r="Z444" t="s">
        <v>120</v>
      </c>
      <c r="AA444" t="s">
        <v>120</v>
      </c>
      <c r="AB444" t="s">
        <v>120</v>
      </c>
      <c r="AC444" t="s">
        <v>120</v>
      </c>
      <c r="AD444" t="s">
        <v>120</v>
      </c>
      <c r="AE444" t="s">
        <v>120</v>
      </c>
      <c r="AF444" t="s">
        <v>120</v>
      </c>
      <c r="AG444" t="s">
        <v>120</v>
      </c>
      <c r="AH444" t="s">
        <v>120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33.43</v>
      </c>
      <c r="AP444">
        <v>0</v>
      </c>
      <c r="AQ444">
        <v>0</v>
      </c>
      <c r="AR444">
        <v>75.06</v>
      </c>
      <c r="AS444">
        <v>0</v>
      </c>
    </row>
    <row r="445" spans="1:45" x14ac:dyDescent="0.25">
      <c r="A445" t="s">
        <v>1094</v>
      </c>
      <c r="B445" t="s">
        <v>1095</v>
      </c>
      <c r="C445" t="s">
        <v>127</v>
      </c>
      <c r="D445" t="s">
        <v>1077</v>
      </c>
      <c r="E445" t="s">
        <v>120</v>
      </c>
      <c r="F445" t="s">
        <v>120</v>
      </c>
      <c r="G445" t="s">
        <v>120</v>
      </c>
      <c r="H445" t="s">
        <v>120</v>
      </c>
      <c r="I445" t="s">
        <v>120</v>
      </c>
      <c r="J445" t="s">
        <v>120</v>
      </c>
      <c r="K445" t="s">
        <v>120</v>
      </c>
      <c r="L445" t="s">
        <v>120</v>
      </c>
      <c r="M445" t="s">
        <v>120</v>
      </c>
      <c r="N445" t="s">
        <v>120</v>
      </c>
      <c r="O445" t="s">
        <v>120</v>
      </c>
      <c r="P445" t="s">
        <v>120</v>
      </c>
      <c r="Q445" t="s">
        <v>120</v>
      </c>
      <c r="R445" t="s">
        <v>120</v>
      </c>
      <c r="S445" t="s">
        <v>120</v>
      </c>
      <c r="T445" t="s">
        <v>120</v>
      </c>
      <c r="U445" t="s">
        <v>120</v>
      </c>
      <c r="V445" t="s">
        <v>120</v>
      </c>
      <c r="W445" t="s">
        <v>120</v>
      </c>
      <c r="X445" t="s">
        <v>120</v>
      </c>
      <c r="Y445" t="s">
        <v>120</v>
      </c>
      <c r="Z445" t="s">
        <v>120</v>
      </c>
      <c r="AA445" t="s">
        <v>120</v>
      </c>
      <c r="AB445" t="s">
        <v>120</v>
      </c>
      <c r="AC445" t="s">
        <v>120</v>
      </c>
      <c r="AD445" t="s">
        <v>120</v>
      </c>
      <c r="AE445" t="s">
        <v>120</v>
      </c>
      <c r="AF445" t="s">
        <v>120</v>
      </c>
      <c r="AG445" t="s">
        <v>120</v>
      </c>
      <c r="AH445" t="s">
        <v>120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33.43</v>
      </c>
      <c r="AP445">
        <v>0</v>
      </c>
      <c r="AQ445">
        <v>0</v>
      </c>
      <c r="AR445">
        <v>75.06</v>
      </c>
      <c r="AS445">
        <v>0</v>
      </c>
    </row>
    <row r="446" spans="1:45" x14ac:dyDescent="0.25">
      <c r="A446" t="s">
        <v>1096</v>
      </c>
      <c r="B446" t="s">
        <v>1097</v>
      </c>
      <c r="C446" t="s">
        <v>130</v>
      </c>
      <c r="D446" t="s">
        <v>1077</v>
      </c>
      <c r="E446" t="s">
        <v>120</v>
      </c>
      <c r="F446" t="s">
        <v>120</v>
      </c>
      <c r="G446" t="s">
        <v>120</v>
      </c>
      <c r="H446" t="s">
        <v>120</v>
      </c>
      <c r="I446" t="s">
        <v>120</v>
      </c>
      <c r="J446" t="s">
        <v>120</v>
      </c>
      <c r="K446" t="s">
        <v>120</v>
      </c>
      <c r="L446" t="s">
        <v>120</v>
      </c>
      <c r="M446" t="s">
        <v>120</v>
      </c>
      <c r="N446" t="s">
        <v>120</v>
      </c>
      <c r="O446" t="s">
        <v>120</v>
      </c>
      <c r="P446" t="s">
        <v>120</v>
      </c>
      <c r="Q446" t="s">
        <v>120</v>
      </c>
      <c r="R446" t="s">
        <v>120</v>
      </c>
      <c r="S446" t="s">
        <v>120</v>
      </c>
      <c r="T446" t="s">
        <v>120</v>
      </c>
      <c r="U446" t="s">
        <v>120</v>
      </c>
      <c r="V446" t="s">
        <v>120</v>
      </c>
      <c r="W446" t="s">
        <v>120</v>
      </c>
      <c r="X446" t="s">
        <v>120</v>
      </c>
      <c r="Y446" t="s">
        <v>141</v>
      </c>
      <c r="Z446" t="s">
        <v>120</v>
      </c>
      <c r="AA446" t="s">
        <v>120</v>
      </c>
      <c r="AB446" t="s">
        <v>120</v>
      </c>
      <c r="AC446" t="s">
        <v>120</v>
      </c>
      <c r="AD446" t="s">
        <v>120</v>
      </c>
      <c r="AE446" t="s">
        <v>120</v>
      </c>
      <c r="AF446" t="s">
        <v>120</v>
      </c>
      <c r="AG446" t="s">
        <v>120</v>
      </c>
      <c r="AH446" t="s">
        <v>120</v>
      </c>
      <c r="AJ446">
        <v>0</v>
      </c>
      <c r="AK446">
        <v>8</v>
      </c>
      <c r="AL446">
        <v>8</v>
      </c>
      <c r="AM446">
        <v>0</v>
      </c>
      <c r="AN446">
        <v>0</v>
      </c>
      <c r="AO446">
        <v>7500</v>
      </c>
      <c r="AP446">
        <v>8</v>
      </c>
      <c r="AQ446">
        <v>0</v>
      </c>
      <c r="AR446">
        <v>126.56250000000001</v>
      </c>
      <c r="AS446">
        <v>750</v>
      </c>
    </row>
    <row r="447" spans="1:45" x14ac:dyDescent="0.25">
      <c r="A447" t="s">
        <v>1098</v>
      </c>
      <c r="B447" t="s">
        <v>1099</v>
      </c>
      <c r="C447" t="s">
        <v>127</v>
      </c>
      <c r="D447" t="s">
        <v>1077</v>
      </c>
      <c r="E447" t="s">
        <v>120</v>
      </c>
      <c r="F447" t="s">
        <v>120</v>
      </c>
      <c r="G447" t="s">
        <v>120</v>
      </c>
      <c r="H447" t="s">
        <v>120</v>
      </c>
      <c r="I447" t="s">
        <v>120</v>
      </c>
      <c r="J447" t="s">
        <v>120</v>
      </c>
      <c r="K447" t="s">
        <v>120</v>
      </c>
      <c r="L447" t="s">
        <v>120</v>
      </c>
      <c r="M447" t="s">
        <v>120</v>
      </c>
      <c r="N447" t="s">
        <v>120</v>
      </c>
      <c r="O447" t="s">
        <v>120</v>
      </c>
      <c r="P447" t="s">
        <v>120</v>
      </c>
      <c r="Q447" t="s">
        <v>120</v>
      </c>
      <c r="R447" t="s">
        <v>120</v>
      </c>
      <c r="S447" t="s">
        <v>120</v>
      </c>
      <c r="T447" t="s">
        <v>120</v>
      </c>
      <c r="U447" t="s">
        <v>120</v>
      </c>
      <c r="V447" t="s">
        <v>120</v>
      </c>
      <c r="W447" t="s">
        <v>120</v>
      </c>
      <c r="X447" t="s">
        <v>120</v>
      </c>
      <c r="Y447" t="s">
        <v>120</v>
      </c>
      <c r="Z447" t="s">
        <v>120</v>
      </c>
      <c r="AA447" t="s">
        <v>120</v>
      </c>
      <c r="AB447" t="s">
        <v>120</v>
      </c>
      <c r="AC447" t="s">
        <v>120</v>
      </c>
      <c r="AD447" t="s">
        <v>120</v>
      </c>
      <c r="AE447" t="s">
        <v>120</v>
      </c>
      <c r="AF447" t="s">
        <v>120</v>
      </c>
      <c r="AG447" t="s">
        <v>120</v>
      </c>
      <c r="AH447" t="s">
        <v>120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33.43</v>
      </c>
      <c r="AP447">
        <v>0</v>
      </c>
      <c r="AQ447">
        <v>0</v>
      </c>
      <c r="AR447">
        <v>75.06</v>
      </c>
      <c r="AS447">
        <v>0</v>
      </c>
    </row>
    <row r="448" spans="1:45" x14ac:dyDescent="0.25">
      <c r="A448" t="s">
        <v>1100</v>
      </c>
      <c r="B448" t="s">
        <v>1101</v>
      </c>
      <c r="C448" t="s">
        <v>127</v>
      </c>
      <c r="D448" t="s">
        <v>1077</v>
      </c>
      <c r="E448" t="s">
        <v>120</v>
      </c>
      <c r="F448" t="s">
        <v>120</v>
      </c>
      <c r="G448" t="s">
        <v>120</v>
      </c>
      <c r="H448" t="s">
        <v>120</v>
      </c>
      <c r="I448" t="s">
        <v>120</v>
      </c>
      <c r="J448" t="s">
        <v>120</v>
      </c>
      <c r="K448" t="s">
        <v>120</v>
      </c>
      <c r="L448" t="s">
        <v>120</v>
      </c>
      <c r="M448" t="s">
        <v>120</v>
      </c>
      <c r="N448" t="s">
        <v>120</v>
      </c>
      <c r="O448" t="s">
        <v>120</v>
      </c>
      <c r="P448" t="s">
        <v>120</v>
      </c>
      <c r="Q448" t="s">
        <v>120</v>
      </c>
      <c r="R448" t="s">
        <v>120</v>
      </c>
      <c r="S448" t="s">
        <v>120</v>
      </c>
      <c r="T448" t="s">
        <v>120</v>
      </c>
      <c r="U448" t="s">
        <v>120</v>
      </c>
      <c r="V448" t="s">
        <v>120</v>
      </c>
      <c r="W448" t="s">
        <v>120</v>
      </c>
      <c r="X448" t="s">
        <v>120</v>
      </c>
      <c r="Y448" t="s">
        <v>120</v>
      </c>
      <c r="Z448" t="s">
        <v>120</v>
      </c>
      <c r="AA448" t="s">
        <v>120</v>
      </c>
      <c r="AB448" t="s">
        <v>120</v>
      </c>
      <c r="AC448" t="s">
        <v>120</v>
      </c>
      <c r="AD448" t="s">
        <v>120</v>
      </c>
      <c r="AE448" t="s">
        <v>120</v>
      </c>
      <c r="AF448" t="s">
        <v>120</v>
      </c>
      <c r="AG448" t="s">
        <v>120</v>
      </c>
      <c r="AH448" t="s">
        <v>120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33.43</v>
      </c>
      <c r="AP448">
        <v>0</v>
      </c>
      <c r="AQ448">
        <v>0</v>
      </c>
      <c r="AR448">
        <v>75.06</v>
      </c>
      <c r="AS448">
        <v>0</v>
      </c>
    </row>
    <row r="449" spans="1:45" x14ac:dyDescent="0.25">
      <c r="A449" t="s">
        <v>1102</v>
      </c>
      <c r="B449" t="s">
        <v>1103</v>
      </c>
      <c r="C449" t="s">
        <v>127</v>
      </c>
      <c r="D449" t="s">
        <v>1077</v>
      </c>
      <c r="E449" t="s">
        <v>120</v>
      </c>
      <c r="F449" t="s">
        <v>120</v>
      </c>
      <c r="G449" t="s">
        <v>120</v>
      </c>
      <c r="H449" t="s">
        <v>120</v>
      </c>
      <c r="I449" t="s">
        <v>120</v>
      </c>
      <c r="J449" t="s">
        <v>120</v>
      </c>
      <c r="K449" t="s">
        <v>120</v>
      </c>
      <c r="L449" t="s">
        <v>120</v>
      </c>
      <c r="M449" t="s">
        <v>120</v>
      </c>
      <c r="N449" t="s">
        <v>120</v>
      </c>
      <c r="O449" t="s">
        <v>120</v>
      </c>
      <c r="P449" t="s">
        <v>120</v>
      </c>
      <c r="Q449" t="s">
        <v>120</v>
      </c>
      <c r="R449" t="s">
        <v>120</v>
      </c>
      <c r="S449" t="s">
        <v>120</v>
      </c>
      <c r="T449" t="s">
        <v>120</v>
      </c>
      <c r="U449" t="s">
        <v>120</v>
      </c>
      <c r="V449" t="s">
        <v>120</v>
      </c>
      <c r="W449" t="s">
        <v>120</v>
      </c>
      <c r="X449" t="s">
        <v>120</v>
      </c>
      <c r="Y449" t="s">
        <v>120</v>
      </c>
      <c r="Z449" t="s">
        <v>120</v>
      </c>
      <c r="AA449" t="s">
        <v>120</v>
      </c>
      <c r="AB449" t="s">
        <v>120</v>
      </c>
      <c r="AC449" t="s">
        <v>120</v>
      </c>
      <c r="AD449" t="s">
        <v>120</v>
      </c>
      <c r="AE449" t="s">
        <v>120</v>
      </c>
      <c r="AF449" t="s">
        <v>120</v>
      </c>
      <c r="AG449" t="s">
        <v>120</v>
      </c>
      <c r="AH449" t="s">
        <v>120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33.43</v>
      </c>
      <c r="AP449">
        <v>0</v>
      </c>
      <c r="AQ449">
        <v>0</v>
      </c>
      <c r="AR449">
        <v>75.06</v>
      </c>
      <c r="AS449">
        <v>0</v>
      </c>
    </row>
    <row r="450" spans="1:45" x14ac:dyDescent="0.25">
      <c r="A450" t="s">
        <v>1104</v>
      </c>
      <c r="B450" t="s">
        <v>1105</v>
      </c>
      <c r="C450" t="s">
        <v>147</v>
      </c>
      <c r="D450" t="s">
        <v>1077</v>
      </c>
      <c r="E450" t="s">
        <v>120</v>
      </c>
      <c r="F450" t="s">
        <v>120</v>
      </c>
      <c r="G450" t="s">
        <v>120</v>
      </c>
      <c r="H450" t="s">
        <v>120</v>
      </c>
      <c r="I450" t="s">
        <v>120</v>
      </c>
      <c r="J450" t="s">
        <v>120</v>
      </c>
      <c r="K450" t="s">
        <v>120</v>
      </c>
      <c r="L450" t="s">
        <v>120</v>
      </c>
      <c r="M450" t="s">
        <v>120</v>
      </c>
      <c r="N450" t="s">
        <v>120</v>
      </c>
      <c r="O450" t="s">
        <v>120</v>
      </c>
      <c r="P450" t="s">
        <v>120</v>
      </c>
      <c r="Q450" t="s">
        <v>120</v>
      </c>
      <c r="R450" t="s">
        <v>120</v>
      </c>
      <c r="S450" t="s">
        <v>120</v>
      </c>
      <c r="T450" t="s">
        <v>120</v>
      </c>
      <c r="U450" t="s">
        <v>120</v>
      </c>
      <c r="V450" t="s">
        <v>120</v>
      </c>
      <c r="W450" t="s">
        <v>120</v>
      </c>
      <c r="X450" t="s">
        <v>120</v>
      </c>
      <c r="Y450" t="s">
        <v>120</v>
      </c>
      <c r="Z450" t="s">
        <v>120</v>
      </c>
      <c r="AA450" t="s">
        <v>120</v>
      </c>
      <c r="AB450" t="s">
        <v>120</v>
      </c>
      <c r="AC450" t="s">
        <v>120</v>
      </c>
      <c r="AD450" t="s">
        <v>120</v>
      </c>
      <c r="AE450" t="s">
        <v>120</v>
      </c>
      <c r="AF450" t="s">
        <v>120</v>
      </c>
      <c r="AG450" t="s">
        <v>120</v>
      </c>
      <c r="AH450" t="s">
        <v>120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31.55</v>
      </c>
      <c r="AP450">
        <v>0</v>
      </c>
      <c r="AQ450">
        <v>0</v>
      </c>
      <c r="AR450">
        <v>70.2</v>
      </c>
      <c r="AS450">
        <v>0</v>
      </c>
    </row>
    <row r="451" spans="1:45" x14ac:dyDescent="0.25">
      <c r="A451" t="s">
        <v>1106</v>
      </c>
      <c r="B451" t="s">
        <v>1107</v>
      </c>
      <c r="C451" t="s">
        <v>127</v>
      </c>
      <c r="D451" t="s">
        <v>1077</v>
      </c>
      <c r="E451" t="s">
        <v>120</v>
      </c>
      <c r="F451" t="s">
        <v>120</v>
      </c>
      <c r="G451" t="s">
        <v>120</v>
      </c>
      <c r="H451" t="s">
        <v>120</v>
      </c>
      <c r="I451" t="s">
        <v>120</v>
      </c>
      <c r="J451" t="s">
        <v>120</v>
      </c>
      <c r="K451" t="s">
        <v>120</v>
      </c>
      <c r="L451" t="s">
        <v>120</v>
      </c>
      <c r="M451" t="s">
        <v>120</v>
      </c>
      <c r="N451" t="s">
        <v>120</v>
      </c>
      <c r="O451" t="s">
        <v>120</v>
      </c>
      <c r="P451" t="s">
        <v>120</v>
      </c>
      <c r="Q451" t="s">
        <v>120</v>
      </c>
      <c r="R451" t="s">
        <v>120</v>
      </c>
      <c r="S451" t="s">
        <v>120</v>
      </c>
      <c r="T451" t="s">
        <v>120</v>
      </c>
      <c r="U451" t="s">
        <v>120</v>
      </c>
      <c r="V451" t="s">
        <v>120</v>
      </c>
      <c r="W451" t="s">
        <v>120</v>
      </c>
      <c r="X451" t="s">
        <v>120</v>
      </c>
      <c r="Y451" t="s">
        <v>120</v>
      </c>
      <c r="Z451" t="s">
        <v>120</v>
      </c>
      <c r="AA451" t="s">
        <v>120</v>
      </c>
      <c r="AB451" t="s">
        <v>120</v>
      </c>
      <c r="AC451" t="s">
        <v>120</v>
      </c>
      <c r="AD451" t="s">
        <v>120</v>
      </c>
      <c r="AE451" t="s">
        <v>120</v>
      </c>
      <c r="AF451" t="s">
        <v>120</v>
      </c>
      <c r="AG451" t="s">
        <v>120</v>
      </c>
      <c r="AH451" t="s">
        <v>120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33.43</v>
      </c>
      <c r="AP451">
        <v>0</v>
      </c>
      <c r="AQ451">
        <v>0</v>
      </c>
      <c r="AR451">
        <v>75.06</v>
      </c>
      <c r="AS451">
        <v>0</v>
      </c>
    </row>
    <row r="452" spans="1:45" x14ac:dyDescent="0.25">
      <c r="A452" t="s">
        <v>1108</v>
      </c>
      <c r="B452" t="s">
        <v>1109</v>
      </c>
      <c r="C452" t="s">
        <v>127</v>
      </c>
      <c r="D452" t="s">
        <v>1077</v>
      </c>
      <c r="E452" t="s">
        <v>120</v>
      </c>
      <c r="F452" t="s">
        <v>120</v>
      </c>
      <c r="G452" t="s">
        <v>120</v>
      </c>
      <c r="H452" t="s">
        <v>120</v>
      </c>
      <c r="I452" t="s">
        <v>120</v>
      </c>
      <c r="J452" t="s">
        <v>120</v>
      </c>
      <c r="K452" t="s">
        <v>120</v>
      </c>
      <c r="L452" t="s">
        <v>120</v>
      </c>
      <c r="M452" t="s">
        <v>120</v>
      </c>
      <c r="N452" t="s">
        <v>120</v>
      </c>
      <c r="O452" t="s">
        <v>120</v>
      </c>
      <c r="P452" t="s">
        <v>120</v>
      </c>
      <c r="Q452" t="s">
        <v>120</v>
      </c>
      <c r="R452" t="s">
        <v>120</v>
      </c>
      <c r="S452" t="s">
        <v>120</v>
      </c>
      <c r="T452" t="s">
        <v>120</v>
      </c>
      <c r="U452" t="s">
        <v>120</v>
      </c>
      <c r="V452" t="s">
        <v>120</v>
      </c>
      <c r="W452" t="s">
        <v>120</v>
      </c>
      <c r="X452" t="s">
        <v>120</v>
      </c>
      <c r="Y452" t="s">
        <v>120</v>
      </c>
      <c r="Z452" t="s">
        <v>120</v>
      </c>
      <c r="AA452" t="s">
        <v>120</v>
      </c>
      <c r="AB452" t="s">
        <v>120</v>
      </c>
      <c r="AC452" t="s">
        <v>120</v>
      </c>
      <c r="AD452" t="s">
        <v>120</v>
      </c>
      <c r="AE452" t="s">
        <v>120</v>
      </c>
      <c r="AF452" t="s">
        <v>120</v>
      </c>
      <c r="AG452" t="s">
        <v>120</v>
      </c>
      <c r="AH452" t="s">
        <v>120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33.43</v>
      </c>
      <c r="AP452">
        <v>0</v>
      </c>
      <c r="AQ452">
        <v>0</v>
      </c>
      <c r="AR452">
        <v>75.06</v>
      </c>
      <c r="AS452">
        <v>0</v>
      </c>
    </row>
    <row r="453" spans="1:45" x14ac:dyDescent="0.25">
      <c r="A453" t="s">
        <v>1110</v>
      </c>
      <c r="B453" t="s">
        <v>1111</v>
      </c>
      <c r="C453" t="s">
        <v>147</v>
      </c>
      <c r="D453" t="s">
        <v>1077</v>
      </c>
      <c r="E453" t="s">
        <v>120</v>
      </c>
      <c r="F453" t="s">
        <v>120</v>
      </c>
      <c r="G453" t="s">
        <v>120</v>
      </c>
      <c r="H453" t="s">
        <v>120</v>
      </c>
      <c r="I453" t="s">
        <v>120</v>
      </c>
      <c r="J453" t="s">
        <v>120</v>
      </c>
      <c r="K453" t="s">
        <v>120</v>
      </c>
      <c r="L453" t="s">
        <v>120</v>
      </c>
      <c r="M453" t="s">
        <v>120</v>
      </c>
      <c r="N453" t="s">
        <v>120</v>
      </c>
      <c r="O453" t="s">
        <v>120</v>
      </c>
      <c r="P453" t="s">
        <v>120</v>
      </c>
      <c r="Q453" t="s">
        <v>120</v>
      </c>
      <c r="R453" t="s">
        <v>120</v>
      </c>
      <c r="S453" t="s">
        <v>120</v>
      </c>
      <c r="T453" t="s">
        <v>120</v>
      </c>
      <c r="U453" t="s">
        <v>120</v>
      </c>
      <c r="V453" t="s">
        <v>120</v>
      </c>
      <c r="W453" t="s">
        <v>120</v>
      </c>
      <c r="X453" t="s">
        <v>120</v>
      </c>
      <c r="Y453" t="s">
        <v>120</v>
      </c>
      <c r="Z453" t="s">
        <v>120</v>
      </c>
      <c r="AA453" t="s">
        <v>120</v>
      </c>
      <c r="AB453" t="s">
        <v>120</v>
      </c>
      <c r="AC453" t="s">
        <v>120</v>
      </c>
      <c r="AD453" t="s">
        <v>120</v>
      </c>
      <c r="AE453" t="s">
        <v>120</v>
      </c>
      <c r="AF453" t="s">
        <v>120</v>
      </c>
      <c r="AG453" t="s">
        <v>120</v>
      </c>
      <c r="AH453" t="s">
        <v>120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31.55</v>
      </c>
      <c r="AP453">
        <v>0</v>
      </c>
      <c r="AQ453">
        <v>0</v>
      </c>
      <c r="AR453">
        <v>70.2</v>
      </c>
      <c r="AS453">
        <v>0</v>
      </c>
    </row>
    <row r="454" spans="1:45" x14ac:dyDescent="0.25">
      <c r="A454" t="s">
        <v>1112</v>
      </c>
      <c r="B454" t="s">
        <v>1113</v>
      </c>
      <c r="C454" t="s">
        <v>147</v>
      </c>
      <c r="D454" t="s">
        <v>1077</v>
      </c>
      <c r="E454" t="s">
        <v>120</v>
      </c>
      <c r="F454" t="s">
        <v>120</v>
      </c>
      <c r="G454" t="s">
        <v>120</v>
      </c>
      <c r="H454" t="s">
        <v>120</v>
      </c>
      <c r="I454" t="s">
        <v>120</v>
      </c>
      <c r="J454" t="s">
        <v>120</v>
      </c>
      <c r="K454" t="s">
        <v>120</v>
      </c>
      <c r="L454" t="s">
        <v>120</v>
      </c>
      <c r="M454" t="s">
        <v>120</v>
      </c>
      <c r="N454" t="s">
        <v>120</v>
      </c>
      <c r="O454" t="s">
        <v>120</v>
      </c>
      <c r="P454" t="s">
        <v>120</v>
      </c>
      <c r="Q454" t="s">
        <v>120</v>
      </c>
      <c r="R454" t="s">
        <v>120</v>
      </c>
      <c r="S454" t="s">
        <v>120</v>
      </c>
      <c r="T454" t="s">
        <v>120</v>
      </c>
      <c r="U454" t="s">
        <v>120</v>
      </c>
      <c r="V454" t="s">
        <v>120</v>
      </c>
      <c r="W454" t="s">
        <v>120</v>
      </c>
      <c r="X454" t="s">
        <v>120</v>
      </c>
      <c r="Y454" t="s">
        <v>120</v>
      </c>
      <c r="Z454" t="s">
        <v>120</v>
      </c>
      <c r="AA454" t="s">
        <v>120</v>
      </c>
      <c r="AB454" t="s">
        <v>120</v>
      </c>
      <c r="AC454" t="s">
        <v>120</v>
      </c>
      <c r="AD454" t="s">
        <v>120</v>
      </c>
      <c r="AE454" t="s">
        <v>120</v>
      </c>
      <c r="AF454" t="s">
        <v>120</v>
      </c>
      <c r="AG454" t="s">
        <v>120</v>
      </c>
      <c r="AH454" t="s">
        <v>120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31.55</v>
      </c>
      <c r="AP454">
        <v>0</v>
      </c>
      <c r="AQ454">
        <v>0</v>
      </c>
      <c r="AR454">
        <v>70.2</v>
      </c>
      <c r="AS454">
        <v>0</v>
      </c>
    </row>
    <row r="455" spans="1:45" x14ac:dyDescent="0.25">
      <c r="A455" t="s">
        <v>1114</v>
      </c>
      <c r="B455" t="s">
        <v>1115</v>
      </c>
      <c r="C455" t="s">
        <v>147</v>
      </c>
      <c r="D455" t="s">
        <v>1077</v>
      </c>
      <c r="E455" t="s">
        <v>120</v>
      </c>
      <c r="F455" t="s">
        <v>120</v>
      </c>
      <c r="G455" t="s">
        <v>120</v>
      </c>
      <c r="H455" t="s">
        <v>120</v>
      </c>
      <c r="I455" t="s">
        <v>120</v>
      </c>
      <c r="J455" t="s">
        <v>120</v>
      </c>
      <c r="K455" t="s">
        <v>120</v>
      </c>
      <c r="L455" t="s">
        <v>120</v>
      </c>
      <c r="M455" t="s">
        <v>120</v>
      </c>
      <c r="N455" t="s">
        <v>120</v>
      </c>
      <c r="O455" t="s">
        <v>120</v>
      </c>
      <c r="P455" t="s">
        <v>120</v>
      </c>
      <c r="Q455" t="s">
        <v>120</v>
      </c>
      <c r="R455" t="s">
        <v>120</v>
      </c>
      <c r="S455" t="s">
        <v>120</v>
      </c>
      <c r="T455" t="s">
        <v>120</v>
      </c>
      <c r="U455" t="s">
        <v>120</v>
      </c>
      <c r="V455" t="s">
        <v>120</v>
      </c>
      <c r="W455" t="s">
        <v>120</v>
      </c>
      <c r="X455" t="s">
        <v>120</v>
      </c>
      <c r="Y455" t="s">
        <v>120</v>
      </c>
      <c r="Z455" t="s">
        <v>120</v>
      </c>
      <c r="AA455" t="s">
        <v>120</v>
      </c>
      <c r="AB455" t="s">
        <v>120</v>
      </c>
      <c r="AC455" t="s">
        <v>120</v>
      </c>
      <c r="AD455" t="s">
        <v>120</v>
      </c>
      <c r="AE455" t="s">
        <v>120</v>
      </c>
      <c r="AF455" t="s">
        <v>120</v>
      </c>
      <c r="AG455" t="s">
        <v>120</v>
      </c>
      <c r="AH455" t="s">
        <v>120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31.55</v>
      </c>
      <c r="AP455">
        <v>0</v>
      </c>
      <c r="AQ455">
        <v>0</v>
      </c>
      <c r="AR455">
        <v>70.2</v>
      </c>
      <c r="AS455">
        <v>0</v>
      </c>
    </row>
    <row r="456" spans="1:45" x14ac:dyDescent="0.25">
      <c r="A456" t="s">
        <v>1116</v>
      </c>
      <c r="B456" t="s">
        <v>1117</v>
      </c>
      <c r="C456" t="s">
        <v>147</v>
      </c>
      <c r="D456" t="s">
        <v>1077</v>
      </c>
      <c r="E456" t="s">
        <v>120</v>
      </c>
      <c r="F456" t="s">
        <v>120</v>
      </c>
      <c r="G456" t="s">
        <v>120</v>
      </c>
      <c r="H456" t="s">
        <v>120</v>
      </c>
      <c r="I456" t="s">
        <v>120</v>
      </c>
      <c r="J456" t="s">
        <v>120</v>
      </c>
      <c r="K456" t="s">
        <v>120</v>
      </c>
      <c r="L456" t="s">
        <v>120</v>
      </c>
      <c r="M456" t="s">
        <v>120</v>
      </c>
      <c r="N456" t="s">
        <v>120</v>
      </c>
      <c r="O456" t="s">
        <v>120</v>
      </c>
      <c r="P456" t="s">
        <v>120</v>
      </c>
      <c r="Q456" t="s">
        <v>120</v>
      </c>
      <c r="R456" t="s">
        <v>120</v>
      </c>
      <c r="S456" t="s">
        <v>120</v>
      </c>
      <c r="T456" t="s">
        <v>120</v>
      </c>
      <c r="U456" t="s">
        <v>120</v>
      </c>
      <c r="V456" t="s">
        <v>120</v>
      </c>
      <c r="W456" t="s">
        <v>120</v>
      </c>
      <c r="X456" t="s">
        <v>120</v>
      </c>
      <c r="Y456" t="s">
        <v>120</v>
      </c>
      <c r="Z456" t="s">
        <v>120</v>
      </c>
      <c r="AA456" t="s">
        <v>120</v>
      </c>
      <c r="AB456" t="s">
        <v>120</v>
      </c>
      <c r="AC456" t="s">
        <v>120</v>
      </c>
      <c r="AD456" t="s">
        <v>120</v>
      </c>
      <c r="AE456" t="s">
        <v>120</v>
      </c>
      <c r="AF456" t="s">
        <v>120</v>
      </c>
      <c r="AG456" t="s">
        <v>120</v>
      </c>
      <c r="AH456" t="s">
        <v>120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31.55</v>
      </c>
      <c r="AP456">
        <v>0</v>
      </c>
      <c r="AQ456">
        <v>0</v>
      </c>
      <c r="AR456">
        <v>70.2</v>
      </c>
      <c r="AS456">
        <v>0</v>
      </c>
    </row>
    <row r="457" spans="1:45" x14ac:dyDescent="0.25">
      <c r="A457" t="s">
        <v>1118</v>
      </c>
      <c r="B457" t="s">
        <v>1119</v>
      </c>
      <c r="C457" t="s">
        <v>127</v>
      </c>
      <c r="D457" t="s">
        <v>1077</v>
      </c>
      <c r="E457" t="s">
        <v>120</v>
      </c>
      <c r="F457" t="s">
        <v>120</v>
      </c>
      <c r="G457" t="s">
        <v>120</v>
      </c>
      <c r="H457" t="s">
        <v>120</v>
      </c>
      <c r="I457" t="s">
        <v>120</v>
      </c>
      <c r="J457" t="s">
        <v>120</v>
      </c>
      <c r="K457" t="s">
        <v>120</v>
      </c>
      <c r="L457" t="s">
        <v>120</v>
      </c>
      <c r="M457" t="s">
        <v>120</v>
      </c>
      <c r="N457" t="s">
        <v>120</v>
      </c>
      <c r="O457" t="s">
        <v>120</v>
      </c>
      <c r="P457" t="s">
        <v>120</v>
      </c>
      <c r="Q457" t="s">
        <v>120</v>
      </c>
      <c r="R457" t="s">
        <v>120</v>
      </c>
      <c r="S457" t="s">
        <v>120</v>
      </c>
      <c r="T457" t="s">
        <v>120</v>
      </c>
      <c r="U457" t="s">
        <v>120</v>
      </c>
      <c r="V457" t="s">
        <v>120</v>
      </c>
      <c r="W457" t="s">
        <v>120</v>
      </c>
      <c r="X457" t="s">
        <v>120</v>
      </c>
      <c r="Y457" t="s">
        <v>120</v>
      </c>
      <c r="Z457" t="s">
        <v>120</v>
      </c>
      <c r="AA457" t="s">
        <v>120</v>
      </c>
      <c r="AB457" t="s">
        <v>120</v>
      </c>
      <c r="AC457" t="s">
        <v>120</v>
      </c>
      <c r="AD457" t="s">
        <v>120</v>
      </c>
      <c r="AE457" t="s">
        <v>120</v>
      </c>
      <c r="AF457" t="s">
        <v>120</v>
      </c>
      <c r="AG457" t="s">
        <v>120</v>
      </c>
      <c r="AH457" t="s">
        <v>120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33.43</v>
      </c>
      <c r="AP457">
        <v>0</v>
      </c>
      <c r="AQ457">
        <v>0</v>
      </c>
      <c r="AR457">
        <v>75.06</v>
      </c>
      <c r="AS457">
        <v>0</v>
      </c>
    </row>
    <row r="458" spans="1:45" x14ac:dyDescent="0.25">
      <c r="A458" t="s">
        <v>1120</v>
      </c>
      <c r="B458" t="s">
        <v>1121</v>
      </c>
      <c r="C458" t="s">
        <v>147</v>
      </c>
      <c r="D458" t="s">
        <v>1077</v>
      </c>
      <c r="E458" t="s">
        <v>120</v>
      </c>
      <c r="F458" t="s">
        <v>120</v>
      </c>
      <c r="G458" t="s">
        <v>120</v>
      </c>
      <c r="H458" t="s">
        <v>120</v>
      </c>
      <c r="I458" t="s">
        <v>120</v>
      </c>
      <c r="J458" t="s">
        <v>120</v>
      </c>
      <c r="K458" t="s">
        <v>120</v>
      </c>
      <c r="L458" t="s">
        <v>120</v>
      </c>
      <c r="M458" t="s">
        <v>120</v>
      </c>
      <c r="N458" t="s">
        <v>120</v>
      </c>
      <c r="O458" t="s">
        <v>120</v>
      </c>
      <c r="P458" t="s">
        <v>120</v>
      </c>
      <c r="Q458" t="s">
        <v>120</v>
      </c>
      <c r="R458" t="s">
        <v>120</v>
      </c>
      <c r="S458" t="s">
        <v>120</v>
      </c>
      <c r="T458" t="s">
        <v>120</v>
      </c>
      <c r="U458" t="s">
        <v>120</v>
      </c>
      <c r="V458" t="s">
        <v>120</v>
      </c>
      <c r="W458" t="s">
        <v>120</v>
      </c>
      <c r="X458" t="s">
        <v>120</v>
      </c>
      <c r="Y458" t="s">
        <v>120</v>
      </c>
      <c r="Z458" t="s">
        <v>120</v>
      </c>
      <c r="AA458" t="s">
        <v>120</v>
      </c>
      <c r="AB458" t="s">
        <v>120</v>
      </c>
      <c r="AC458" t="s">
        <v>120</v>
      </c>
      <c r="AD458" t="s">
        <v>120</v>
      </c>
      <c r="AE458" t="s">
        <v>120</v>
      </c>
      <c r="AF458" t="s">
        <v>120</v>
      </c>
      <c r="AG458" t="s">
        <v>120</v>
      </c>
      <c r="AH458" t="s">
        <v>120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31.55</v>
      </c>
      <c r="AP458">
        <v>0</v>
      </c>
      <c r="AQ458">
        <v>0</v>
      </c>
      <c r="AR458">
        <v>70.2</v>
      </c>
      <c r="AS458">
        <v>0</v>
      </c>
    </row>
    <row r="459" spans="1:45" x14ac:dyDescent="0.25">
      <c r="A459" t="s">
        <v>1122</v>
      </c>
      <c r="B459" t="s">
        <v>1123</v>
      </c>
      <c r="C459" t="s">
        <v>127</v>
      </c>
      <c r="D459" t="s">
        <v>1077</v>
      </c>
      <c r="E459" t="s">
        <v>120</v>
      </c>
      <c r="F459" t="s">
        <v>120</v>
      </c>
      <c r="G459" t="s">
        <v>120</v>
      </c>
      <c r="H459" t="s">
        <v>120</v>
      </c>
      <c r="I459" t="s">
        <v>120</v>
      </c>
      <c r="J459" t="s">
        <v>120</v>
      </c>
      <c r="K459" t="s">
        <v>120</v>
      </c>
      <c r="L459" t="s">
        <v>120</v>
      </c>
      <c r="M459" t="s">
        <v>120</v>
      </c>
      <c r="N459" t="s">
        <v>120</v>
      </c>
      <c r="O459" t="s">
        <v>120</v>
      </c>
      <c r="P459" t="s">
        <v>120</v>
      </c>
      <c r="Q459" t="s">
        <v>120</v>
      </c>
      <c r="R459" t="s">
        <v>120</v>
      </c>
      <c r="S459" t="s">
        <v>120</v>
      </c>
      <c r="T459" t="s">
        <v>120</v>
      </c>
      <c r="U459" t="s">
        <v>120</v>
      </c>
      <c r="V459" t="s">
        <v>120</v>
      </c>
      <c r="W459" t="s">
        <v>120</v>
      </c>
      <c r="X459" t="s">
        <v>120</v>
      </c>
      <c r="Y459" t="s">
        <v>141</v>
      </c>
      <c r="Z459" t="s">
        <v>120</v>
      </c>
      <c r="AA459" t="s">
        <v>120</v>
      </c>
      <c r="AB459" t="s">
        <v>120</v>
      </c>
      <c r="AC459" t="s">
        <v>120</v>
      </c>
      <c r="AD459" t="s">
        <v>120</v>
      </c>
      <c r="AE459" t="s">
        <v>120</v>
      </c>
      <c r="AF459" t="s">
        <v>120</v>
      </c>
      <c r="AG459" t="s">
        <v>120</v>
      </c>
      <c r="AH459" t="s">
        <v>120</v>
      </c>
      <c r="AJ459">
        <v>0</v>
      </c>
      <c r="AK459">
        <v>8</v>
      </c>
      <c r="AL459">
        <v>8</v>
      </c>
      <c r="AM459">
        <v>0</v>
      </c>
      <c r="AN459">
        <v>0</v>
      </c>
      <c r="AO459">
        <v>33.43</v>
      </c>
      <c r="AP459">
        <v>8</v>
      </c>
      <c r="AQ459">
        <v>0</v>
      </c>
      <c r="AR459">
        <v>75.06</v>
      </c>
      <c r="AS459">
        <v>534.88</v>
      </c>
    </row>
    <row r="460" spans="1:45" x14ac:dyDescent="0.25">
      <c r="A460" t="s">
        <v>1124</v>
      </c>
      <c r="B460" t="s">
        <v>1125</v>
      </c>
      <c r="C460" t="s">
        <v>127</v>
      </c>
      <c r="D460" t="s">
        <v>1077</v>
      </c>
      <c r="E460" t="s">
        <v>120</v>
      </c>
      <c r="F460" t="s">
        <v>120</v>
      </c>
      <c r="G460" t="s">
        <v>120</v>
      </c>
      <c r="H460" t="s">
        <v>120</v>
      </c>
      <c r="I460" t="s">
        <v>120</v>
      </c>
      <c r="J460" t="s">
        <v>120</v>
      </c>
      <c r="K460" t="s">
        <v>120</v>
      </c>
      <c r="L460" t="s">
        <v>120</v>
      </c>
      <c r="M460" t="s">
        <v>120</v>
      </c>
      <c r="N460" t="s">
        <v>120</v>
      </c>
      <c r="O460" t="s">
        <v>120</v>
      </c>
      <c r="P460" t="s">
        <v>120</v>
      </c>
      <c r="Q460" t="s">
        <v>120</v>
      </c>
      <c r="R460" t="s">
        <v>120</v>
      </c>
      <c r="S460" t="s">
        <v>120</v>
      </c>
      <c r="T460" t="s">
        <v>120</v>
      </c>
      <c r="U460" t="s">
        <v>120</v>
      </c>
      <c r="V460" t="s">
        <v>120</v>
      </c>
      <c r="W460" t="s">
        <v>120</v>
      </c>
      <c r="X460" t="s">
        <v>120</v>
      </c>
      <c r="Y460" t="s">
        <v>120</v>
      </c>
      <c r="Z460" t="s">
        <v>120</v>
      </c>
      <c r="AA460" t="s">
        <v>120</v>
      </c>
      <c r="AB460" t="s">
        <v>120</v>
      </c>
      <c r="AC460" t="s">
        <v>120</v>
      </c>
      <c r="AD460" t="s">
        <v>120</v>
      </c>
      <c r="AE460" t="s">
        <v>120</v>
      </c>
      <c r="AF460" t="s">
        <v>120</v>
      </c>
      <c r="AG460" t="s">
        <v>120</v>
      </c>
      <c r="AH460" t="s">
        <v>120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33.43</v>
      </c>
      <c r="AP460">
        <v>0</v>
      </c>
      <c r="AQ460">
        <v>0</v>
      </c>
      <c r="AR460">
        <v>75.06</v>
      </c>
      <c r="AS460">
        <v>0</v>
      </c>
    </row>
    <row r="461" spans="1:45" x14ac:dyDescent="0.25">
      <c r="A461" t="s">
        <v>1126</v>
      </c>
      <c r="B461" t="s">
        <v>1127</v>
      </c>
      <c r="C461" t="s">
        <v>127</v>
      </c>
      <c r="D461" t="s">
        <v>1077</v>
      </c>
      <c r="E461" t="s">
        <v>120</v>
      </c>
      <c r="F461" t="s">
        <v>120</v>
      </c>
      <c r="G461" t="s">
        <v>120</v>
      </c>
      <c r="H461" t="s">
        <v>120</v>
      </c>
      <c r="I461" t="s">
        <v>120</v>
      </c>
      <c r="J461" t="s">
        <v>120</v>
      </c>
      <c r="K461" t="s">
        <v>120</v>
      </c>
      <c r="L461" t="s">
        <v>120</v>
      </c>
      <c r="M461" t="s">
        <v>120</v>
      </c>
      <c r="N461" t="s">
        <v>120</v>
      </c>
      <c r="O461" t="s">
        <v>120</v>
      </c>
      <c r="P461" t="s">
        <v>120</v>
      </c>
      <c r="Q461" t="s">
        <v>120</v>
      </c>
      <c r="R461" t="s">
        <v>120</v>
      </c>
      <c r="S461" t="s">
        <v>120</v>
      </c>
      <c r="T461" t="s">
        <v>120</v>
      </c>
      <c r="U461" t="s">
        <v>120</v>
      </c>
      <c r="V461" t="s">
        <v>120</v>
      </c>
      <c r="W461" t="s">
        <v>120</v>
      </c>
      <c r="X461" t="s">
        <v>120</v>
      </c>
      <c r="Y461" t="s">
        <v>120</v>
      </c>
      <c r="Z461" t="s">
        <v>120</v>
      </c>
      <c r="AA461" t="s">
        <v>120</v>
      </c>
      <c r="AB461" t="s">
        <v>120</v>
      </c>
      <c r="AC461" t="s">
        <v>120</v>
      </c>
      <c r="AD461" t="s">
        <v>120</v>
      </c>
      <c r="AE461" t="s">
        <v>120</v>
      </c>
      <c r="AF461" t="s">
        <v>120</v>
      </c>
      <c r="AG461" t="s">
        <v>120</v>
      </c>
      <c r="AH461" t="s">
        <v>120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33.43</v>
      </c>
      <c r="AP461">
        <v>0</v>
      </c>
      <c r="AQ461">
        <v>0</v>
      </c>
      <c r="AR461">
        <v>75.06</v>
      </c>
      <c r="AS461">
        <v>0</v>
      </c>
    </row>
    <row r="462" spans="1:45" x14ac:dyDescent="0.25">
      <c r="A462" t="s">
        <v>1128</v>
      </c>
      <c r="B462" t="s">
        <v>1129</v>
      </c>
      <c r="C462" t="s">
        <v>127</v>
      </c>
      <c r="D462" t="s">
        <v>1077</v>
      </c>
      <c r="E462" t="s">
        <v>120</v>
      </c>
      <c r="F462" t="s">
        <v>120</v>
      </c>
      <c r="G462" t="s">
        <v>120</v>
      </c>
      <c r="H462" t="s">
        <v>120</v>
      </c>
      <c r="I462" t="s">
        <v>120</v>
      </c>
      <c r="J462" t="s">
        <v>120</v>
      </c>
      <c r="K462" t="s">
        <v>120</v>
      </c>
      <c r="L462" t="s">
        <v>120</v>
      </c>
      <c r="M462" t="s">
        <v>120</v>
      </c>
      <c r="N462" t="s">
        <v>120</v>
      </c>
      <c r="O462" t="s">
        <v>120</v>
      </c>
      <c r="P462" t="s">
        <v>120</v>
      </c>
      <c r="Q462" t="s">
        <v>120</v>
      </c>
      <c r="R462" t="s">
        <v>120</v>
      </c>
      <c r="S462" t="s">
        <v>120</v>
      </c>
      <c r="T462" t="s">
        <v>120</v>
      </c>
      <c r="U462" t="s">
        <v>120</v>
      </c>
      <c r="V462" t="s">
        <v>120</v>
      </c>
      <c r="W462" t="s">
        <v>120</v>
      </c>
      <c r="X462" t="s">
        <v>120</v>
      </c>
      <c r="Y462" t="s">
        <v>120</v>
      </c>
      <c r="Z462" t="s">
        <v>120</v>
      </c>
      <c r="AA462" t="s">
        <v>120</v>
      </c>
      <c r="AB462" t="s">
        <v>120</v>
      </c>
      <c r="AC462" t="s">
        <v>120</v>
      </c>
      <c r="AD462" t="s">
        <v>120</v>
      </c>
      <c r="AE462" t="s">
        <v>120</v>
      </c>
      <c r="AF462" t="s">
        <v>120</v>
      </c>
      <c r="AG462" t="s">
        <v>120</v>
      </c>
      <c r="AH462" t="s">
        <v>120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33.43</v>
      </c>
      <c r="AP462">
        <v>0</v>
      </c>
      <c r="AQ462">
        <v>0</v>
      </c>
      <c r="AR462">
        <v>75.06</v>
      </c>
      <c r="AS462">
        <v>0</v>
      </c>
    </row>
    <row r="463" spans="1:45" x14ac:dyDescent="0.25">
      <c r="A463" t="s">
        <v>1130</v>
      </c>
      <c r="B463" t="s">
        <v>1131</v>
      </c>
      <c r="C463" t="s">
        <v>127</v>
      </c>
      <c r="D463" t="s">
        <v>1077</v>
      </c>
      <c r="E463" t="s">
        <v>120</v>
      </c>
      <c r="F463" t="s">
        <v>120</v>
      </c>
      <c r="G463" t="s">
        <v>120</v>
      </c>
      <c r="H463" t="s">
        <v>120</v>
      </c>
      <c r="I463" t="s">
        <v>120</v>
      </c>
      <c r="J463" t="s">
        <v>120</v>
      </c>
      <c r="K463" t="s">
        <v>120</v>
      </c>
      <c r="L463" t="s">
        <v>120</v>
      </c>
      <c r="M463" t="s">
        <v>120</v>
      </c>
      <c r="N463" t="s">
        <v>120</v>
      </c>
      <c r="O463" t="s">
        <v>120</v>
      </c>
      <c r="P463" t="s">
        <v>120</v>
      </c>
      <c r="Q463" t="s">
        <v>120</v>
      </c>
      <c r="R463" t="s">
        <v>120</v>
      </c>
      <c r="S463" t="s">
        <v>120</v>
      </c>
      <c r="T463" t="s">
        <v>120</v>
      </c>
      <c r="U463" t="s">
        <v>120</v>
      </c>
      <c r="V463" t="s">
        <v>120</v>
      </c>
      <c r="W463" t="s">
        <v>120</v>
      </c>
      <c r="X463" t="s">
        <v>120</v>
      </c>
      <c r="Y463" t="s">
        <v>120</v>
      </c>
      <c r="Z463" t="s">
        <v>120</v>
      </c>
      <c r="AA463" t="s">
        <v>120</v>
      </c>
      <c r="AB463" t="s">
        <v>120</v>
      </c>
      <c r="AC463" t="s">
        <v>120</v>
      </c>
      <c r="AD463" t="s">
        <v>120</v>
      </c>
      <c r="AE463" t="s">
        <v>120</v>
      </c>
      <c r="AF463" t="s">
        <v>120</v>
      </c>
      <c r="AG463" t="s">
        <v>120</v>
      </c>
      <c r="AH463" t="s">
        <v>120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33.43</v>
      </c>
      <c r="AP463">
        <v>0</v>
      </c>
      <c r="AQ463">
        <v>0</v>
      </c>
      <c r="AR463">
        <v>75.06</v>
      </c>
      <c r="AS463">
        <v>0</v>
      </c>
    </row>
    <row r="464" spans="1:45" x14ac:dyDescent="0.25">
      <c r="A464" t="s">
        <v>1132</v>
      </c>
      <c r="B464" t="s">
        <v>1133</v>
      </c>
      <c r="C464" t="s">
        <v>127</v>
      </c>
      <c r="D464" t="s">
        <v>1077</v>
      </c>
      <c r="E464" t="s">
        <v>120</v>
      </c>
      <c r="F464" t="s">
        <v>120</v>
      </c>
      <c r="G464" t="s">
        <v>120</v>
      </c>
      <c r="H464" t="s">
        <v>120</v>
      </c>
      <c r="I464" t="s">
        <v>120</v>
      </c>
      <c r="J464" t="s">
        <v>120</v>
      </c>
      <c r="K464" t="s">
        <v>120</v>
      </c>
      <c r="L464" t="s">
        <v>120</v>
      </c>
      <c r="M464" t="s">
        <v>120</v>
      </c>
      <c r="N464" t="s">
        <v>120</v>
      </c>
      <c r="O464" t="s">
        <v>120</v>
      </c>
      <c r="P464" t="s">
        <v>120</v>
      </c>
      <c r="Q464" t="s">
        <v>120</v>
      </c>
      <c r="R464" t="s">
        <v>120</v>
      </c>
      <c r="S464" t="s">
        <v>120</v>
      </c>
      <c r="T464" t="s">
        <v>120</v>
      </c>
      <c r="U464" t="s">
        <v>120</v>
      </c>
      <c r="V464" t="s">
        <v>120</v>
      </c>
      <c r="W464" t="s">
        <v>120</v>
      </c>
      <c r="X464" t="s">
        <v>120</v>
      </c>
      <c r="Y464" t="s">
        <v>120</v>
      </c>
      <c r="Z464" t="s">
        <v>120</v>
      </c>
      <c r="AA464" t="s">
        <v>120</v>
      </c>
      <c r="AB464" t="s">
        <v>120</v>
      </c>
      <c r="AC464" t="s">
        <v>120</v>
      </c>
      <c r="AD464" t="s">
        <v>120</v>
      </c>
      <c r="AE464" t="s">
        <v>120</v>
      </c>
      <c r="AF464" t="s">
        <v>120</v>
      </c>
      <c r="AG464" t="s">
        <v>120</v>
      </c>
      <c r="AH464" t="s">
        <v>120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33.43</v>
      </c>
      <c r="AP464">
        <v>0</v>
      </c>
      <c r="AQ464">
        <v>0</v>
      </c>
      <c r="AR464">
        <v>75.06</v>
      </c>
      <c r="AS464">
        <v>0</v>
      </c>
    </row>
    <row r="465" spans="1:45" x14ac:dyDescent="0.25">
      <c r="A465" t="s">
        <v>1134</v>
      </c>
      <c r="B465" t="s">
        <v>1135</v>
      </c>
      <c r="C465" t="s">
        <v>127</v>
      </c>
      <c r="D465" t="s">
        <v>1077</v>
      </c>
      <c r="E465" t="s">
        <v>120</v>
      </c>
      <c r="F465" t="s">
        <v>120</v>
      </c>
      <c r="G465" t="s">
        <v>120</v>
      </c>
      <c r="H465" t="s">
        <v>120</v>
      </c>
      <c r="I465" t="s">
        <v>120</v>
      </c>
      <c r="J465" t="s">
        <v>120</v>
      </c>
      <c r="K465" t="s">
        <v>120</v>
      </c>
      <c r="L465" t="s">
        <v>120</v>
      </c>
      <c r="M465" t="s">
        <v>120</v>
      </c>
      <c r="N465" t="s">
        <v>120</v>
      </c>
      <c r="O465" t="s">
        <v>120</v>
      </c>
      <c r="P465" t="s">
        <v>120</v>
      </c>
      <c r="Q465" t="s">
        <v>120</v>
      </c>
      <c r="R465" t="s">
        <v>120</v>
      </c>
      <c r="S465" t="s">
        <v>120</v>
      </c>
      <c r="T465" t="s">
        <v>120</v>
      </c>
      <c r="U465" t="s">
        <v>120</v>
      </c>
      <c r="V465" t="s">
        <v>120</v>
      </c>
      <c r="W465" t="s">
        <v>120</v>
      </c>
      <c r="X465" t="s">
        <v>120</v>
      </c>
      <c r="Y465" t="s">
        <v>120</v>
      </c>
      <c r="Z465" t="s">
        <v>120</v>
      </c>
      <c r="AA465" t="s">
        <v>120</v>
      </c>
      <c r="AB465" t="s">
        <v>120</v>
      </c>
      <c r="AC465" t="s">
        <v>120</v>
      </c>
      <c r="AD465" t="s">
        <v>120</v>
      </c>
      <c r="AE465" t="s">
        <v>120</v>
      </c>
      <c r="AF465" t="s">
        <v>120</v>
      </c>
      <c r="AG465" t="s">
        <v>120</v>
      </c>
      <c r="AH465" t="s">
        <v>120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33.43</v>
      </c>
      <c r="AP465">
        <v>0</v>
      </c>
      <c r="AQ465">
        <v>0</v>
      </c>
      <c r="AR465">
        <v>75.06</v>
      </c>
      <c r="AS465">
        <v>0</v>
      </c>
    </row>
    <row r="466" spans="1:45" x14ac:dyDescent="0.25">
      <c r="A466" t="s">
        <v>1136</v>
      </c>
      <c r="B466" t="s">
        <v>1137</v>
      </c>
      <c r="C466" t="s">
        <v>127</v>
      </c>
      <c r="D466" t="s">
        <v>1077</v>
      </c>
      <c r="E466" t="s">
        <v>120</v>
      </c>
      <c r="F466" t="s">
        <v>120</v>
      </c>
      <c r="G466" t="s">
        <v>120</v>
      </c>
      <c r="H466" t="s">
        <v>120</v>
      </c>
      <c r="I466" t="s">
        <v>120</v>
      </c>
      <c r="J466" t="s">
        <v>120</v>
      </c>
      <c r="K466" t="s">
        <v>120</v>
      </c>
      <c r="L466" t="s">
        <v>120</v>
      </c>
      <c r="M466" t="s">
        <v>120</v>
      </c>
      <c r="N466" t="s">
        <v>120</v>
      </c>
      <c r="O466" t="s">
        <v>120</v>
      </c>
      <c r="P466" t="s">
        <v>120</v>
      </c>
      <c r="Q466" t="s">
        <v>120</v>
      </c>
      <c r="R466" t="s">
        <v>120</v>
      </c>
      <c r="S466" t="s">
        <v>120</v>
      </c>
      <c r="T466" t="s">
        <v>120</v>
      </c>
      <c r="U466" t="s">
        <v>120</v>
      </c>
      <c r="V466" t="s">
        <v>120</v>
      </c>
      <c r="W466" t="s">
        <v>120</v>
      </c>
      <c r="X466" t="s">
        <v>120</v>
      </c>
      <c r="Y466" t="s">
        <v>120</v>
      </c>
      <c r="Z466" t="s">
        <v>120</v>
      </c>
      <c r="AA466" t="s">
        <v>120</v>
      </c>
      <c r="AB466" t="s">
        <v>120</v>
      </c>
      <c r="AC466" t="s">
        <v>120</v>
      </c>
      <c r="AD466" t="s">
        <v>120</v>
      </c>
      <c r="AE466" t="s">
        <v>120</v>
      </c>
      <c r="AF466" t="s">
        <v>120</v>
      </c>
      <c r="AG466" t="s">
        <v>120</v>
      </c>
      <c r="AH466" t="s">
        <v>120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33.43</v>
      </c>
      <c r="AP466">
        <v>0</v>
      </c>
      <c r="AQ466">
        <v>0</v>
      </c>
      <c r="AR466">
        <v>75.06</v>
      </c>
      <c r="AS466">
        <v>0</v>
      </c>
    </row>
    <row r="467" spans="1:45" x14ac:dyDescent="0.25">
      <c r="A467" t="s">
        <v>1138</v>
      </c>
      <c r="B467" t="s">
        <v>1139</v>
      </c>
      <c r="C467" t="s">
        <v>127</v>
      </c>
      <c r="D467" t="s">
        <v>1077</v>
      </c>
      <c r="E467" t="s">
        <v>120</v>
      </c>
      <c r="F467" t="s">
        <v>120</v>
      </c>
      <c r="G467" t="s">
        <v>120</v>
      </c>
      <c r="H467" t="s">
        <v>120</v>
      </c>
      <c r="I467" t="s">
        <v>120</v>
      </c>
      <c r="J467" t="s">
        <v>120</v>
      </c>
      <c r="K467" t="s">
        <v>120</v>
      </c>
      <c r="L467" t="s">
        <v>120</v>
      </c>
      <c r="M467" t="s">
        <v>120</v>
      </c>
      <c r="N467" t="s">
        <v>120</v>
      </c>
      <c r="O467" t="s">
        <v>120</v>
      </c>
      <c r="P467" t="s">
        <v>120</v>
      </c>
      <c r="Q467" t="s">
        <v>120</v>
      </c>
      <c r="R467" t="s">
        <v>120</v>
      </c>
      <c r="S467" t="s">
        <v>120</v>
      </c>
      <c r="T467" t="s">
        <v>120</v>
      </c>
      <c r="U467" t="s">
        <v>120</v>
      </c>
      <c r="V467" t="s">
        <v>120</v>
      </c>
      <c r="W467" t="s">
        <v>120</v>
      </c>
      <c r="X467" t="s">
        <v>120</v>
      </c>
      <c r="Y467" t="s">
        <v>120</v>
      </c>
      <c r="Z467" t="s">
        <v>120</v>
      </c>
      <c r="AA467" t="s">
        <v>120</v>
      </c>
      <c r="AB467" t="s">
        <v>120</v>
      </c>
      <c r="AC467" t="s">
        <v>120</v>
      </c>
      <c r="AD467" t="s">
        <v>120</v>
      </c>
      <c r="AE467" t="s">
        <v>120</v>
      </c>
      <c r="AF467" t="s">
        <v>120</v>
      </c>
      <c r="AG467" t="s">
        <v>120</v>
      </c>
      <c r="AH467" t="s">
        <v>120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33.43</v>
      </c>
      <c r="AP467">
        <v>0</v>
      </c>
      <c r="AQ467">
        <v>0</v>
      </c>
      <c r="AR467">
        <v>75.06</v>
      </c>
      <c r="AS467">
        <v>0</v>
      </c>
    </row>
    <row r="468" spans="1:45" x14ac:dyDescent="0.25">
      <c r="A468" t="s">
        <v>1140</v>
      </c>
      <c r="B468" t="s">
        <v>1141</v>
      </c>
      <c r="C468" t="s">
        <v>127</v>
      </c>
      <c r="D468" t="s">
        <v>1077</v>
      </c>
      <c r="E468" t="s">
        <v>120</v>
      </c>
      <c r="F468" t="s">
        <v>120</v>
      </c>
      <c r="G468" t="s">
        <v>120</v>
      </c>
      <c r="H468" t="s">
        <v>120</v>
      </c>
      <c r="I468" t="s">
        <v>120</v>
      </c>
      <c r="J468" t="s">
        <v>120</v>
      </c>
      <c r="K468" t="s">
        <v>120</v>
      </c>
      <c r="L468" t="s">
        <v>120</v>
      </c>
      <c r="M468" t="s">
        <v>120</v>
      </c>
      <c r="N468" t="s">
        <v>120</v>
      </c>
      <c r="O468" t="s">
        <v>120</v>
      </c>
      <c r="P468" t="s">
        <v>120</v>
      </c>
      <c r="Q468" t="s">
        <v>120</v>
      </c>
      <c r="R468" t="s">
        <v>120</v>
      </c>
      <c r="S468" t="s">
        <v>120</v>
      </c>
      <c r="T468" t="s">
        <v>120</v>
      </c>
      <c r="U468" t="s">
        <v>120</v>
      </c>
      <c r="V468" t="s">
        <v>120</v>
      </c>
      <c r="W468" t="s">
        <v>120</v>
      </c>
      <c r="X468" t="s">
        <v>120</v>
      </c>
      <c r="Y468" t="s">
        <v>120</v>
      </c>
      <c r="Z468" t="s">
        <v>120</v>
      </c>
      <c r="AA468" t="s">
        <v>120</v>
      </c>
      <c r="AB468" t="s">
        <v>120</v>
      </c>
      <c r="AC468" t="s">
        <v>120</v>
      </c>
      <c r="AD468" t="s">
        <v>120</v>
      </c>
      <c r="AE468" t="s">
        <v>120</v>
      </c>
      <c r="AF468" t="s">
        <v>120</v>
      </c>
      <c r="AG468" t="s">
        <v>120</v>
      </c>
      <c r="AH468" t="s">
        <v>120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33.43</v>
      </c>
      <c r="AP468">
        <v>0</v>
      </c>
      <c r="AQ468">
        <v>0</v>
      </c>
      <c r="AR468">
        <v>75.06</v>
      </c>
      <c r="AS468">
        <v>0</v>
      </c>
    </row>
    <row r="469" spans="1:45" x14ac:dyDescent="0.25">
      <c r="A469" t="s">
        <v>1142</v>
      </c>
      <c r="B469" t="s">
        <v>1143</v>
      </c>
      <c r="C469" t="s">
        <v>127</v>
      </c>
      <c r="D469" t="s">
        <v>1077</v>
      </c>
      <c r="E469" t="s">
        <v>120</v>
      </c>
      <c r="F469" t="s">
        <v>120</v>
      </c>
      <c r="G469" t="s">
        <v>120</v>
      </c>
      <c r="H469" t="s">
        <v>120</v>
      </c>
      <c r="I469" t="s">
        <v>120</v>
      </c>
      <c r="J469" t="s">
        <v>120</v>
      </c>
      <c r="K469" t="s">
        <v>120</v>
      </c>
      <c r="L469" t="s">
        <v>120</v>
      </c>
      <c r="M469" t="s">
        <v>120</v>
      </c>
      <c r="N469" t="s">
        <v>120</v>
      </c>
      <c r="O469" t="s">
        <v>120</v>
      </c>
      <c r="P469" t="s">
        <v>120</v>
      </c>
      <c r="Q469" t="s">
        <v>120</v>
      </c>
      <c r="R469" t="s">
        <v>120</v>
      </c>
      <c r="S469" t="s">
        <v>120</v>
      </c>
      <c r="T469" t="s">
        <v>120</v>
      </c>
      <c r="U469" t="s">
        <v>120</v>
      </c>
      <c r="V469" t="s">
        <v>120</v>
      </c>
      <c r="W469" t="s">
        <v>120</v>
      </c>
      <c r="X469" t="s">
        <v>120</v>
      </c>
      <c r="Y469" t="s">
        <v>141</v>
      </c>
      <c r="Z469" t="s">
        <v>120</v>
      </c>
      <c r="AA469" t="s">
        <v>120</v>
      </c>
      <c r="AB469" t="s">
        <v>120</v>
      </c>
      <c r="AC469" t="s">
        <v>120</v>
      </c>
      <c r="AD469" t="s">
        <v>120</v>
      </c>
      <c r="AE469" t="s">
        <v>120</v>
      </c>
      <c r="AF469" t="s">
        <v>120</v>
      </c>
      <c r="AG469" t="s">
        <v>120</v>
      </c>
      <c r="AH469" t="s">
        <v>120</v>
      </c>
      <c r="AJ469">
        <v>0</v>
      </c>
      <c r="AK469">
        <v>8</v>
      </c>
      <c r="AL469">
        <v>8</v>
      </c>
      <c r="AM469">
        <v>0</v>
      </c>
      <c r="AN469">
        <v>0</v>
      </c>
      <c r="AO469">
        <v>33.43</v>
      </c>
      <c r="AP469">
        <v>8</v>
      </c>
      <c r="AQ469">
        <v>0</v>
      </c>
      <c r="AR469">
        <v>75.06</v>
      </c>
      <c r="AS469">
        <v>534.88</v>
      </c>
    </row>
    <row r="470" spans="1:45" x14ac:dyDescent="0.25">
      <c r="A470" t="s">
        <v>1144</v>
      </c>
      <c r="B470" t="s">
        <v>1145</v>
      </c>
      <c r="C470" t="s">
        <v>127</v>
      </c>
      <c r="D470" t="s">
        <v>1077</v>
      </c>
      <c r="E470" t="s">
        <v>120</v>
      </c>
      <c r="F470" t="s">
        <v>120</v>
      </c>
      <c r="G470" t="s">
        <v>120</v>
      </c>
      <c r="H470" t="s">
        <v>120</v>
      </c>
      <c r="I470" t="s">
        <v>120</v>
      </c>
      <c r="J470" t="s">
        <v>120</v>
      </c>
      <c r="K470" t="s">
        <v>120</v>
      </c>
      <c r="L470" t="s">
        <v>120</v>
      </c>
      <c r="M470" t="s">
        <v>120</v>
      </c>
      <c r="N470" t="s">
        <v>120</v>
      </c>
      <c r="O470" t="s">
        <v>120</v>
      </c>
      <c r="P470" t="s">
        <v>120</v>
      </c>
      <c r="Q470" t="s">
        <v>120</v>
      </c>
      <c r="R470" t="s">
        <v>120</v>
      </c>
      <c r="S470" t="s">
        <v>120</v>
      </c>
      <c r="T470" t="s">
        <v>120</v>
      </c>
      <c r="U470" t="s">
        <v>120</v>
      </c>
      <c r="V470" t="s">
        <v>120</v>
      </c>
      <c r="W470" t="s">
        <v>120</v>
      </c>
      <c r="X470" t="s">
        <v>120</v>
      </c>
      <c r="Y470" t="s">
        <v>120</v>
      </c>
      <c r="Z470" t="s">
        <v>120</v>
      </c>
      <c r="AA470" t="s">
        <v>120</v>
      </c>
      <c r="AB470" t="s">
        <v>120</v>
      </c>
      <c r="AC470" t="s">
        <v>120</v>
      </c>
      <c r="AD470" t="s">
        <v>120</v>
      </c>
      <c r="AE470" t="s">
        <v>120</v>
      </c>
      <c r="AF470" t="s">
        <v>120</v>
      </c>
      <c r="AG470" t="s">
        <v>120</v>
      </c>
      <c r="AH470" t="s">
        <v>120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33.43</v>
      </c>
      <c r="AP470">
        <v>0</v>
      </c>
      <c r="AQ470">
        <v>0</v>
      </c>
      <c r="AR470">
        <v>75.06</v>
      </c>
      <c r="AS470">
        <v>0</v>
      </c>
    </row>
    <row r="471" spans="1:45" x14ac:dyDescent="0.25">
      <c r="A471" t="s">
        <v>1146</v>
      </c>
      <c r="B471" t="s">
        <v>1147</v>
      </c>
      <c r="C471" t="s">
        <v>147</v>
      </c>
      <c r="D471" t="s">
        <v>1077</v>
      </c>
      <c r="E471" t="s">
        <v>120</v>
      </c>
      <c r="F471" t="s">
        <v>120</v>
      </c>
      <c r="G471" t="s">
        <v>120</v>
      </c>
      <c r="H471" t="s">
        <v>120</v>
      </c>
      <c r="I471" t="s">
        <v>120</v>
      </c>
      <c r="J471" t="s">
        <v>120</v>
      </c>
      <c r="K471" t="s">
        <v>120</v>
      </c>
      <c r="L471" t="s">
        <v>120</v>
      </c>
      <c r="M471" t="s">
        <v>120</v>
      </c>
      <c r="N471" t="s">
        <v>120</v>
      </c>
      <c r="O471" t="s">
        <v>120</v>
      </c>
      <c r="P471" t="s">
        <v>120</v>
      </c>
      <c r="Q471" t="s">
        <v>120</v>
      </c>
      <c r="R471" t="s">
        <v>120</v>
      </c>
      <c r="S471" t="s">
        <v>120</v>
      </c>
      <c r="T471" t="s">
        <v>120</v>
      </c>
      <c r="U471" t="s">
        <v>120</v>
      </c>
      <c r="V471" t="s">
        <v>120</v>
      </c>
      <c r="W471" t="s">
        <v>120</v>
      </c>
      <c r="X471" t="s">
        <v>120</v>
      </c>
      <c r="Y471" t="s">
        <v>120</v>
      </c>
      <c r="Z471" t="s">
        <v>120</v>
      </c>
      <c r="AA471" t="s">
        <v>120</v>
      </c>
      <c r="AB471" t="s">
        <v>120</v>
      </c>
      <c r="AC471" t="s">
        <v>120</v>
      </c>
      <c r="AD471" t="s">
        <v>120</v>
      </c>
      <c r="AE471" t="s">
        <v>120</v>
      </c>
      <c r="AF471" t="s">
        <v>120</v>
      </c>
      <c r="AG471" t="s">
        <v>120</v>
      </c>
      <c r="AH471" t="s">
        <v>120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31.55</v>
      </c>
      <c r="AP471">
        <v>0</v>
      </c>
      <c r="AQ471">
        <v>0</v>
      </c>
      <c r="AR471">
        <v>70.2</v>
      </c>
      <c r="AS471">
        <v>0</v>
      </c>
    </row>
    <row r="472" spans="1:45" x14ac:dyDescent="0.25">
      <c r="A472" t="s">
        <v>1148</v>
      </c>
      <c r="B472" t="s">
        <v>1149</v>
      </c>
      <c r="C472" t="s">
        <v>147</v>
      </c>
      <c r="D472" t="s">
        <v>1077</v>
      </c>
      <c r="E472" t="s">
        <v>120</v>
      </c>
      <c r="F472" t="s">
        <v>120</v>
      </c>
      <c r="G472" t="s">
        <v>120</v>
      </c>
      <c r="H472" t="s">
        <v>120</v>
      </c>
      <c r="I472" t="s">
        <v>120</v>
      </c>
      <c r="J472" t="s">
        <v>120</v>
      </c>
      <c r="K472" t="s">
        <v>120</v>
      </c>
      <c r="L472" t="s">
        <v>120</v>
      </c>
      <c r="M472" t="s">
        <v>120</v>
      </c>
      <c r="N472" t="s">
        <v>120</v>
      </c>
      <c r="O472" t="s">
        <v>120</v>
      </c>
      <c r="P472" t="s">
        <v>120</v>
      </c>
      <c r="Q472" t="s">
        <v>120</v>
      </c>
      <c r="R472" t="s">
        <v>120</v>
      </c>
      <c r="S472" t="s">
        <v>120</v>
      </c>
      <c r="T472" t="s">
        <v>120</v>
      </c>
      <c r="U472" t="s">
        <v>120</v>
      </c>
      <c r="V472" t="s">
        <v>120</v>
      </c>
      <c r="W472" t="s">
        <v>120</v>
      </c>
      <c r="X472" t="s">
        <v>120</v>
      </c>
      <c r="Y472" t="s">
        <v>120</v>
      </c>
      <c r="Z472" t="s">
        <v>120</v>
      </c>
      <c r="AA472" t="s">
        <v>120</v>
      </c>
      <c r="AB472" t="s">
        <v>120</v>
      </c>
      <c r="AC472" t="s">
        <v>120</v>
      </c>
      <c r="AD472" t="s">
        <v>120</v>
      </c>
      <c r="AE472" t="s">
        <v>120</v>
      </c>
      <c r="AF472" t="s">
        <v>120</v>
      </c>
      <c r="AG472" t="s">
        <v>120</v>
      </c>
      <c r="AH472" t="s">
        <v>120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31.55</v>
      </c>
      <c r="AP472">
        <v>0</v>
      </c>
      <c r="AQ472">
        <v>0</v>
      </c>
      <c r="AR472">
        <v>70.2</v>
      </c>
      <c r="AS472">
        <v>0</v>
      </c>
    </row>
    <row r="473" spans="1:45" x14ac:dyDescent="0.25">
      <c r="A473" t="s">
        <v>1150</v>
      </c>
      <c r="B473" t="s">
        <v>1151</v>
      </c>
      <c r="C473" t="s">
        <v>127</v>
      </c>
      <c r="D473" t="s">
        <v>1077</v>
      </c>
      <c r="E473" t="s">
        <v>120</v>
      </c>
      <c r="F473" t="s">
        <v>120</v>
      </c>
      <c r="G473" t="s">
        <v>120</v>
      </c>
      <c r="H473" t="s">
        <v>120</v>
      </c>
      <c r="I473" t="s">
        <v>120</v>
      </c>
      <c r="J473" t="s">
        <v>120</v>
      </c>
      <c r="K473" t="s">
        <v>120</v>
      </c>
      <c r="L473" t="s">
        <v>120</v>
      </c>
      <c r="M473" t="s">
        <v>120</v>
      </c>
      <c r="N473" t="s">
        <v>120</v>
      </c>
      <c r="O473" t="s">
        <v>120</v>
      </c>
      <c r="P473" t="s">
        <v>120</v>
      </c>
      <c r="Q473" t="s">
        <v>120</v>
      </c>
      <c r="R473" t="s">
        <v>120</v>
      </c>
      <c r="S473" t="s">
        <v>120</v>
      </c>
      <c r="T473" t="s">
        <v>120</v>
      </c>
      <c r="U473" t="s">
        <v>120</v>
      </c>
      <c r="V473" t="s">
        <v>120</v>
      </c>
      <c r="W473" t="s">
        <v>120</v>
      </c>
      <c r="X473" t="s">
        <v>120</v>
      </c>
      <c r="Y473" t="s">
        <v>138</v>
      </c>
      <c r="Z473" t="s">
        <v>120</v>
      </c>
      <c r="AA473" t="s">
        <v>120</v>
      </c>
      <c r="AB473" t="s">
        <v>120</v>
      </c>
      <c r="AC473" t="s">
        <v>120</v>
      </c>
      <c r="AD473" t="s">
        <v>120</v>
      </c>
      <c r="AE473" t="s">
        <v>120</v>
      </c>
      <c r="AF473" t="s">
        <v>120</v>
      </c>
      <c r="AG473" t="s">
        <v>120</v>
      </c>
      <c r="AH473" t="s">
        <v>120</v>
      </c>
      <c r="AJ473">
        <v>0</v>
      </c>
      <c r="AK473">
        <v>10</v>
      </c>
      <c r="AL473">
        <v>10</v>
      </c>
      <c r="AM473">
        <v>0</v>
      </c>
      <c r="AN473">
        <v>0</v>
      </c>
      <c r="AO473">
        <v>33.43</v>
      </c>
      <c r="AP473">
        <v>10</v>
      </c>
      <c r="AQ473">
        <v>0</v>
      </c>
      <c r="AR473">
        <v>75.06</v>
      </c>
      <c r="AS473">
        <v>668.6</v>
      </c>
    </row>
    <row r="474" spans="1:45" x14ac:dyDescent="0.25">
      <c r="A474" t="s">
        <v>1152</v>
      </c>
      <c r="B474" t="s">
        <v>1153</v>
      </c>
      <c r="C474" t="s">
        <v>127</v>
      </c>
      <c r="D474" t="s">
        <v>1077</v>
      </c>
      <c r="E474" t="s">
        <v>120</v>
      </c>
      <c r="F474" t="s">
        <v>120</v>
      </c>
      <c r="G474" t="s">
        <v>120</v>
      </c>
      <c r="H474" t="s">
        <v>120</v>
      </c>
      <c r="I474" t="s">
        <v>120</v>
      </c>
      <c r="J474" t="s">
        <v>120</v>
      </c>
      <c r="K474" t="s">
        <v>120</v>
      </c>
      <c r="L474" t="s">
        <v>120</v>
      </c>
      <c r="M474" t="s">
        <v>120</v>
      </c>
      <c r="N474" t="s">
        <v>120</v>
      </c>
      <c r="O474" t="s">
        <v>120</v>
      </c>
      <c r="P474" t="s">
        <v>120</v>
      </c>
      <c r="Q474" t="s">
        <v>120</v>
      </c>
      <c r="R474" t="s">
        <v>120</v>
      </c>
      <c r="S474" t="s">
        <v>120</v>
      </c>
      <c r="T474" t="s">
        <v>120</v>
      </c>
      <c r="U474" t="s">
        <v>120</v>
      </c>
      <c r="V474" t="s">
        <v>120</v>
      </c>
      <c r="W474" t="s">
        <v>120</v>
      </c>
      <c r="X474" t="s">
        <v>120</v>
      </c>
      <c r="Y474" t="s">
        <v>120</v>
      </c>
      <c r="Z474" t="s">
        <v>120</v>
      </c>
      <c r="AA474" t="s">
        <v>120</v>
      </c>
      <c r="AB474" t="s">
        <v>120</v>
      </c>
      <c r="AC474" t="s">
        <v>120</v>
      </c>
      <c r="AD474" t="s">
        <v>120</v>
      </c>
      <c r="AE474" t="s">
        <v>120</v>
      </c>
      <c r="AF474" t="s">
        <v>120</v>
      </c>
      <c r="AG474" t="s">
        <v>120</v>
      </c>
      <c r="AH474" t="s">
        <v>120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33.43</v>
      </c>
      <c r="AP474">
        <v>0</v>
      </c>
      <c r="AQ474">
        <v>0</v>
      </c>
      <c r="AR474">
        <v>75.06</v>
      </c>
      <c r="AS474">
        <v>0</v>
      </c>
    </row>
    <row r="475" spans="1:45" x14ac:dyDescent="0.25">
      <c r="A475" t="s">
        <v>1154</v>
      </c>
      <c r="B475" t="s">
        <v>1155</v>
      </c>
      <c r="C475" t="s">
        <v>127</v>
      </c>
      <c r="D475" t="s">
        <v>1077</v>
      </c>
      <c r="E475" t="s">
        <v>120</v>
      </c>
      <c r="F475" t="s">
        <v>120</v>
      </c>
      <c r="G475" t="s">
        <v>120</v>
      </c>
      <c r="H475" t="s">
        <v>120</v>
      </c>
      <c r="I475" t="s">
        <v>120</v>
      </c>
      <c r="J475" t="s">
        <v>120</v>
      </c>
      <c r="K475" t="s">
        <v>120</v>
      </c>
      <c r="L475" t="s">
        <v>120</v>
      </c>
      <c r="M475" t="s">
        <v>120</v>
      </c>
      <c r="N475" t="s">
        <v>120</v>
      </c>
      <c r="O475" t="s">
        <v>120</v>
      </c>
      <c r="P475" t="s">
        <v>120</v>
      </c>
      <c r="Q475" t="s">
        <v>120</v>
      </c>
      <c r="R475" t="s">
        <v>120</v>
      </c>
      <c r="S475" t="s">
        <v>120</v>
      </c>
      <c r="T475" t="s">
        <v>120</v>
      </c>
      <c r="U475" t="s">
        <v>120</v>
      </c>
      <c r="V475" t="s">
        <v>120</v>
      </c>
      <c r="W475" t="s">
        <v>120</v>
      </c>
      <c r="X475" t="s">
        <v>120</v>
      </c>
      <c r="Y475" t="s">
        <v>120</v>
      </c>
      <c r="Z475" t="s">
        <v>120</v>
      </c>
      <c r="AA475" t="s">
        <v>120</v>
      </c>
      <c r="AB475" t="s">
        <v>120</v>
      </c>
      <c r="AC475" t="s">
        <v>120</v>
      </c>
      <c r="AD475" t="s">
        <v>120</v>
      </c>
      <c r="AE475" t="s">
        <v>120</v>
      </c>
      <c r="AF475" t="s">
        <v>120</v>
      </c>
      <c r="AG475" t="s">
        <v>120</v>
      </c>
      <c r="AH475" t="s">
        <v>120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33.43</v>
      </c>
      <c r="AP475">
        <v>0</v>
      </c>
      <c r="AQ475">
        <v>0</v>
      </c>
      <c r="AR475">
        <v>75.06</v>
      </c>
      <c r="AS475">
        <v>0</v>
      </c>
    </row>
    <row r="476" spans="1:45" x14ac:dyDescent="0.25">
      <c r="A476" t="s">
        <v>1156</v>
      </c>
      <c r="B476" t="s">
        <v>1157</v>
      </c>
      <c r="C476" t="s">
        <v>127</v>
      </c>
      <c r="D476" t="s">
        <v>1077</v>
      </c>
      <c r="E476" t="s">
        <v>120</v>
      </c>
      <c r="F476" t="s">
        <v>120</v>
      </c>
      <c r="H476" t="s">
        <v>120</v>
      </c>
      <c r="I476" t="s">
        <v>120</v>
      </c>
      <c r="J476" t="s">
        <v>120</v>
      </c>
      <c r="L476" t="s">
        <v>120</v>
      </c>
      <c r="M476" t="s">
        <v>120</v>
      </c>
      <c r="N476" t="s">
        <v>120</v>
      </c>
      <c r="O476" t="s">
        <v>120</v>
      </c>
      <c r="P476" t="s">
        <v>120</v>
      </c>
      <c r="Q476" t="s">
        <v>120</v>
      </c>
      <c r="R476" t="s">
        <v>120</v>
      </c>
      <c r="S476" t="s">
        <v>120</v>
      </c>
      <c r="T476" t="s">
        <v>120</v>
      </c>
      <c r="U476" t="s">
        <v>120</v>
      </c>
      <c r="V476" t="s">
        <v>120</v>
      </c>
      <c r="W476" t="s">
        <v>120</v>
      </c>
      <c r="X476" t="s">
        <v>120</v>
      </c>
      <c r="Y476" t="s">
        <v>120</v>
      </c>
      <c r="Z476" t="s">
        <v>120</v>
      </c>
      <c r="AA476" t="s">
        <v>120</v>
      </c>
      <c r="AB476" t="s">
        <v>120</v>
      </c>
      <c r="AC476" t="s">
        <v>120</v>
      </c>
      <c r="AD476" t="s">
        <v>120</v>
      </c>
      <c r="AE476" t="s">
        <v>120</v>
      </c>
      <c r="AF476" t="s">
        <v>120</v>
      </c>
      <c r="AG476" t="s">
        <v>120</v>
      </c>
      <c r="AH476" t="s">
        <v>120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33.43</v>
      </c>
      <c r="AP476">
        <v>0</v>
      </c>
      <c r="AQ476">
        <v>0</v>
      </c>
      <c r="AR476">
        <v>75.06</v>
      </c>
      <c r="AS476">
        <v>0</v>
      </c>
    </row>
    <row r="477" spans="1:45" x14ac:dyDescent="0.25">
      <c r="A477" t="s">
        <v>1158</v>
      </c>
      <c r="B477" t="s">
        <v>1159</v>
      </c>
      <c r="C477" t="s">
        <v>147</v>
      </c>
      <c r="D477" t="s">
        <v>1077</v>
      </c>
      <c r="E477" t="s">
        <v>120</v>
      </c>
      <c r="F477" t="s">
        <v>120</v>
      </c>
      <c r="G477" t="s">
        <v>120</v>
      </c>
      <c r="H477" t="s">
        <v>120</v>
      </c>
      <c r="I477" t="s">
        <v>120</v>
      </c>
      <c r="J477" t="s">
        <v>120</v>
      </c>
      <c r="K477" t="s">
        <v>120</v>
      </c>
      <c r="L477" t="s">
        <v>120</v>
      </c>
      <c r="M477" t="s">
        <v>120</v>
      </c>
      <c r="N477" t="s">
        <v>120</v>
      </c>
      <c r="O477" t="s">
        <v>120</v>
      </c>
      <c r="P477" t="s">
        <v>120</v>
      </c>
      <c r="Q477" t="s">
        <v>120</v>
      </c>
      <c r="R477" t="s">
        <v>120</v>
      </c>
      <c r="S477" t="s">
        <v>120</v>
      </c>
      <c r="T477" t="s">
        <v>120</v>
      </c>
      <c r="U477" t="s">
        <v>120</v>
      </c>
      <c r="V477" t="s">
        <v>120</v>
      </c>
      <c r="W477" t="s">
        <v>120</v>
      </c>
      <c r="X477" t="s">
        <v>120</v>
      </c>
      <c r="Y477" t="s">
        <v>120</v>
      </c>
      <c r="Z477" t="s">
        <v>120</v>
      </c>
      <c r="AA477" t="s">
        <v>120</v>
      </c>
      <c r="AB477" t="s">
        <v>120</v>
      </c>
      <c r="AC477" t="s">
        <v>120</v>
      </c>
      <c r="AD477" t="s">
        <v>120</v>
      </c>
      <c r="AE477" t="s">
        <v>120</v>
      </c>
      <c r="AF477" t="s">
        <v>120</v>
      </c>
      <c r="AG477" t="s">
        <v>120</v>
      </c>
      <c r="AH477" t="s">
        <v>120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31.55</v>
      </c>
      <c r="AP477">
        <v>0</v>
      </c>
      <c r="AQ477">
        <v>0</v>
      </c>
      <c r="AR477">
        <v>70.2</v>
      </c>
      <c r="AS477">
        <v>0</v>
      </c>
    </row>
    <row r="478" spans="1:45" x14ac:dyDescent="0.25">
      <c r="A478" t="s">
        <v>1160</v>
      </c>
      <c r="B478" t="s">
        <v>1161</v>
      </c>
      <c r="C478" t="s">
        <v>127</v>
      </c>
      <c r="D478" t="s">
        <v>1077</v>
      </c>
      <c r="E478" t="s">
        <v>120</v>
      </c>
      <c r="F478" t="s">
        <v>120</v>
      </c>
      <c r="G478" t="s">
        <v>120</v>
      </c>
      <c r="H478" t="s">
        <v>120</v>
      </c>
      <c r="I478" t="s">
        <v>120</v>
      </c>
      <c r="J478" t="s">
        <v>120</v>
      </c>
      <c r="K478" t="s">
        <v>120</v>
      </c>
      <c r="L478" t="s">
        <v>120</v>
      </c>
      <c r="M478" t="s">
        <v>120</v>
      </c>
      <c r="N478" t="s">
        <v>120</v>
      </c>
      <c r="O478" t="s">
        <v>120</v>
      </c>
      <c r="P478" t="s">
        <v>120</v>
      </c>
      <c r="Q478" t="s">
        <v>120</v>
      </c>
      <c r="R478" t="s">
        <v>120</v>
      </c>
      <c r="S478" t="s">
        <v>120</v>
      </c>
      <c r="T478" t="s">
        <v>120</v>
      </c>
      <c r="U478" t="s">
        <v>120</v>
      </c>
      <c r="V478" t="s">
        <v>120</v>
      </c>
      <c r="W478" t="s">
        <v>120</v>
      </c>
      <c r="X478" t="s">
        <v>120</v>
      </c>
      <c r="Y478" t="s">
        <v>120</v>
      </c>
      <c r="Z478" t="s">
        <v>120</v>
      </c>
      <c r="AA478" t="s">
        <v>120</v>
      </c>
      <c r="AB478" t="s">
        <v>120</v>
      </c>
      <c r="AC478" t="s">
        <v>120</v>
      </c>
      <c r="AD478" t="s">
        <v>120</v>
      </c>
      <c r="AE478" t="s">
        <v>120</v>
      </c>
      <c r="AF478" t="s">
        <v>120</v>
      </c>
      <c r="AG478" t="s">
        <v>120</v>
      </c>
      <c r="AH478" t="s">
        <v>120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33.43</v>
      </c>
      <c r="AP478">
        <v>0</v>
      </c>
      <c r="AQ478">
        <v>0</v>
      </c>
      <c r="AR478">
        <v>75.06</v>
      </c>
      <c r="AS478">
        <v>0</v>
      </c>
    </row>
    <row r="479" spans="1:45" x14ac:dyDescent="0.25">
      <c r="A479" t="s">
        <v>1162</v>
      </c>
      <c r="B479" t="s">
        <v>1163</v>
      </c>
      <c r="C479" t="s">
        <v>147</v>
      </c>
      <c r="D479" t="s">
        <v>1077</v>
      </c>
      <c r="E479" t="s">
        <v>120</v>
      </c>
      <c r="F479" t="s">
        <v>120</v>
      </c>
      <c r="G479" t="s">
        <v>120</v>
      </c>
      <c r="H479" t="s">
        <v>120</v>
      </c>
      <c r="I479" t="s">
        <v>120</v>
      </c>
      <c r="J479" t="s">
        <v>120</v>
      </c>
      <c r="K479" t="s">
        <v>120</v>
      </c>
      <c r="L479" t="s">
        <v>120</v>
      </c>
      <c r="M479" t="s">
        <v>120</v>
      </c>
      <c r="N479" t="s">
        <v>120</v>
      </c>
      <c r="O479" t="s">
        <v>120</v>
      </c>
      <c r="P479" t="s">
        <v>120</v>
      </c>
      <c r="Q479" t="s">
        <v>120</v>
      </c>
      <c r="R479" t="s">
        <v>120</v>
      </c>
      <c r="S479" t="s">
        <v>120</v>
      </c>
      <c r="T479" t="s">
        <v>120</v>
      </c>
      <c r="U479" t="s">
        <v>120</v>
      </c>
      <c r="V479" t="s">
        <v>120</v>
      </c>
      <c r="W479" t="s">
        <v>120</v>
      </c>
      <c r="X479" t="s">
        <v>120</v>
      </c>
      <c r="Y479" t="s">
        <v>120</v>
      </c>
      <c r="Z479" t="s">
        <v>120</v>
      </c>
      <c r="AA479" t="s">
        <v>120</v>
      </c>
      <c r="AB479" t="s">
        <v>120</v>
      </c>
      <c r="AC479" t="s">
        <v>120</v>
      </c>
      <c r="AD479" t="s">
        <v>120</v>
      </c>
      <c r="AE479" t="s">
        <v>120</v>
      </c>
      <c r="AF479" t="s">
        <v>120</v>
      </c>
      <c r="AG479" t="s">
        <v>120</v>
      </c>
      <c r="AH479" t="s">
        <v>120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31.55</v>
      </c>
      <c r="AP479">
        <v>0</v>
      </c>
      <c r="AQ479">
        <v>0</v>
      </c>
      <c r="AR479">
        <v>70.2</v>
      </c>
      <c r="AS479">
        <v>0</v>
      </c>
    </row>
    <row r="480" spans="1:45" x14ac:dyDescent="0.25">
      <c r="A480" t="s">
        <v>1164</v>
      </c>
      <c r="B480" t="s">
        <v>1165</v>
      </c>
      <c r="C480" t="s">
        <v>127</v>
      </c>
      <c r="D480" t="s">
        <v>1077</v>
      </c>
      <c r="E480" t="s">
        <v>120</v>
      </c>
      <c r="F480" t="s">
        <v>120</v>
      </c>
      <c r="G480" t="s">
        <v>120</v>
      </c>
      <c r="H480" t="s">
        <v>120</v>
      </c>
      <c r="I480" t="s">
        <v>120</v>
      </c>
      <c r="J480" t="s">
        <v>120</v>
      </c>
      <c r="K480" t="s">
        <v>120</v>
      </c>
      <c r="L480" t="s">
        <v>120</v>
      </c>
      <c r="M480" t="s">
        <v>120</v>
      </c>
      <c r="N480" t="s">
        <v>120</v>
      </c>
      <c r="O480" t="s">
        <v>120</v>
      </c>
      <c r="P480" t="s">
        <v>120</v>
      </c>
      <c r="Q480" t="s">
        <v>120</v>
      </c>
      <c r="R480" t="s">
        <v>120</v>
      </c>
      <c r="S480" t="s">
        <v>120</v>
      </c>
      <c r="T480" t="s">
        <v>120</v>
      </c>
      <c r="U480" t="s">
        <v>120</v>
      </c>
      <c r="V480" t="s">
        <v>120</v>
      </c>
      <c r="W480" t="s">
        <v>120</v>
      </c>
      <c r="X480" t="s">
        <v>120</v>
      </c>
      <c r="Y480" t="s">
        <v>120</v>
      </c>
      <c r="Z480" t="s">
        <v>120</v>
      </c>
      <c r="AA480" t="s">
        <v>120</v>
      </c>
      <c r="AB480" t="s">
        <v>120</v>
      </c>
      <c r="AC480" t="s">
        <v>120</v>
      </c>
      <c r="AD480" t="s">
        <v>120</v>
      </c>
      <c r="AE480" t="s">
        <v>120</v>
      </c>
      <c r="AF480" t="s">
        <v>120</v>
      </c>
      <c r="AG480" t="s">
        <v>120</v>
      </c>
      <c r="AH480" t="s">
        <v>120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33.43</v>
      </c>
      <c r="AP480">
        <v>0</v>
      </c>
      <c r="AQ480">
        <v>0</v>
      </c>
      <c r="AR480">
        <v>75.06</v>
      </c>
      <c r="AS480">
        <v>0</v>
      </c>
    </row>
    <row r="481" spans="1:45" x14ac:dyDescent="0.25">
      <c r="A481" t="s">
        <v>1166</v>
      </c>
      <c r="B481" t="s">
        <v>1167</v>
      </c>
      <c r="C481" t="s">
        <v>127</v>
      </c>
      <c r="D481" t="s">
        <v>1077</v>
      </c>
      <c r="E481" t="s">
        <v>120</v>
      </c>
      <c r="F481" t="s">
        <v>120</v>
      </c>
      <c r="G481" t="s">
        <v>120</v>
      </c>
      <c r="H481" t="s">
        <v>120</v>
      </c>
      <c r="I481" t="s">
        <v>120</v>
      </c>
      <c r="J481" t="s">
        <v>120</v>
      </c>
      <c r="K481" t="s">
        <v>120</v>
      </c>
      <c r="L481" t="s">
        <v>120</v>
      </c>
      <c r="M481" t="s">
        <v>120</v>
      </c>
      <c r="N481" t="s">
        <v>120</v>
      </c>
      <c r="O481" t="s">
        <v>120</v>
      </c>
      <c r="P481" t="s">
        <v>120</v>
      </c>
      <c r="Q481" t="s">
        <v>120</v>
      </c>
      <c r="R481" t="s">
        <v>120</v>
      </c>
      <c r="S481" t="s">
        <v>120</v>
      </c>
      <c r="T481" t="s">
        <v>120</v>
      </c>
      <c r="U481" t="s">
        <v>120</v>
      </c>
      <c r="V481" t="s">
        <v>120</v>
      </c>
      <c r="W481" t="s">
        <v>120</v>
      </c>
      <c r="X481" t="s">
        <v>120</v>
      </c>
      <c r="Y481" t="s">
        <v>120</v>
      </c>
      <c r="Z481" t="s">
        <v>120</v>
      </c>
      <c r="AA481" t="s">
        <v>120</v>
      </c>
      <c r="AB481" t="s">
        <v>120</v>
      </c>
      <c r="AC481" t="s">
        <v>120</v>
      </c>
      <c r="AD481" t="s">
        <v>120</v>
      </c>
      <c r="AE481" t="s">
        <v>120</v>
      </c>
      <c r="AF481" t="s">
        <v>120</v>
      </c>
      <c r="AG481" t="s">
        <v>120</v>
      </c>
      <c r="AH481" t="s">
        <v>120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33.43</v>
      </c>
      <c r="AP481">
        <v>0</v>
      </c>
      <c r="AQ481">
        <v>0</v>
      </c>
      <c r="AR481">
        <v>75.06</v>
      </c>
      <c r="AS481">
        <v>0</v>
      </c>
    </row>
    <row r="482" spans="1:45" x14ac:dyDescent="0.25">
      <c r="A482" t="s">
        <v>1168</v>
      </c>
      <c r="B482" t="s">
        <v>1169</v>
      </c>
      <c r="C482" t="s">
        <v>130</v>
      </c>
      <c r="D482" t="s">
        <v>1170</v>
      </c>
      <c r="E482" t="s">
        <v>120</v>
      </c>
      <c r="F482" t="s">
        <v>120</v>
      </c>
      <c r="G482" t="s">
        <v>120</v>
      </c>
      <c r="H482" t="s">
        <v>120</v>
      </c>
      <c r="I482" t="s">
        <v>120</v>
      </c>
      <c r="J482" t="s">
        <v>120</v>
      </c>
      <c r="K482" t="s">
        <v>120</v>
      </c>
      <c r="L482" t="s">
        <v>120</v>
      </c>
      <c r="M482" t="s">
        <v>120</v>
      </c>
      <c r="N482" t="s">
        <v>120</v>
      </c>
      <c r="O482" t="s">
        <v>120</v>
      </c>
      <c r="P482" t="s">
        <v>120</v>
      </c>
      <c r="Q482" t="s">
        <v>120</v>
      </c>
      <c r="R482" t="s">
        <v>120</v>
      </c>
      <c r="S482" t="s">
        <v>120</v>
      </c>
      <c r="T482" t="s">
        <v>120</v>
      </c>
      <c r="U482" t="s">
        <v>120</v>
      </c>
      <c r="V482" t="s">
        <v>120</v>
      </c>
      <c r="W482" t="s">
        <v>120</v>
      </c>
      <c r="X482" t="s">
        <v>120</v>
      </c>
      <c r="Y482" t="s">
        <v>120</v>
      </c>
      <c r="Z482" t="s">
        <v>120</v>
      </c>
      <c r="AA482" t="s">
        <v>120</v>
      </c>
      <c r="AB482" t="s">
        <v>120</v>
      </c>
      <c r="AC482" t="s">
        <v>120</v>
      </c>
      <c r="AD482" t="s">
        <v>120</v>
      </c>
      <c r="AE482" t="s">
        <v>120</v>
      </c>
      <c r="AF482" t="s">
        <v>120</v>
      </c>
      <c r="AG482" t="s">
        <v>120</v>
      </c>
      <c r="AH482" t="s">
        <v>120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7500</v>
      </c>
      <c r="AP482">
        <v>0</v>
      </c>
      <c r="AQ482">
        <v>0</v>
      </c>
      <c r="AR482">
        <v>126.56250000000001</v>
      </c>
      <c r="AS482">
        <v>0</v>
      </c>
    </row>
    <row r="483" spans="1:45" x14ac:dyDescent="0.25">
      <c r="A483" t="s">
        <v>1171</v>
      </c>
      <c r="B483" t="s">
        <v>1172</v>
      </c>
      <c r="C483" t="s">
        <v>147</v>
      </c>
      <c r="D483" t="s">
        <v>1170</v>
      </c>
      <c r="E483" t="s">
        <v>120</v>
      </c>
      <c r="F483" t="s">
        <v>120</v>
      </c>
      <c r="G483" t="s">
        <v>120</v>
      </c>
      <c r="H483" t="s">
        <v>120</v>
      </c>
      <c r="I483" t="s">
        <v>120</v>
      </c>
      <c r="J483" t="s">
        <v>120</v>
      </c>
      <c r="K483" t="s">
        <v>120</v>
      </c>
      <c r="L483" t="s">
        <v>120</v>
      </c>
      <c r="M483" t="s">
        <v>325</v>
      </c>
      <c r="N483" t="s">
        <v>120</v>
      </c>
      <c r="O483" t="s">
        <v>120</v>
      </c>
      <c r="P483" t="s">
        <v>120</v>
      </c>
      <c r="Q483" t="s">
        <v>120</v>
      </c>
      <c r="R483" t="s">
        <v>120</v>
      </c>
      <c r="S483" t="s">
        <v>120</v>
      </c>
      <c r="T483" t="s">
        <v>120</v>
      </c>
      <c r="U483" t="s">
        <v>120</v>
      </c>
      <c r="V483" t="s">
        <v>120</v>
      </c>
      <c r="W483" t="s">
        <v>120</v>
      </c>
      <c r="X483" t="s">
        <v>120</v>
      </c>
      <c r="Y483" t="s">
        <v>120</v>
      </c>
      <c r="Z483" t="s">
        <v>120</v>
      </c>
      <c r="AA483" t="s">
        <v>120</v>
      </c>
      <c r="AB483" t="s">
        <v>120</v>
      </c>
      <c r="AC483" t="s">
        <v>120</v>
      </c>
      <c r="AD483" t="s">
        <v>120</v>
      </c>
      <c r="AE483" t="s">
        <v>120</v>
      </c>
      <c r="AF483" t="s">
        <v>141</v>
      </c>
      <c r="AG483" t="s">
        <v>120</v>
      </c>
      <c r="AH483" t="s">
        <v>120</v>
      </c>
      <c r="AJ483">
        <v>0</v>
      </c>
      <c r="AK483">
        <v>13.999999999999998</v>
      </c>
      <c r="AL483">
        <v>13.999999999999998</v>
      </c>
      <c r="AM483">
        <v>0</v>
      </c>
      <c r="AN483">
        <v>0</v>
      </c>
      <c r="AO483">
        <v>31.55</v>
      </c>
      <c r="AP483">
        <v>13.999999999999998</v>
      </c>
      <c r="AQ483">
        <v>0</v>
      </c>
      <c r="AR483">
        <v>70.2</v>
      </c>
      <c r="AS483">
        <v>883.39999999999986</v>
      </c>
    </row>
    <row r="484" spans="1:45" x14ac:dyDescent="0.25">
      <c r="A484" t="s">
        <v>1173</v>
      </c>
      <c r="B484" t="s">
        <v>1174</v>
      </c>
      <c r="C484" t="s">
        <v>147</v>
      </c>
      <c r="D484" t="s">
        <v>1170</v>
      </c>
      <c r="E484" t="s">
        <v>141</v>
      </c>
      <c r="F484" t="s">
        <v>141</v>
      </c>
      <c r="G484" t="s">
        <v>327</v>
      </c>
      <c r="H484" t="s">
        <v>120</v>
      </c>
      <c r="I484" t="s">
        <v>120</v>
      </c>
      <c r="J484" t="s">
        <v>120</v>
      </c>
      <c r="K484" t="s">
        <v>120</v>
      </c>
      <c r="L484" t="s">
        <v>120</v>
      </c>
      <c r="M484" t="s">
        <v>120</v>
      </c>
      <c r="N484" t="s">
        <v>120</v>
      </c>
      <c r="O484" t="s">
        <v>120</v>
      </c>
      <c r="P484" t="s">
        <v>120</v>
      </c>
      <c r="Q484" t="s">
        <v>120</v>
      </c>
      <c r="R484" t="s">
        <v>120</v>
      </c>
      <c r="S484" t="s">
        <v>120</v>
      </c>
      <c r="T484" t="s">
        <v>120</v>
      </c>
      <c r="U484" t="s">
        <v>120</v>
      </c>
      <c r="V484" t="s">
        <v>120</v>
      </c>
      <c r="W484" t="s">
        <v>120</v>
      </c>
      <c r="X484" t="s">
        <v>120</v>
      </c>
      <c r="Y484" t="s">
        <v>120</v>
      </c>
      <c r="Z484" t="s">
        <v>120</v>
      </c>
      <c r="AA484" t="s">
        <v>120</v>
      </c>
      <c r="AB484" t="s">
        <v>120</v>
      </c>
      <c r="AC484" t="s">
        <v>120</v>
      </c>
      <c r="AD484" t="s">
        <v>120</v>
      </c>
      <c r="AE484" t="s">
        <v>120</v>
      </c>
      <c r="AF484" t="s">
        <v>120</v>
      </c>
      <c r="AG484" t="s">
        <v>120</v>
      </c>
      <c r="AH484" t="s">
        <v>120</v>
      </c>
      <c r="AJ484">
        <v>0</v>
      </c>
      <c r="AK484">
        <v>19</v>
      </c>
      <c r="AL484">
        <v>19</v>
      </c>
      <c r="AM484">
        <v>0</v>
      </c>
      <c r="AN484">
        <v>0</v>
      </c>
      <c r="AO484">
        <v>31.55</v>
      </c>
      <c r="AP484">
        <v>19</v>
      </c>
      <c r="AQ484">
        <v>0</v>
      </c>
      <c r="AR484">
        <v>70.2</v>
      </c>
      <c r="AS484">
        <v>1198.9000000000001</v>
      </c>
    </row>
    <row r="485" spans="1:45" x14ac:dyDescent="0.25">
      <c r="A485" t="s">
        <v>1175</v>
      </c>
      <c r="B485" t="s">
        <v>1176</v>
      </c>
      <c r="C485" t="s">
        <v>147</v>
      </c>
      <c r="D485" t="s">
        <v>1170</v>
      </c>
      <c r="E485" t="s">
        <v>120</v>
      </c>
      <c r="F485" t="s">
        <v>120</v>
      </c>
      <c r="G485" t="s">
        <v>120</v>
      </c>
      <c r="H485" t="s">
        <v>120</v>
      </c>
      <c r="I485" t="s">
        <v>120</v>
      </c>
      <c r="J485" t="s">
        <v>120</v>
      </c>
      <c r="K485" t="s">
        <v>120</v>
      </c>
      <c r="L485" t="s">
        <v>120</v>
      </c>
      <c r="M485" t="s">
        <v>120</v>
      </c>
      <c r="N485" t="s">
        <v>120</v>
      </c>
      <c r="O485" t="s">
        <v>120</v>
      </c>
      <c r="P485" t="s">
        <v>120</v>
      </c>
      <c r="Q485" t="s">
        <v>120</v>
      </c>
      <c r="R485" t="s">
        <v>120</v>
      </c>
      <c r="S485" t="s">
        <v>120</v>
      </c>
      <c r="T485" t="s">
        <v>120</v>
      </c>
      <c r="U485" t="s">
        <v>120</v>
      </c>
      <c r="V485" t="s">
        <v>120</v>
      </c>
      <c r="W485" t="s">
        <v>120</v>
      </c>
      <c r="X485" t="s">
        <v>120</v>
      </c>
      <c r="Y485" t="s">
        <v>120</v>
      </c>
      <c r="Z485" t="s">
        <v>120</v>
      </c>
      <c r="AA485" t="s">
        <v>120</v>
      </c>
      <c r="AB485" t="s">
        <v>120</v>
      </c>
      <c r="AC485" t="s">
        <v>120</v>
      </c>
      <c r="AD485" t="s">
        <v>120</v>
      </c>
      <c r="AE485" t="s">
        <v>120</v>
      </c>
      <c r="AF485" t="s">
        <v>120</v>
      </c>
      <c r="AG485" t="s">
        <v>120</v>
      </c>
      <c r="AH485" t="s">
        <v>120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31.55</v>
      </c>
      <c r="AP485">
        <v>0</v>
      </c>
      <c r="AQ485">
        <v>0</v>
      </c>
      <c r="AR485">
        <v>70.2</v>
      </c>
      <c r="AS485">
        <v>0</v>
      </c>
    </row>
    <row r="486" spans="1:45" x14ac:dyDescent="0.25">
      <c r="A486" t="s">
        <v>1177</v>
      </c>
      <c r="B486" t="s">
        <v>1178</v>
      </c>
      <c r="C486" t="s">
        <v>147</v>
      </c>
      <c r="D486" t="s">
        <v>1170</v>
      </c>
      <c r="E486" t="s">
        <v>141</v>
      </c>
      <c r="F486" t="s">
        <v>141</v>
      </c>
      <c r="G486" t="s">
        <v>120</v>
      </c>
      <c r="H486" t="s">
        <v>120</v>
      </c>
      <c r="I486" t="s">
        <v>120</v>
      </c>
      <c r="J486" t="s">
        <v>120</v>
      </c>
      <c r="K486" t="s">
        <v>120</v>
      </c>
      <c r="L486" t="s">
        <v>120</v>
      </c>
      <c r="M486" t="s">
        <v>120</v>
      </c>
      <c r="N486" t="s">
        <v>120</v>
      </c>
      <c r="O486" t="s">
        <v>120</v>
      </c>
      <c r="P486" t="s">
        <v>120</v>
      </c>
      <c r="Q486" t="s">
        <v>120</v>
      </c>
      <c r="R486" t="s">
        <v>120</v>
      </c>
      <c r="S486" t="s">
        <v>120</v>
      </c>
      <c r="T486" t="s">
        <v>120</v>
      </c>
      <c r="U486" t="s">
        <v>120</v>
      </c>
      <c r="V486" t="s">
        <v>120</v>
      </c>
      <c r="W486" t="s">
        <v>120</v>
      </c>
      <c r="X486" t="s">
        <v>120</v>
      </c>
      <c r="Y486" t="s">
        <v>120</v>
      </c>
      <c r="Z486" t="s">
        <v>120</v>
      </c>
      <c r="AA486" t="s">
        <v>120</v>
      </c>
      <c r="AB486" t="s">
        <v>120</v>
      </c>
      <c r="AC486" t="s">
        <v>120</v>
      </c>
      <c r="AD486" t="s">
        <v>120</v>
      </c>
      <c r="AE486" t="s">
        <v>120</v>
      </c>
      <c r="AF486" t="s">
        <v>120</v>
      </c>
      <c r="AG486" t="s">
        <v>120</v>
      </c>
      <c r="AH486" t="s">
        <v>120</v>
      </c>
      <c r="AJ486">
        <v>0</v>
      </c>
      <c r="AK486">
        <v>16</v>
      </c>
      <c r="AL486">
        <v>16</v>
      </c>
      <c r="AM486">
        <v>0</v>
      </c>
      <c r="AN486">
        <v>0</v>
      </c>
      <c r="AO486">
        <v>31.55</v>
      </c>
      <c r="AP486">
        <v>16</v>
      </c>
      <c r="AQ486">
        <v>0</v>
      </c>
      <c r="AR486">
        <v>70.2</v>
      </c>
      <c r="AS486">
        <v>1009.6</v>
      </c>
    </row>
    <row r="487" spans="1:45" x14ac:dyDescent="0.25">
      <c r="A487" t="s">
        <v>1179</v>
      </c>
      <c r="B487" t="s">
        <v>1180</v>
      </c>
      <c r="C487" t="s">
        <v>147</v>
      </c>
      <c r="D487" t="s">
        <v>1170</v>
      </c>
      <c r="E487" t="s">
        <v>120</v>
      </c>
      <c r="F487" t="s">
        <v>120</v>
      </c>
      <c r="G487" t="s">
        <v>120</v>
      </c>
      <c r="H487" t="s">
        <v>120</v>
      </c>
      <c r="I487" t="s">
        <v>120</v>
      </c>
      <c r="J487" t="s">
        <v>120</v>
      </c>
      <c r="K487" t="s">
        <v>120</v>
      </c>
      <c r="L487" t="s">
        <v>120</v>
      </c>
      <c r="M487" t="s">
        <v>120</v>
      </c>
      <c r="N487" t="s">
        <v>120</v>
      </c>
      <c r="O487" t="s">
        <v>120</v>
      </c>
      <c r="P487" t="s">
        <v>120</v>
      </c>
      <c r="Q487" t="s">
        <v>327</v>
      </c>
      <c r="R487" t="s">
        <v>120</v>
      </c>
      <c r="S487" t="s">
        <v>120</v>
      </c>
      <c r="T487" t="s">
        <v>120</v>
      </c>
      <c r="U487" t="s">
        <v>120</v>
      </c>
      <c r="V487" t="s">
        <v>120</v>
      </c>
      <c r="W487" t="s">
        <v>120</v>
      </c>
      <c r="X487" t="s">
        <v>120</v>
      </c>
      <c r="Y487" t="s">
        <v>120</v>
      </c>
      <c r="Z487" t="s">
        <v>120</v>
      </c>
      <c r="AA487" t="s">
        <v>120</v>
      </c>
      <c r="AB487" t="s">
        <v>120</v>
      </c>
      <c r="AC487" t="s">
        <v>120</v>
      </c>
      <c r="AD487" t="s">
        <v>120</v>
      </c>
      <c r="AE487" t="s">
        <v>120</v>
      </c>
      <c r="AF487" t="s">
        <v>141</v>
      </c>
      <c r="AG487" t="s">
        <v>141</v>
      </c>
      <c r="AH487" t="s">
        <v>120</v>
      </c>
      <c r="AJ487">
        <v>0</v>
      </c>
      <c r="AK487">
        <v>19</v>
      </c>
      <c r="AL487">
        <v>19</v>
      </c>
      <c r="AM487">
        <v>0</v>
      </c>
      <c r="AN487">
        <v>0</v>
      </c>
      <c r="AO487">
        <v>31.55</v>
      </c>
      <c r="AP487">
        <v>19</v>
      </c>
      <c r="AQ487">
        <v>0</v>
      </c>
      <c r="AR487">
        <v>70.2</v>
      </c>
      <c r="AS487">
        <v>1198.9000000000001</v>
      </c>
    </row>
    <row r="488" spans="1:45" x14ac:dyDescent="0.25">
      <c r="A488" t="s">
        <v>1181</v>
      </c>
      <c r="B488" t="s">
        <v>1182</v>
      </c>
      <c r="C488" t="s">
        <v>147</v>
      </c>
      <c r="D488" t="s">
        <v>1170</v>
      </c>
      <c r="E488" t="s">
        <v>120</v>
      </c>
      <c r="F488" t="s">
        <v>120</v>
      </c>
      <c r="G488" t="s">
        <v>120</v>
      </c>
      <c r="H488" t="s">
        <v>120</v>
      </c>
      <c r="I488" t="s">
        <v>120</v>
      </c>
      <c r="J488" t="s">
        <v>120</v>
      </c>
      <c r="K488" t="s">
        <v>120</v>
      </c>
      <c r="L488" t="s">
        <v>120</v>
      </c>
      <c r="M488" t="s">
        <v>120</v>
      </c>
      <c r="N488" t="s">
        <v>120</v>
      </c>
      <c r="O488" t="s">
        <v>120</v>
      </c>
      <c r="P488" t="s">
        <v>120</v>
      </c>
      <c r="Q488" t="s">
        <v>120</v>
      </c>
      <c r="R488" t="s">
        <v>120</v>
      </c>
      <c r="S488" t="s">
        <v>120</v>
      </c>
      <c r="T488" t="s">
        <v>120</v>
      </c>
      <c r="U488" t="s">
        <v>120</v>
      </c>
      <c r="V488" t="s">
        <v>120</v>
      </c>
      <c r="W488" t="s">
        <v>120</v>
      </c>
      <c r="X488" t="s">
        <v>120</v>
      </c>
      <c r="Y488" t="s">
        <v>120</v>
      </c>
      <c r="Z488" t="s">
        <v>120</v>
      </c>
      <c r="AA488" t="s">
        <v>120</v>
      </c>
      <c r="AB488" t="s">
        <v>120</v>
      </c>
      <c r="AC488" t="s">
        <v>120</v>
      </c>
      <c r="AD488" t="s">
        <v>120</v>
      </c>
      <c r="AE488" t="s">
        <v>120</v>
      </c>
      <c r="AF488" t="s">
        <v>120</v>
      </c>
      <c r="AG488" t="s">
        <v>120</v>
      </c>
      <c r="AH488" t="s">
        <v>120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31.55</v>
      </c>
      <c r="AP488">
        <v>0</v>
      </c>
      <c r="AQ488">
        <v>0</v>
      </c>
      <c r="AR488">
        <v>70.2</v>
      </c>
      <c r="AS488">
        <v>0</v>
      </c>
    </row>
    <row r="489" spans="1:45" x14ac:dyDescent="0.25">
      <c r="A489" t="s">
        <v>1183</v>
      </c>
      <c r="B489" t="s">
        <v>1184</v>
      </c>
      <c r="C489" t="s">
        <v>147</v>
      </c>
      <c r="D489" t="s">
        <v>1170</v>
      </c>
      <c r="E489" t="s">
        <v>120</v>
      </c>
      <c r="F489" t="s">
        <v>120</v>
      </c>
      <c r="G489" t="s">
        <v>120</v>
      </c>
      <c r="H489" t="s">
        <v>120</v>
      </c>
      <c r="I489" t="s">
        <v>120</v>
      </c>
      <c r="J489" t="s">
        <v>120</v>
      </c>
      <c r="K489" t="s">
        <v>120</v>
      </c>
      <c r="L489" t="s">
        <v>120</v>
      </c>
      <c r="M489" t="s">
        <v>120</v>
      </c>
      <c r="N489" t="s">
        <v>120</v>
      </c>
      <c r="O489" t="s">
        <v>120</v>
      </c>
      <c r="P489" t="s">
        <v>120</v>
      </c>
      <c r="Q489" t="s">
        <v>120</v>
      </c>
      <c r="R489" t="s">
        <v>120</v>
      </c>
      <c r="S489" t="s">
        <v>120</v>
      </c>
      <c r="T489" t="s">
        <v>120</v>
      </c>
      <c r="U489" t="s">
        <v>120</v>
      </c>
      <c r="V489" t="s">
        <v>120</v>
      </c>
      <c r="W489" t="s">
        <v>120</v>
      </c>
      <c r="X489" t="s">
        <v>120</v>
      </c>
      <c r="Y489" t="s">
        <v>120</v>
      </c>
      <c r="Z489" t="s">
        <v>120</v>
      </c>
      <c r="AA489" t="s">
        <v>120</v>
      </c>
      <c r="AB489" t="s">
        <v>120</v>
      </c>
      <c r="AC489" t="s">
        <v>120</v>
      </c>
      <c r="AD489" t="s">
        <v>120</v>
      </c>
      <c r="AE489" t="s">
        <v>120</v>
      </c>
      <c r="AF489" t="s">
        <v>341</v>
      </c>
      <c r="AG489" t="s">
        <v>141</v>
      </c>
      <c r="AH489" t="s">
        <v>120</v>
      </c>
      <c r="AJ489">
        <v>0</v>
      </c>
      <c r="AK489">
        <v>12</v>
      </c>
      <c r="AL489">
        <v>12</v>
      </c>
      <c r="AM489">
        <v>0</v>
      </c>
      <c r="AN489">
        <v>0</v>
      </c>
      <c r="AO489">
        <v>31.55</v>
      </c>
      <c r="AP489">
        <v>12</v>
      </c>
      <c r="AQ489">
        <v>0</v>
      </c>
      <c r="AR489">
        <v>70.2</v>
      </c>
      <c r="AS489">
        <v>757.2</v>
      </c>
    </row>
    <row r="490" spans="1:45" x14ac:dyDescent="0.25">
      <c r="A490" t="s">
        <v>1185</v>
      </c>
      <c r="B490" t="s">
        <v>1186</v>
      </c>
      <c r="C490" t="s">
        <v>130</v>
      </c>
      <c r="D490" t="s">
        <v>1170</v>
      </c>
      <c r="E490" t="s">
        <v>120</v>
      </c>
      <c r="F490" t="s">
        <v>120</v>
      </c>
      <c r="G490" t="s">
        <v>120</v>
      </c>
      <c r="H490" t="s">
        <v>120</v>
      </c>
      <c r="I490" t="s">
        <v>120</v>
      </c>
      <c r="J490" t="s">
        <v>120</v>
      </c>
      <c r="K490" t="s">
        <v>120</v>
      </c>
      <c r="L490" t="s">
        <v>120</v>
      </c>
      <c r="M490" t="s">
        <v>120</v>
      </c>
      <c r="N490" t="s">
        <v>120</v>
      </c>
      <c r="O490" t="s">
        <v>327</v>
      </c>
      <c r="P490" t="s">
        <v>120</v>
      </c>
      <c r="Q490" t="s">
        <v>120</v>
      </c>
      <c r="R490" t="s">
        <v>120</v>
      </c>
      <c r="S490" t="s">
        <v>120</v>
      </c>
      <c r="T490" t="s">
        <v>120</v>
      </c>
      <c r="U490" t="s">
        <v>120</v>
      </c>
      <c r="V490" t="s">
        <v>120</v>
      </c>
      <c r="W490" t="s">
        <v>341</v>
      </c>
      <c r="X490" t="s">
        <v>120</v>
      </c>
      <c r="Y490" t="s">
        <v>120</v>
      </c>
      <c r="Z490" t="s">
        <v>120</v>
      </c>
      <c r="AA490" t="s">
        <v>120</v>
      </c>
      <c r="AB490" t="s">
        <v>120</v>
      </c>
      <c r="AC490" t="s">
        <v>120</v>
      </c>
      <c r="AD490" t="s">
        <v>120</v>
      </c>
      <c r="AE490" t="s">
        <v>120</v>
      </c>
      <c r="AF490" t="s">
        <v>120</v>
      </c>
      <c r="AG490" t="s">
        <v>120</v>
      </c>
      <c r="AH490" t="s">
        <v>120</v>
      </c>
      <c r="AJ490">
        <v>0</v>
      </c>
      <c r="AK490">
        <v>6.9999999999999991</v>
      </c>
      <c r="AL490">
        <v>6.9999999999999991</v>
      </c>
      <c r="AM490">
        <v>0</v>
      </c>
      <c r="AN490">
        <v>0</v>
      </c>
      <c r="AO490">
        <v>7500</v>
      </c>
      <c r="AP490">
        <v>6.9999999999999991</v>
      </c>
      <c r="AQ490">
        <v>0</v>
      </c>
      <c r="AR490">
        <v>126.56250000000001</v>
      </c>
      <c r="AS490">
        <v>656.24999999999989</v>
      </c>
    </row>
    <row r="491" spans="1:45" x14ac:dyDescent="0.25">
      <c r="A491" t="s">
        <v>1187</v>
      </c>
      <c r="B491" t="s">
        <v>1188</v>
      </c>
      <c r="C491" t="s">
        <v>127</v>
      </c>
      <c r="D491" t="s">
        <v>1170</v>
      </c>
      <c r="E491" t="s">
        <v>135</v>
      </c>
      <c r="F491" t="s">
        <v>120</v>
      </c>
      <c r="G491" t="s">
        <v>120</v>
      </c>
      <c r="H491" t="s">
        <v>120</v>
      </c>
      <c r="I491" t="s">
        <v>120</v>
      </c>
      <c r="J491" t="s">
        <v>120</v>
      </c>
      <c r="K491" t="s">
        <v>120</v>
      </c>
      <c r="L491" t="s">
        <v>120</v>
      </c>
      <c r="M491" t="s">
        <v>120</v>
      </c>
      <c r="N491" t="s">
        <v>120</v>
      </c>
      <c r="O491" t="s">
        <v>120</v>
      </c>
      <c r="P491" t="s">
        <v>120</v>
      </c>
      <c r="Q491" t="s">
        <v>120</v>
      </c>
      <c r="R491" t="s">
        <v>120</v>
      </c>
      <c r="S491" t="s">
        <v>120</v>
      </c>
      <c r="T491" t="s">
        <v>141</v>
      </c>
      <c r="U491" t="s">
        <v>120</v>
      </c>
      <c r="V491" t="s">
        <v>120</v>
      </c>
      <c r="W491" t="s">
        <v>120</v>
      </c>
      <c r="X491" t="s">
        <v>120</v>
      </c>
      <c r="Y491" t="s">
        <v>120</v>
      </c>
      <c r="Z491" t="s">
        <v>120</v>
      </c>
      <c r="AA491" t="s">
        <v>120</v>
      </c>
      <c r="AB491" t="s">
        <v>120</v>
      </c>
      <c r="AC491" t="s">
        <v>120</v>
      </c>
      <c r="AD491" t="s">
        <v>120</v>
      </c>
      <c r="AE491" t="s">
        <v>120</v>
      </c>
      <c r="AF491" t="s">
        <v>120</v>
      </c>
      <c r="AG491" t="s">
        <v>120</v>
      </c>
      <c r="AH491" t="s">
        <v>120</v>
      </c>
      <c r="AJ491">
        <v>0</v>
      </c>
      <c r="AK491">
        <v>16</v>
      </c>
      <c r="AL491">
        <v>8</v>
      </c>
      <c r="AM491">
        <v>8</v>
      </c>
      <c r="AN491">
        <v>0</v>
      </c>
      <c r="AO491">
        <v>33.43</v>
      </c>
      <c r="AP491">
        <v>16</v>
      </c>
      <c r="AQ491">
        <v>0</v>
      </c>
      <c r="AR491">
        <v>75.06</v>
      </c>
      <c r="AS491">
        <v>1069.76</v>
      </c>
    </row>
    <row r="492" spans="1:45" x14ac:dyDescent="0.25">
      <c r="A492" t="s">
        <v>1189</v>
      </c>
      <c r="B492" t="s">
        <v>1190</v>
      </c>
      <c r="C492" t="s">
        <v>147</v>
      </c>
      <c r="D492" t="s">
        <v>1191</v>
      </c>
      <c r="E492" t="s">
        <v>120</v>
      </c>
      <c r="F492" t="s">
        <v>120</v>
      </c>
      <c r="G492" t="s">
        <v>120</v>
      </c>
      <c r="H492" t="s">
        <v>120</v>
      </c>
      <c r="I492" t="s">
        <v>120</v>
      </c>
      <c r="J492" t="s">
        <v>120</v>
      </c>
      <c r="K492" t="s">
        <v>120</v>
      </c>
      <c r="L492" t="s">
        <v>120</v>
      </c>
      <c r="M492" t="s">
        <v>120</v>
      </c>
      <c r="N492" t="s">
        <v>120</v>
      </c>
      <c r="O492" t="s">
        <v>120</v>
      </c>
      <c r="P492" t="s">
        <v>120</v>
      </c>
      <c r="Q492" t="s">
        <v>120</v>
      </c>
      <c r="R492" t="s">
        <v>120</v>
      </c>
      <c r="S492" t="s">
        <v>120</v>
      </c>
      <c r="T492" t="s">
        <v>120</v>
      </c>
      <c r="U492" t="s">
        <v>120</v>
      </c>
      <c r="V492" t="s">
        <v>120</v>
      </c>
      <c r="W492" t="s">
        <v>120</v>
      </c>
      <c r="X492" t="s">
        <v>120</v>
      </c>
      <c r="Y492" t="s">
        <v>120</v>
      </c>
      <c r="Z492" t="s">
        <v>120</v>
      </c>
      <c r="AA492" t="s">
        <v>120</v>
      </c>
      <c r="AB492" t="s">
        <v>120</v>
      </c>
      <c r="AC492" t="s">
        <v>120</v>
      </c>
      <c r="AD492" t="s">
        <v>120</v>
      </c>
      <c r="AE492" t="s">
        <v>120</v>
      </c>
      <c r="AF492" t="s">
        <v>120</v>
      </c>
      <c r="AG492" t="s">
        <v>120</v>
      </c>
      <c r="AH492" t="s">
        <v>120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31.55</v>
      </c>
      <c r="AP492">
        <v>0</v>
      </c>
      <c r="AQ492">
        <v>0</v>
      </c>
      <c r="AR492">
        <v>70.2</v>
      </c>
      <c r="AS492">
        <v>0</v>
      </c>
    </row>
    <row r="493" spans="1:45" x14ac:dyDescent="0.25">
      <c r="A493" t="s">
        <v>1192</v>
      </c>
      <c r="B493" t="s">
        <v>1193</v>
      </c>
      <c r="C493" t="s">
        <v>147</v>
      </c>
      <c r="D493" t="s">
        <v>1191</v>
      </c>
      <c r="E493" t="s">
        <v>120</v>
      </c>
      <c r="F493" t="s">
        <v>120</v>
      </c>
      <c r="G493" t="s">
        <v>120</v>
      </c>
      <c r="H493" t="s">
        <v>120</v>
      </c>
      <c r="I493" t="s">
        <v>120</v>
      </c>
      <c r="J493" t="s">
        <v>120</v>
      </c>
      <c r="K493" t="s">
        <v>120</v>
      </c>
      <c r="L493" t="s">
        <v>120</v>
      </c>
      <c r="M493" t="s">
        <v>120</v>
      </c>
      <c r="N493" t="s">
        <v>120</v>
      </c>
      <c r="O493" t="s">
        <v>120</v>
      </c>
      <c r="P493" t="s">
        <v>120</v>
      </c>
      <c r="Q493" t="s">
        <v>120</v>
      </c>
      <c r="R493" t="s">
        <v>120</v>
      </c>
      <c r="S493" t="s">
        <v>120</v>
      </c>
      <c r="T493" t="s">
        <v>120</v>
      </c>
      <c r="U493" t="s">
        <v>120</v>
      </c>
      <c r="V493" t="s">
        <v>120</v>
      </c>
      <c r="W493" t="s">
        <v>120</v>
      </c>
      <c r="X493" t="s">
        <v>120</v>
      </c>
      <c r="Y493" t="s">
        <v>141</v>
      </c>
      <c r="Z493" t="s">
        <v>120</v>
      </c>
      <c r="AA493" t="s">
        <v>120</v>
      </c>
      <c r="AB493" t="s">
        <v>120</v>
      </c>
      <c r="AC493" t="s">
        <v>120</v>
      </c>
      <c r="AD493" t="s">
        <v>120</v>
      </c>
      <c r="AE493" t="s">
        <v>120</v>
      </c>
      <c r="AF493" t="s">
        <v>120</v>
      </c>
      <c r="AG493" t="s">
        <v>120</v>
      </c>
      <c r="AH493" t="s">
        <v>120</v>
      </c>
      <c r="AJ493">
        <v>0</v>
      </c>
      <c r="AK493">
        <v>8</v>
      </c>
      <c r="AL493">
        <v>8</v>
      </c>
      <c r="AM493">
        <v>0</v>
      </c>
      <c r="AN493">
        <v>0</v>
      </c>
      <c r="AO493">
        <v>31.55</v>
      </c>
      <c r="AP493">
        <v>8</v>
      </c>
      <c r="AQ493">
        <v>0</v>
      </c>
      <c r="AR493">
        <v>70.2</v>
      </c>
      <c r="AS493">
        <v>504.8</v>
      </c>
    </row>
    <row r="494" spans="1:45" x14ac:dyDescent="0.25">
      <c r="A494" t="s">
        <v>1194</v>
      </c>
      <c r="B494" t="s">
        <v>1195</v>
      </c>
      <c r="C494" t="s">
        <v>147</v>
      </c>
      <c r="D494" t="s">
        <v>1191</v>
      </c>
      <c r="E494" t="s">
        <v>120</v>
      </c>
      <c r="F494" t="s">
        <v>120</v>
      </c>
      <c r="G494" t="s">
        <v>120</v>
      </c>
      <c r="H494" t="s">
        <v>120</v>
      </c>
      <c r="I494" t="s">
        <v>120</v>
      </c>
      <c r="J494" t="s">
        <v>120</v>
      </c>
      <c r="K494" t="s">
        <v>120</v>
      </c>
      <c r="L494" t="s">
        <v>120</v>
      </c>
      <c r="M494" t="s">
        <v>120</v>
      </c>
      <c r="N494" t="s">
        <v>120</v>
      </c>
      <c r="O494" t="s">
        <v>120</v>
      </c>
      <c r="P494" t="s">
        <v>120</v>
      </c>
      <c r="Q494" t="s">
        <v>120</v>
      </c>
      <c r="R494" t="s">
        <v>141</v>
      </c>
      <c r="S494" t="s">
        <v>120</v>
      </c>
      <c r="T494" t="s">
        <v>120</v>
      </c>
      <c r="U494" t="s">
        <v>120</v>
      </c>
      <c r="V494" t="s">
        <v>120</v>
      </c>
      <c r="W494" t="s">
        <v>120</v>
      </c>
      <c r="X494" t="s">
        <v>120</v>
      </c>
      <c r="Y494" t="s">
        <v>141</v>
      </c>
      <c r="Z494" t="s">
        <v>120</v>
      </c>
      <c r="AA494" t="s">
        <v>120</v>
      </c>
      <c r="AB494" t="s">
        <v>120</v>
      </c>
      <c r="AC494" t="s">
        <v>120</v>
      </c>
      <c r="AD494" t="s">
        <v>141</v>
      </c>
      <c r="AE494" t="s">
        <v>120</v>
      </c>
      <c r="AF494" t="s">
        <v>120</v>
      </c>
      <c r="AG494" t="s">
        <v>120</v>
      </c>
      <c r="AH494" t="s">
        <v>120</v>
      </c>
      <c r="AJ494">
        <v>0</v>
      </c>
      <c r="AK494">
        <v>24</v>
      </c>
      <c r="AL494">
        <v>24</v>
      </c>
      <c r="AM494">
        <v>0</v>
      </c>
      <c r="AN494">
        <v>0</v>
      </c>
      <c r="AO494">
        <v>31.55</v>
      </c>
      <c r="AP494">
        <v>24</v>
      </c>
      <c r="AQ494">
        <v>0</v>
      </c>
      <c r="AR494">
        <v>70.2</v>
      </c>
      <c r="AS494">
        <v>1514.4</v>
      </c>
    </row>
    <row r="495" spans="1:45" x14ac:dyDescent="0.25">
      <c r="A495" t="s">
        <v>1196</v>
      </c>
      <c r="B495" t="s">
        <v>1197</v>
      </c>
      <c r="C495" t="s">
        <v>147</v>
      </c>
      <c r="D495" t="s">
        <v>1198</v>
      </c>
      <c r="E495" t="s">
        <v>120</v>
      </c>
      <c r="F495" t="s">
        <v>120</v>
      </c>
      <c r="G495" t="s">
        <v>120</v>
      </c>
      <c r="H495" t="s">
        <v>120</v>
      </c>
      <c r="I495" t="s">
        <v>120</v>
      </c>
      <c r="J495" t="s">
        <v>120</v>
      </c>
      <c r="K495" t="s">
        <v>120</v>
      </c>
      <c r="L495" t="s">
        <v>120</v>
      </c>
      <c r="M495" t="s">
        <v>120</v>
      </c>
      <c r="N495" t="s">
        <v>120</v>
      </c>
      <c r="O495" t="s">
        <v>120</v>
      </c>
      <c r="P495" t="s">
        <v>120</v>
      </c>
      <c r="Q495" t="s">
        <v>120</v>
      </c>
      <c r="R495" t="s">
        <v>120</v>
      </c>
      <c r="S495" t="s">
        <v>120</v>
      </c>
      <c r="T495" t="s">
        <v>120</v>
      </c>
      <c r="U495" t="s">
        <v>120</v>
      </c>
      <c r="V495" t="s">
        <v>120</v>
      </c>
      <c r="W495" t="s">
        <v>120</v>
      </c>
      <c r="X495" t="s">
        <v>120</v>
      </c>
      <c r="Y495" t="s">
        <v>120</v>
      </c>
      <c r="Z495" t="s">
        <v>120</v>
      </c>
      <c r="AA495" t="s">
        <v>120</v>
      </c>
      <c r="AB495" t="s">
        <v>120</v>
      </c>
      <c r="AC495" t="s">
        <v>120</v>
      </c>
      <c r="AD495" t="s">
        <v>120</v>
      </c>
      <c r="AE495" t="s">
        <v>120</v>
      </c>
      <c r="AF495" t="s">
        <v>120</v>
      </c>
      <c r="AG495" t="s">
        <v>120</v>
      </c>
      <c r="AH495" t="s">
        <v>120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31.55</v>
      </c>
      <c r="AP495">
        <v>0</v>
      </c>
      <c r="AQ495">
        <v>0</v>
      </c>
      <c r="AR495">
        <v>70.2</v>
      </c>
      <c r="AS495">
        <v>0</v>
      </c>
    </row>
    <row r="496" spans="1:45" x14ac:dyDescent="0.25">
      <c r="A496" t="s">
        <v>1199</v>
      </c>
      <c r="B496" t="s">
        <v>1200</v>
      </c>
      <c r="C496" t="s">
        <v>147</v>
      </c>
      <c r="D496" t="s">
        <v>1198</v>
      </c>
      <c r="E496" t="s">
        <v>120</v>
      </c>
      <c r="F496" t="s">
        <v>120</v>
      </c>
      <c r="G496" t="s">
        <v>120</v>
      </c>
      <c r="H496" t="s">
        <v>120</v>
      </c>
      <c r="I496" t="s">
        <v>120</v>
      </c>
      <c r="J496" t="s">
        <v>120</v>
      </c>
      <c r="K496" t="s">
        <v>120</v>
      </c>
      <c r="L496" t="s">
        <v>120</v>
      </c>
      <c r="M496" t="s">
        <v>120</v>
      </c>
      <c r="N496" t="s">
        <v>120</v>
      </c>
      <c r="O496" t="s">
        <v>120</v>
      </c>
      <c r="P496" t="s">
        <v>120</v>
      </c>
      <c r="Q496" t="s">
        <v>120</v>
      </c>
      <c r="R496" t="s">
        <v>120</v>
      </c>
      <c r="S496" t="s">
        <v>120</v>
      </c>
      <c r="T496" t="s">
        <v>120</v>
      </c>
      <c r="U496" t="s">
        <v>120</v>
      </c>
      <c r="V496" t="s">
        <v>120</v>
      </c>
      <c r="W496" t="s">
        <v>120</v>
      </c>
      <c r="X496" t="s">
        <v>120</v>
      </c>
      <c r="Y496" t="s">
        <v>120</v>
      </c>
      <c r="Z496" t="s">
        <v>120</v>
      </c>
      <c r="AA496" t="s">
        <v>120</v>
      </c>
      <c r="AB496" t="s">
        <v>120</v>
      </c>
      <c r="AC496" t="s">
        <v>120</v>
      </c>
      <c r="AD496" t="s">
        <v>120</v>
      </c>
      <c r="AE496" t="s">
        <v>120</v>
      </c>
      <c r="AF496" t="s">
        <v>120</v>
      </c>
      <c r="AG496" t="s">
        <v>120</v>
      </c>
      <c r="AH496" t="s">
        <v>120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31.55</v>
      </c>
      <c r="AP496">
        <v>0</v>
      </c>
      <c r="AQ496">
        <v>0</v>
      </c>
      <c r="AR496">
        <v>70.2</v>
      </c>
      <c r="AS496">
        <v>0</v>
      </c>
    </row>
    <row r="497" spans="1:45" x14ac:dyDescent="0.25">
      <c r="A497" t="s">
        <v>1201</v>
      </c>
      <c r="B497" t="s">
        <v>1202</v>
      </c>
      <c r="C497" t="s">
        <v>147</v>
      </c>
      <c r="D497" t="s">
        <v>1198</v>
      </c>
      <c r="E497" t="s">
        <v>120</v>
      </c>
      <c r="F497" t="s">
        <v>120</v>
      </c>
      <c r="G497" t="s">
        <v>120</v>
      </c>
      <c r="H497" t="s">
        <v>120</v>
      </c>
      <c r="I497" t="s">
        <v>120</v>
      </c>
      <c r="J497" t="s">
        <v>120</v>
      </c>
      <c r="K497" t="s">
        <v>120</v>
      </c>
      <c r="L497" t="s">
        <v>120</v>
      </c>
      <c r="M497" t="s">
        <v>120</v>
      </c>
      <c r="N497" t="s">
        <v>120</v>
      </c>
      <c r="O497" t="s">
        <v>120</v>
      </c>
      <c r="P497" t="s">
        <v>120</v>
      </c>
      <c r="Q497" t="s">
        <v>120</v>
      </c>
      <c r="R497" t="s">
        <v>120</v>
      </c>
      <c r="S497" t="s">
        <v>120</v>
      </c>
      <c r="T497" t="s">
        <v>120</v>
      </c>
      <c r="U497" t="s">
        <v>120</v>
      </c>
      <c r="V497" t="s">
        <v>120</v>
      </c>
      <c r="W497" t="s">
        <v>120</v>
      </c>
      <c r="X497" t="s">
        <v>120</v>
      </c>
      <c r="Y497" t="s">
        <v>120</v>
      </c>
      <c r="Z497" t="s">
        <v>120</v>
      </c>
      <c r="AA497" t="s">
        <v>120</v>
      </c>
      <c r="AB497" t="s">
        <v>120</v>
      </c>
      <c r="AC497" t="s">
        <v>120</v>
      </c>
      <c r="AD497" t="s">
        <v>120</v>
      </c>
      <c r="AE497" t="s">
        <v>135</v>
      </c>
      <c r="AF497" t="s">
        <v>120</v>
      </c>
      <c r="AG497" t="s">
        <v>120</v>
      </c>
      <c r="AH497" t="s">
        <v>120</v>
      </c>
      <c r="AJ497">
        <v>0</v>
      </c>
      <c r="AK497">
        <v>8</v>
      </c>
      <c r="AL497">
        <v>0</v>
      </c>
      <c r="AM497">
        <v>8</v>
      </c>
      <c r="AN497">
        <v>0</v>
      </c>
      <c r="AO497">
        <v>31.55</v>
      </c>
      <c r="AP497">
        <v>8</v>
      </c>
      <c r="AQ497">
        <v>0</v>
      </c>
      <c r="AR497">
        <v>70.2</v>
      </c>
      <c r="AS497">
        <v>504.8</v>
      </c>
    </row>
    <row r="498" spans="1:45" x14ac:dyDescent="0.25">
      <c r="A498" t="s">
        <v>1203</v>
      </c>
      <c r="B498" t="s">
        <v>1204</v>
      </c>
      <c r="C498" t="s">
        <v>147</v>
      </c>
      <c r="D498" t="s">
        <v>1198</v>
      </c>
      <c r="E498" t="s">
        <v>120</v>
      </c>
      <c r="F498" t="s">
        <v>120</v>
      </c>
      <c r="G498" t="s">
        <v>120</v>
      </c>
      <c r="H498" t="s">
        <v>120</v>
      </c>
      <c r="I498" t="s">
        <v>120</v>
      </c>
      <c r="J498" t="s">
        <v>120</v>
      </c>
      <c r="K498" t="s">
        <v>120</v>
      </c>
      <c r="L498" t="s">
        <v>120</v>
      </c>
      <c r="M498" t="s">
        <v>120</v>
      </c>
      <c r="N498" t="s">
        <v>120</v>
      </c>
      <c r="O498" t="s">
        <v>120</v>
      </c>
      <c r="P498" t="s">
        <v>120</v>
      </c>
      <c r="Q498" t="s">
        <v>120</v>
      </c>
      <c r="R498" t="s">
        <v>120</v>
      </c>
      <c r="S498" t="s">
        <v>120</v>
      </c>
      <c r="T498" t="s">
        <v>120</v>
      </c>
      <c r="U498" t="s">
        <v>120</v>
      </c>
      <c r="V498" t="s">
        <v>120</v>
      </c>
      <c r="W498" t="s">
        <v>120</v>
      </c>
      <c r="X498" t="s">
        <v>120</v>
      </c>
      <c r="Y498" t="s">
        <v>120</v>
      </c>
      <c r="Z498" t="s">
        <v>120</v>
      </c>
      <c r="AA498" t="s">
        <v>120</v>
      </c>
      <c r="AB498" t="s">
        <v>120</v>
      </c>
      <c r="AC498" t="s">
        <v>120</v>
      </c>
      <c r="AD498" t="s">
        <v>120</v>
      </c>
      <c r="AE498" t="s">
        <v>120</v>
      </c>
      <c r="AF498" t="s">
        <v>120</v>
      </c>
      <c r="AG498" t="s">
        <v>120</v>
      </c>
      <c r="AH498" t="s">
        <v>120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31.55</v>
      </c>
      <c r="AP498">
        <v>0</v>
      </c>
      <c r="AQ498">
        <v>0</v>
      </c>
      <c r="AR498">
        <v>70.2</v>
      </c>
      <c r="AS498">
        <v>0</v>
      </c>
    </row>
    <row r="499" spans="1:45" x14ac:dyDescent="0.25">
      <c r="A499" t="s">
        <v>1205</v>
      </c>
      <c r="B499" t="s">
        <v>1206</v>
      </c>
      <c r="C499" t="s">
        <v>147</v>
      </c>
      <c r="D499" t="s">
        <v>1198</v>
      </c>
      <c r="E499" t="s">
        <v>120</v>
      </c>
      <c r="F499" t="s">
        <v>120</v>
      </c>
      <c r="G499" t="s">
        <v>120</v>
      </c>
      <c r="H499" t="s">
        <v>120</v>
      </c>
      <c r="I499" t="s">
        <v>120</v>
      </c>
      <c r="J499" t="s">
        <v>120</v>
      </c>
      <c r="K499" t="s">
        <v>120</v>
      </c>
      <c r="L499" t="s">
        <v>120</v>
      </c>
      <c r="M499" t="s">
        <v>120</v>
      </c>
      <c r="N499" t="s">
        <v>120</v>
      </c>
      <c r="O499" t="s">
        <v>120</v>
      </c>
      <c r="P499" t="s">
        <v>120</v>
      </c>
      <c r="Q499" t="s">
        <v>120</v>
      </c>
      <c r="R499" t="s">
        <v>120</v>
      </c>
      <c r="S499" t="s">
        <v>120</v>
      </c>
      <c r="T499" t="s">
        <v>120</v>
      </c>
      <c r="U499" t="s">
        <v>120</v>
      </c>
      <c r="V499" t="s">
        <v>135</v>
      </c>
      <c r="W499" t="s">
        <v>135</v>
      </c>
      <c r="X499" t="s">
        <v>120</v>
      </c>
      <c r="Y499" t="s">
        <v>120</v>
      </c>
      <c r="Z499" t="s">
        <v>120</v>
      </c>
      <c r="AA499" t="s">
        <v>120</v>
      </c>
      <c r="AB499" t="s">
        <v>120</v>
      </c>
      <c r="AC499" t="s">
        <v>120</v>
      </c>
      <c r="AD499" t="s">
        <v>120</v>
      </c>
      <c r="AE499" t="s">
        <v>120</v>
      </c>
      <c r="AF499" t="s">
        <v>120</v>
      </c>
      <c r="AG499" t="s">
        <v>120</v>
      </c>
      <c r="AH499" t="s">
        <v>120</v>
      </c>
      <c r="AJ499">
        <v>0</v>
      </c>
      <c r="AK499">
        <v>16</v>
      </c>
      <c r="AL499">
        <v>0</v>
      </c>
      <c r="AM499">
        <v>16</v>
      </c>
      <c r="AN499">
        <v>0</v>
      </c>
      <c r="AO499">
        <v>31.55</v>
      </c>
      <c r="AP499">
        <v>16</v>
      </c>
      <c r="AQ499">
        <v>0</v>
      </c>
      <c r="AR499">
        <v>70.2</v>
      </c>
      <c r="AS499">
        <v>1009.6</v>
      </c>
    </row>
    <row r="500" spans="1:45" x14ac:dyDescent="0.25">
      <c r="A500" t="s">
        <v>1207</v>
      </c>
      <c r="B500" t="s">
        <v>1208</v>
      </c>
      <c r="C500" t="s">
        <v>147</v>
      </c>
      <c r="D500" t="s">
        <v>1198</v>
      </c>
      <c r="E500" t="s">
        <v>120</v>
      </c>
      <c r="F500" t="s">
        <v>120</v>
      </c>
      <c r="G500" t="s">
        <v>120</v>
      </c>
      <c r="H500" t="s">
        <v>120</v>
      </c>
      <c r="I500" t="s">
        <v>120</v>
      </c>
      <c r="J500" t="s">
        <v>120</v>
      </c>
      <c r="K500" t="s">
        <v>120</v>
      </c>
      <c r="L500" t="s">
        <v>120</v>
      </c>
      <c r="M500" t="s">
        <v>120</v>
      </c>
      <c r="N500" t="s">
        <v>120</v>
      </c>
      <c r="O500" t="s">
        <v>120</v>
      </c>
      <c r="P500" t="s">
        <v>120</v>
      </c>
      <c r="Q500" t="s">
        <v>120</v>
      </c>
      <c r="R500" t="s">
        <v>120</v>
      </c>
      <c r="S500" t="s">
        <v>120</v>
      </c>
      <c r="T500" t="s">
        <v>120</v>
      </c>
      <c r="U500" t="s">
        <v>120</v>
      </c>
      <c r="V500" t="s">
        <v>120</v>
      </c>
      <c r="W500" t="s">
        <v>120</v>
      </c>
      <c r="X500" t="s">
        <v>120</v>
      </c>
      <c r="Y500" t="s">
        <v>120</v>
      </c>
      <c r="Z500" t="s">
        <v>120</v>
      </c>
      <c r="AA500" t="s">
        <v>120</v>
      </c>
      <c r="AB500" t="s">
        <v>120</v>
      </c>
      <c r="AC500" t="s">
        <v>120</v>
      </c>
      <c r="AD500" t="s">
        <v>120</v>
      </c>
      <c r="AE500" t="s">
        <v>120</v>
      </c>
      <c r="AF500" t="s">
        <v>120</v>
      </c>
      <c r="AG500" t="s">
        <v>120</v>
      </c>
      <c r="AH500" t="s">
        <v>120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31.55</v>
      </c>
      <c r="AP500">
        <v>0</v>
      </c>
      <c r="AQ500">
        <v>0</v>
      </c>
      <c r="AR500">
        <v>70.2</v>
      </c>
      <c r="AS500">
        <v>0</v>
      </c>
    </row>
    <row r="501" spans="1:45" x14ac:dyDescent="0.25">
      <c r="A501" t="s">
        <v>1209</v>
      </c>
      <c r="B501" t="s">
        <v>1210</v>
      </c>
      <c r="C501" t="s">
        <v>147</v>
      </c>
      <c r="D501" t="s">
        <v>1198</v>
      </c>
      <c r="E501" t="s">
        <v>120</v>
      </c>
      <c r="F501" t="s">
        <v>120</v>
      </c>
      <c r="G501" t="s">
        <v>120</v>
      </c>
      <c r="H501" t="s">
        <v>120</v>
      </c>
      <c r="I501" t="s">
        <v>120</v>
      </c>
      <c r="J501" t="s">
        <v>120</v>
      </c>
      <c r="K501" t="s">
        <v>120</v>
      </c>
      <c r="L501" t="s">
        <v>120</v>
      </c>
      <c r="M501" t="s">
        <v>120</v>
      </c>
      <c r="N501" t="s">
        <v>120</v>
      </c>
      <c r="O501" t="s">
        <v>120</v>
      </c>
      <c r="P501" t="s">
        <v>120</v>
      </c>
      <c r="Q501" t="s">
        <v>120</v>
      </c>
      <c r="R501" t="s">
        <v>120</v>
      </c>
      <c r="S501" t="s">
        <v>120</v>
      </c>
      <c r="T501" t="s">
        <v>120</v>
      </c>
      <c r="U501" t="s">
        <v>120</v>
      </c>
      <c r="V501" t="s">
        <v>120</v>
      </c>
      <c r="W501" t="s">
        <v>120</v>
      </c>
      <c r="X501" t="s">
        <v>120</v>
      </c>
      <c r="Y501" t="s">
        <v>120</v>
      </c>
      <c r="Z501" t="s">
        <v>120</v>
      </c>
      <c r="AA501" t="s">
        <v>120</v>
      </c>
      <c r="AB501" t="s">
        <v>120</v>
      </c>
      <c r="AC501" t="s">
        <v>120</v>
      </c>
      <c r="AD501" t="s">
        <v>120</v>
      </c>
      <c r="AE501" t="s">
        <v>120</v>
      </c>
      <c r="AF501" t="s">
        <v>120</v>
      </c>
      <c r="AG501" t="s">
        <v>120</v>
      </c>
      <c r="AH501" t="s">
        <v>120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31.55</v>
      </c>
      <c r="AP501">
        <v>0</v>
      </c>
      <c r="AQ501">
        <v>0</v>
      </c>
      <c r="AR501">
        <v>70.2</v>
      </c>
      <c r="AS501">
        <v>0</v>
      </c>
    </row>
    <row r="502" spans="1:45" x14ac:dyDescent="0.25">
      <c r="A502" t="s">
        <v>1211</v>
      </c>
      <c r="B502" t="s">
        <v>1212</v>
      </c>
      <c r="C502" t="s">
        <v>147</v>
      </c>
      <c r="D502" t="s">
        <v>1198</v>
      </c>
      <c r="E502" t="s">
        <v>120</v>
      </c>
      <c r="F502" t="s">
        <v>120</v>
      </c>
      <c r="G502" t="s">
        <v>120</v>
      </c>
      <c r="H502" t="s">
        <v>120</v>
      </c>
      <c r="I502" t="s">
        <v>120</v>
      </c>
      <c r="J502" t="s">
        <v>120</v>
      </c>
      <c r="K502" t="s">
        <v>120</v>
      </c>
      <c r="L502" t="s">
        <v>120</v>
      </c>
      <c r="M502" t="s">
        <v>120</v>
      </c>
      <c r="N502" t="s">
        <v>120</v>
      </c>
      <c r="O502" t="s">
        <v>120</v>
      </c>
      <c r="P502" t="s">
        <v>120</v>
      </c>
      <c r="Q502" t="s">
        <v>120</v>
      </c>
      <c r="R502" t="s">
        <v>120</v>
      </c>
      <c r="S502" t="s">
        <v>120</v>
      </c>
      <c r="T502" t="s">
        <v>120</v>
      </c>
      <c r="U502" t="s">
        <v>120</v>
      </c>
      <c r="V502" t="s">
        <v>120</v>
      </c>
      <c r="W502" t="s">
        <v>120</v>
      </c>
      <c r="X502" t="s">
        <v>120</v>
      </c>
      <c r="Y502" t="s">
        <v>120</v>
      </c>
      <c r="Z502" t="s">
        <v>120</v>
      </c>
      <c r="AA502" t="s">
        <v>120</v>
      </c>
      <c r="AB502" t="s">
        <v>120</v>
      </c>
      <c r="AC502" t="s">
        <v>120</v>
      </c>
      <c r="AD502" t="s">
        <v>120</v>
      </c>
      <c r="AE502" t="s">
        <v>135</v>
      </c>
      <c r="AF502" t="s">
        <v>120</v>
      </c>
      <c r="AG502" t="s">
        <v>120</v>
      </c>
      <c r="AH502" t="s">
        <v>120</v>
      </c>
      <c r="AJ502">
        <v>0</v>
      </c>
      <c r="AK502">
        <v>8</v>
      </c>
      <c r="AL502">
        <v>0</v>
      </c>
      <c r="AM502">
        <v>8</v>
      </c>
      <c r="AN502">
        <v>0</v>
      </c>
      <c r="AO502">
        <v>31.55</v>
      </c>
      <c r="AP502">
        <v>8</v>
      </c>
      <c r="AQ502">
        <v>0</v>
      </c>
      <c r="AR502">
        <v>70.2</v>
      </c>
      <c r="AS502">
        <v>504.8</v>
      </c>
    </row>
    <row r="503" spans="1:45" x14ac:dyDescent="0.25">
      <c r="A503" t="s">
        <v>1213</v>
      </c>
      <c r="B503" t="s">
        <v>1214</v>
      </c>
      <c r="C503" t="s">
        <v>147</v>
      </c>
      <c r="D503" t="s">
        <v>1198</v>
      </c>
      <c r="E503" t="s">
        <v>120</v>
      </c>
      <c r="F503" t="s">
        <v>120</v>
      </c>
      <c r="G503" t="s">
        <v>120</v>
      </c>
      <c r="H503" t="s">
        <v>120</v>
      </c>
      <c r="I503" t="s">
        <v>120</v>
      </c>
      <c r="J503" t="s">
        <v>120</v>
      </c>
      <c r="K503" t="s">
        <v>120</v>
      </c>
      <c r="L503" t="s">
        <v>120</v>
      </c>
      <c r="M503" t="s">
        <v>120</v>
      </c>
      <c r="N503" t="s">
        <v>120</v>
      </c>
      <c r="O503" t="s">
        <v>120</v>
      </c>
      <c r="P503" t="s">
        <v>120</v>
      </c>
      <c r="Q503" t="s">
        <v>120</v>
      </c>
      <c r="R503" t="s">
        <v>120</v>
      </c>
      <c r="S503" t="s">
        <v>120</v>
      </c>
      <c r="T503" t="s">
        <v>120</v>
      </c>
      <c r="U503" t="s">
        <v>120</v>
      </c>
      <c r="V503" t="s">
        <v>120</v>
      </c>
      <c r="W503" t="s">
        <v>120</v>
      </c>
      <c r="X503" t="s">
        <v>120</v>
      </c>
      <c r="Y503" t="s">
        <v>120</v>
      </c>
      <c r="Z503" t="s">
        <v>120</v>
      </c>
      <c r="AA503" t="s">
        <v>120</v>
      </c>
      <c r="AB503" t="s">
        <v>120</v>
      </c>
      <c r="AC503" t="s">
        <v>120</v>
      </c>
      <c r="AD503" t="s">
        <v>120</v>
      </c>
      <c r="AE503" t="s">
        <v>120</v>
      </c>
      <c r="AF503" t="s">
        <v>120</v>
      </c>
      <c r="AG503" t="s">
        <v>120</v>
      </c>
      <c r="AH503" t="s">
        <v>120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31.55</v>
      </c>
      <c r="AP503">
        <v>0</v>
      </c>
      <c r="AQ503">
        <v>0</v>
      </c>
      <c r="AR503">
        <v>70.2</v>
      </c>
      <c r="AS503">
        <v>0</v>
      </c>
    </row>
    <row r="504" spans="1:45" x14ac:dyDescent="0.25">
      <c r="A504" t="s">
        <v>1215</v>
      </c>
      <c r="B504" t="s">
        <v>1216</v>
      </c>
      <c r="C504" t="s">
        <v>147</v>
      </c>
      <c r="D504" t="s">
        <v>1198</v>
      </c>
      <c r="E504" t="s">
        <v>120</v>
      </c>
      <c r="F504" t="s">
        <v>120</v>
      </c>
      <c r="G504" t="s">
        <v>120</v>
      </c>
      <c r="H504" t="s">
        <v>120</v>
      </c>
      <c r="I504" t="s">
        <v>120</v>
      </c>
      <c r="J504" t="s">
        <v>120</v>
      </c>
      <c r="K504" t="s">
        <v>120</v>
      </c>
      <c r="L504" t="s">
        <v>120</v>
      </c>
      <c r="M504" t="s">
        <v>120</v>
      </c>
      <c r="N504" t="s">
        <v>120</v>
      </c>
      <c r="O504" t="s">
        <v>120</v>
      </c>
      <c r="P504" t="s">
        <v>120</v>
      </c>
      <c r="Q504" t="s">
        <v>120</v>
      </c>
      <c r="R504" t="s">
        <v>120</v>
      </c>
      <c r="S504" t="s">
        <v>120</v>
      </c>
      <c r="T504" t="s">
        <v>120</v>
      </c>
      <c r="U504" t="s">
        <v>120</v>
      </c>
      <c r="V504" t="s">
        <v>120</v>
      </c>
      <c r="W504" t="s">
        <v>120</v>
      </c>
      <c r="X504" t="s">
        <v>120</v>
      </c>
      <c r="Y504" t="s">
        <v>120</v>
      </c>
      <c r="Z504" t="s">
        <v>120</v>
      </c>
      <c r="AA504" t="s">
        <v>120</v>
      </c>
      <c r="AB504" t="s">
        <v>120</v>
      </c>
      <c r="AC504" t="s">
        <v>120</v>
      </c>
      <c r="AD504" t="s">
        <v>120</v>
      </c>
      <c r="AE504" t="s">
        <v>120</v>
      </c>
      <c r="AF504" t="s">
        <v>120</v>
      </c>
      <c r="AG504" t="s">
        <v>120</v>
      </c>
      <c r="AH504" t="s">
        <v>120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31.55</v>
      </c>
      <c r="AP504">
        <v>0</v>
      </c>
      <c r="AQ504">
        <v>0</v>
      </c>
      <c r="AR504">
        <v>70.2</v>
      </c>
      <c r="AS504">
        <v>0</v>
      </c>
    </row>
    <row r="505" spans="1:45" x14ac:dyDescent="0.25">
      <c r="A505" t="s">
        <v>1217</v>
      </c>
      <c r="B505" t="s">
        <v>1218</v>
      </c>
      <c r="C505" t="s">
        <v>147</v>
      </c>
      <c r="D505" t="s">
        <v>1198</v>
      </c>
      <c r="E505" t="s">
        <v>120</v>
      </c>
      <c r="F505" t="s">
        <v>120</v>
      </c>
      <c r="G505" t="s">
        <v>120</v>
      </c>
      <c r="H505" t="s">
        <v>120</v>
      </c>
      <c r="I505" t="s">
        <v>120</v>
      </c>
      <c r="J505" t="s">
        <v>120</v>
      </c>
      <c r="K505" t="s">
        <v>120</v>
      </c>
      <c r="L505" t="s">
        <v>120</v>
      </c>
      <c r="M505" t="s">
        <v>120</v>
      </c>
      <c r="N505" t="s">
        <v>120</v>
      </c>
      <c r="O505" t="s">
        <v>120</v>
      </c>
      <c r="P505" t="s">
        <v>120</v>
      </c>
      <c r="Q505" t="s">
        <v>120</v>
      </c>
      <c r="R505" t="s">
        <v>120</v>
      </c>
      <c r="S505" t="s">
        <v>120</v>
      </c>
      <c r="T505" t="s">
        <v>120</v>
      </c>
      <c r="U505" t="s">
        <v>120</v>
      </c>
      <c r="V505" t="s">
        <v>120</v>
      </c>
      <c r="W505" t="s">
        <v>120</v>
      </c>
      <c r="X505" t="s">
        <v>120</v>
      </c>
      <c r="Y505" t="s">
        <v>120</v>
      </c>
      <c r="Z505" t="s">
        <v>120</v>
      </c>
      <c r="AA505" t="s">
        <v>120</v>
      </c>
      <c r="AB505" t="s">
        <v>120</v>
      </c>
      <c r="AC505" t="s">
        <v>120</v>
      </c>
      <c r="AD505" t="s">
        <v>120</v>
      </c>
      <c r="AE505" t="s">
        <v>120</v>
      </c>
      <c r="AF505" t="s">
        <v>120</v>
      </c>
      <c r="AG505" t="s">
        <v>120</v>
      </c>
      <c r="AH505" t="s">
        <v>120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31.55</v>
      </c>
      <c r="AP505">
        <v>0</v>
      </c>
      <c r="AQ505">
        <v>0</v>
      </c>
      <c r="AR505">
        <v>70.2</v>
      </c>
      <c r="AS505">
        <v>0</v>
      </c>
    </row>
    <row r="506" spans="1:45" x14ac:dyDescent="0.25">
      <c r="A506" t="s">
        <v>1219</v>
      </c>
      <c r="B506" t="s">
        <v>1220</v>
      </c>
      <c r="C506" t="s">
        <v>147</v>
      </c>
      <c r="D506" t="s">
        <v>1198</v>
      </c>
      <c r="E506" t="s">
        <v>120</v>
      </c>
      <c r="F506" t="s">
        <v>120</v>
      </c>
      <c r="G506" t="s">
        <v>120</v>
      </c>
      <c r="H506" t="s">
        <v>120</v>
      </c>
      <c r="I506" t="s">
        <v>120</v>
      </c>
      <c r="J506" t="s">
        <v>120</v>
      </c>
      <c r="K506" t="s">
        <v>120</v>
      </c>
      <c r="L506" t="s">
        <v>120</v>
      </c>
      <c r="M506" t="s">
        <v>120</v>
      </c>
      <c r="N506" t="s">
        <v>120</v>
      </c>
      <c r="O506" t="s">
        <v>120</v>
      </c>
      <c r="P506" t="s">
        <v>120</v>
      </c>
      <c r="Q506" t="s">
        <v>120</v>
      </c>
      <c r="R506" t="s">
        <v>120</v>
      </c>
      <c r="S506" t="s">
        <v>120</v>
      </c>
      <c r="T506" t="s">
        <v>120</v>
      </c>
      <c r="U506" t="s">
        <v>120</v>
      </c>
      <c r="V506" t="s">
        <v>120</v>
      </c>
      <c r="W506" t="s">
        <v>120</v>
      </c>
      <c r="X506" t="s">
        <v>120</v>
      </c>
      <c r="Y506" t="s">
        <v>120</v>
      </c>
      <c r="Z506" t="s">
        <v>120</v>
      </c>
      <c r="AA506" t="s">
        <v>120</v>
      </c>
      <c r="AB506" t="s">
        <v>120</v>
      </c>
      <c r="AC506" t="s">
        <v>120</v>
      </c>
      <c r="AD506" t="s">
        <v>120</v>
      </c>
      <c r="AE506" t="s">
        <v>120</v>
      </c>
      <c r="AF506" t="s">
        <v>120</v>
      </c>
      <c r="AG506" t="s">
        <v>120</v>
      </c>
      <c r="AH506" t="s">
        <v>120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31.55</v>
      </c>
      <c r="AP506">
        <v>0</v>
      </c>
      <c r="AQ506">
        <v>0</v>
      </c>
      <c r="AR506">
        <v>70.2</v>
      </c>
      <c r="AS506">
        <v>0</v>
      </c>
    </row>
    <row r="507" spans="1:45" x14ac:dyDescent="0.25">
      <c r="A507" t="s">
        <v>1221</v>
      </c>
      <c r="B507" t="s">
        <v>1222</v>
      </c>
      <c r="C507" t="s">
        <v>147</v>
      </c>
      <c r="D507" t="s">
        <v>1198</v>
      </c>
      <c r="E507" t="s">
        <v>120</v>
      </c>
      <c r="F507" t="s">
        <v>120</v>
      </c>
      <c r="G507" t="s">
        <v>120</v>
      </c>
      <c r="H507" t="s">
        <v>120</v>
      </c>
      <c r="I507" t="s">
        <v>120</v>
      </c>
      <c r="J507" t="s">
        <v>120</v>
      </c>
      <c r="K507" t="s">
        <v>120</v>
      </c>
      <c r="L507" t="s">
        <v>120</v>
      </c>
      <c r="M507" t="s">
        <v>120</v>
      </c>
      <c r="N507" t="s">
        <v>120</v>
      </c>
      <c r="O507" t="s">
        <v>120</v>
      </c>
      <c r="P507" t="s">
        <v>120</v>
      </c>
      <c r="Q507" t="s">
        <v>120</v>
      </c>
      <c r="R507" t="s">
        <v>120</v>
      </c>
      <c r="S507" t="s">
        <v>120</v>
      </c>
      <c r="T507" t="s">
        <v>120</v>
      </c>
      <c r="U507" t="s">
        <v>120</v>
      </c>
      <c r="V507" t="s">
        <v>120</v>
      </c>
      <c r="W507" t="s">
        <v>120</v>
      </c>
      <c r="X507" t="s">
        <v>120</v>
      </c>
      <c r="Y507" t="s">
        <v>120</v>
      </c>
      <c r="Z507" t="s">
        <v>120</v>
      </c>
      <c r="AA507" t="s">
        <v>120</v>
      </c>
      <c r="AB507" t="s">
        <v>120</v>
      </c>
      <c r="AC507" t="s">
        <v>120</v>
      </c>
      <c r="AD507" t="s">
        <v>120</v>
      </c>
      <c r="AE507" t="s">
        <v>135</v>
      </c>
      <c r="AF507" t="s">
        <v>120</v>
      </c>
      <c r="AG507" t="s">
        <v>120</v>
      </c>
      <c r="AH507" t="s">
        <v>120</v>
      </c>
      <c r="AJ507">
        <v>0</v>
      </c>
      <c r="AK507">
        <v>8</v>
      </c>
      <c r="AL507">
        <v>0</v>
      </c>
      <c r="AM507">
        <v>8</v>
      </c>
      <c r="AN507">
        <v>0</v>
      </c>
      <c r="AO507">
        <v>31.55</v>
      </c>
      <c r="AP507">
        <v>8</v>
      </c>
      <c r="AQ507">
        <v>0</v>
      </c>
      <c r="AR507">
        <v>70.2</v>
      </c>
      <c r="AS507">
        <v>504.8</v>
      </c>
    </row>
    <row r="508" spans="1:45" x14ac:dyDescent="0.25">
      <c r="A508" t="s">
        <v>1223</v>
      </c>
      <c r="B508" t="s">
        <v>1224</v>
      </c>
      <c r="C508" t="s">
        <v>147</v>
      </c>
      <c r="D508" t="s">
        <v>1198</v>
      </c>
      <c r="E508" t="s">
        <v>120</v>
      </c>
      <c r="F508" t="s">
        <v>120</v>
      </c>
      <c r="G508" t="s">
        <v>120</v>
      </c>
      <c r="H508" t="s">
        <v>120</v>
      </c>
      <c r="I508" t="s">
        <v>120</v>
      </c>
      <c r="J508" t="s">
        <v>120</v>
      </c>
      <c r="K508" t="s">
        <v>120</v>
      </c>
      <c r="L508" t="s">
        <v>120</v>
      </c>
      <c r="M508" t="s">
        <v>120</v>
      </c>
      <c r="N508" t="s">
        <v>120</v>
      </c>
      <c r="O508" t="s">
        <v>120</v>
      </c>
      <c r="P508" t="s">
        <v>120</v>
      </c>
      <c r="Q508" t="s">
        <v>120</v>
      </c>
      <c r="R508" t="s">
        <v>120</v>
      </c>
      <c r="S508" t="s">
        <v>120</v>
      </c>
      <c r="T508" t="s">
        <v>120</v>
      </c>
      <c r="U508" t="s">
        <v>120</v>
      </c>
      <c r="V508" t="s">
        <v>120</v>
      </c>
      <c r="W508" t="s">
        <v>120</v>
      </c>
      <c r="X508" t="s">
        <v>120</v>
      </c>
      <c r="Y508" t="s">
        <v>120</v>
      </c>
      <c r="Z508" t="s">
        <v>120</v>
      </c>
      <c r="AA508" t="s">
        <v>120</v>
      </c>
      <c r="AB508" t="s">
        <v>120</v>
      </c>
      <c r="AC508" t="s">
        <v>120</v>
      </c>
      <c r="AD508" t="s">
        <v>120</v>
      </c>
      <c r="AE508" t="s">
        <v>120</v>
      </c>
      <c r="AF508" t="s">
        <v>120</v>
      </c>
      <c r="AG508" t="s">
        <v>120</v>
      </c>
      <c r="AH508" t="s">
        <v>120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31.55</v>
      </c>
      <c r="AP508">
        <v>0</v>
      </c>
      <c r="AQ508">
        <v>0</v>
      </c>
      <c r="AR508">
        <v>70.2</v>
      </c>
      <c r="AS508">
        <v>0</v>
      </c>
    </row>
    <row r="509" spans="1:45" x14ac:dyDescent="0.25">
      <c r="A509" t="s">
        <v>1225</v>
      </c>
      <c r="B509" t="s">
        <v>1226</v>
      </c>
      <c r="C509" t="s">
        <v>147</v>
      </c>
      <c r="D509" t="s">
        <v>1198</v>
      </c>
      <c r="E509" t="s">
        <v>120</v>
      </c>
      <c r="F509" t="s">
        <v>120</v>
      </c>
      <c r="G509" t="s">
        <v>120</v>
      </c>
      <c r="H509" t="s">
        <v>120</v>
      </c>
      <c r="I509" t="s">
        <v>120</v>
      </c>
      <c r="J509" t="s">
        <v>120</v>
      </c>
      <c r="K509" t="s">
        <v>120</v>
      </c>
      <c r="L509" t="s">
        <v>120</v>
      </c>
      <c r="M509" t="s">
        <v>120</v>
      </c>
      <c r="N509" t="s">
        <v>120</v>
      </c>
      <c r="O509" t="s">
        <v>120</v>
      </c>
      <c r="P509" t="s">
        <v>120</v>
      </c>
      <c r="Q509" t="s">
        <v>120</v>
      </c>
      <c r="R509" t="s">
        <v>120</v>
      </c>
      <c r="S509" t="s">
        <v>120</v>
      </c>
      <c r="T509" t="s">
        <v>120</v>
      </c>
      <c r="U509" t="s">
        <v>120</v>
      </c>
      <c r="V509" t="s">
        <v>120</v>
      </c>
      <c r="W509" t="s">
        <v>120</v>
      </c>
      <c r="X509" t="s">
        <v>120</v>
      </c>
      <c r="Y509" t="s">
        <v>120</v>
      </c>
      <c r="Z509" t="s">
        <v>120</v>
      </c>
      <c r="AA509" t="s">
        <v>120</v>
      </c>
      <c r="AB509" t="s">
        <v>120</v>
      </c>
      <c r="AC509" t="s">
        <v>120</v>
      </c>
      <c r="AD509" t="s">
        <v>120</v>
      </c>
      <c r="AE509" t="s">
        <v>120</v>
      </c>
      <c r="AF509" t="s">
        <v>120</v>
      </c>
      <c r="AG509" t="s">
        <v>120</v>
      </c>
      <c r="AH509" t="s">
        <v>120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31.55</v>
      </c>
      <c r="AP509">
        <v>0</v>
      </c>
      <c r="AQ509">
        <v>0</v>
      </c>
      <c r="AR509">
        <v>70.2</v>
      </c>
      <c r="AS509">
        <v>0</v>
      </c>
    </row>
    <row r="510" spans="1:45" x14ac:dyDescent="0.25">
      <c r="A510" t="s">
        <v>1227</v>
      </c>
      <c r="B510" t="s">
        <v>1228</v>
      </c>
      <c r="C510" t="s">
        <v>147</v>
      </c>
      <c r="D510" t="s">
        <v>1198</v>
      </c>
      <c r="E510" t="s">
        <v>120</v>
      </c>
      <c r="F510" t="s">
        <v>120</v>
      </c>
      <c r="G510" t="s">
        <v>120</v>
      </c>
      <c r="H510" t="s">
        <v>120</v>
      </c>
      <c r="I510" t="s">
        <v>120</v>
      </c>
      <c r="J510" t="s">
        <v>120</v>
      </c>
      <c r="K510" t="s">
        <v>120</v>
      </c>
      <c r="L510" t="s">
        <v>120</v>
      </c>
      <c r="M510" t="s">
        <v>120</v>
      </c>
      <c r="N510" t="s">
        <v>120</v>
      </c>
      <c r="O510" t="s">
        <v>120</v>
      </c>
      <c r="P510" t="s">
        <v>120</v>
      </c>
      <c r="Q510" t="s">
        <v>120</v>
      </c>
      <c r="R510" t="s">
        <v>120</v>
      </c>
      <c r="S510" t="s">
        <v>120</v>
      </c>
      <c r="T510" t="s">
        <v>120</v>
      </c>
      <c r="U510" t="s">
        <v>120</v>
      </c>
      <c r="V510" t="s">
        <v>120</v>
      </c>
      <c r="W510" t="s">
        <v>120</v>
      </c>
      <c r="X510" t="s">
        <v>120</v>
      </c>
      <c r="Y510" t="s">
        <v>120</v>
      </c>
      <c r="Z510" t="s">
        <v>120</v>
      </c>
      <c r="AA510" t="s">
        <v>120</v>
      </c>
      <c r="AB510" t="s">
        <v>120</v>
      </c>
      <c r="AC510" t="s">
        <v>120</v>
      </c>
      <c r="AD510" t="s">
        <v>120</v>
      </c>
      <c r="AE510" t="s">
        <v>120</v>
      </c>
      <c r="AF510" t="s">
        <v>120</v>
      </c>
      <c r="AG510" t="s">
        <v>120</v>
      </c>
      <c r="AH510" t="s">
        <v>120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31.55</v>
      </c>
      <c r="AP510">
        <v>0</v>
      </c>
      <c r="AQ510">
        <v>0</v>
      </c>
      <c r="AR510">
        <v>70.2</v>
      </c>
      <c r="AS510">
        <v>0</v>
      </c>
    </row>
    <row r="511" spans="1:45" x14ac:dyDescent="0.25">
      <c r="A511" t="s">
        <v>1229</v>
      </c>
      <c r="B511" t="s">
        <v>1230</v>
      </c>
      <c r="C511" t="s">
        <v>147</v>
      </c>
      <c r="D511" t="s">
        <v>1198</v>
      </c>
      <c r="E511" t="s">
        <v>120</v>
      </c>
      <c r="F511" t="s">
        <v>120</v>
      </c>
      <c r="G511" t="s">
        <v>120</v>
      </c>
      <c r="H511" t="s">
        <v>120</v>
      </c>
      <c r="I511" t="s">
        <v>120</v>
      </c>
      <c r="J511" t="s">
        <v>120</v>
      </c>
      <c r="K511" t="s">
        <v>120</v>
      </c>
      <c r="L511" t="s">
        <v>141</v>
      </c>
      <c r="M511" t="s">
        <v>120</v>
      </c>
      <c r="N511" t="s">
        <v>120</v>
      </c>
      <c r="O511" t="s">
        <v>120</v>
      </c>
      <c r="P511" t="s">
        <v>120</v>
      </c>
      <c r="Q511" t="s">
        <v>120</v>
      </c>
      <c r="R511" t="s">
        <v>120</v>
      </c>
      <c r="S511" t="s">
        <v>120</v>
      </c>
      <c r="T511" t="s">
        <v>120</v>
      </c>
      <c r="U511" t="s">
        <v>120</v>
      </c>
      <c r="V511" t="s">
        <v>120</v>
      </c>
      <c r="W511" t="s">
        <v>120</v>
      </c>
      <c r="X511" t="s">
        <v>120</v>
      </c>
      <c r="Y511" t="s">
        <v>120</v>
      </c>
      <c r="Z511" t="s">
        <v>120</v>
      </c>
      <c r="AA511" t="s">
        <v>120</v>
      </c>
      <c r="AB511" t="s">
        <v>120</v>
      </c>
      <c r="AC511" t="s">
        <v>120</v>
      </c>
      <c r="AD511" t="s">
        <v>120</v>
      </c>
      <c r="AE511" t="s">
        <v>135</v>
      </c>
      <c r="AF511" t="s">
        <v>120</v>
      </c>
      <c r="AG511" t="s">
        <v>120</v>
      </c>
      <c r="AH511" t="s">
        <v>120</v>
      </c>
      <c r="AJ511">
        <v>0</v>
      </c>
      <c r="AK511">
        <v>16</v>
      </c>
      <c r="AL511">
        <v>8</v>
      </c>
      <c r="AM511">
        <v>8</v>
      </c>
      <c r="AN511">
        <v>0</v>
      </c>
      <c r="AO511">
        <v>31.55</v>
      </c>
      <c r="AP511">
        <v>16</v>
      </c>
      <c r="AQ511">
        <v>0</v>
      </c>
      <c r="AR511">
        <v>70.2</v>
      </c>
      <c r="AS511">
        <v>1009.6</v>
      </c>
    </row>
    <row r="512" spans="1:45" x14ac:dyDescent="0.25">
      <c r="A512" t="s">
        <v>1231</v>
      </c>
      <c r="B512" t="s">
        <v>1232</v>
      </c>
      <c r="C512" t="s">
        <v>147</v>
      </c>
      <c r="D512" t="s">
        <v>1198</v>
      </c>
      <c r="E512" t="s">
        <v>120</v>
      </c>
      <c r="F512" t="s">
        <v>120</v>
      </c>
      <c r="G512" t="s">
        <v>120</v>
      </c>
      <c r="H512" t="s">
        <v>120</v>
      </c>
      <c r="I512" t="s">
        <v>120</v>
      </c>
      <c r="J512" t="s">
        <v>120</v>
      </c>
      <c r="K512" t="s">
        <v>120</v>
      </c>
      <c r="L512" t="s">
        <v>120</v>
      </c>
      <c r="M512" t="s">
        <v>120</v>
      </c>
      <c r="N512" t="s">
        <v>120</v>
      </c>
      <c r="O512" t="s">
        <v>120</v>
      </c>
      <c r="P512" t="s">
        <v>120</v>
      </c>
      <c r="Q512" t="s">
        <v>120</v>
      </c>
      <c r="R512" t="s">
        <v>120</v>
      </c>
      <c r="S512" t="s">
        <v>120</v>
      </c>
      <c r="T512" t="s">
        <v>120</v>
      </c>
      <c r="U512" t="s">
        <v>120</v>
      </c>
      <c r="V512" t="s">
        <v>120</v>
      </c>
      <c r="W512" t="s">
        <v>120</v>
      </c>
      <c r="X512" t="s">
        <v>120</v>
      </c>
      <c r="Y512" t="s">
        <v>120</v>
      </c>
      <c r="Z512" t="s">
        <v>120</v>
      </c>
      <c r="AA512" t="s">
        <v>120</v>
      </c>
      <c r="AB512" t="s">
        <v>120</v>
      </c>
      <c r="AC512" t="s">
        <v>120</v>
      </c>
      <c r="AD512" t="s">
        <v>120</v>
      </c>
      <c r="AE512" t="s">
        <v>120</v>
      </c>
      <c r="AF512" t="s">
        <v>120</v>
      </c>
      <c r="AG512" t="s">
        <v>120</v>
      </c>
      <c r="AH512" t="s">
        <v>120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31.55</v>
      </c>
      <c r="AP512">
        <v>0</v>
      </c>
      <c r="AQ512">
        <v>0</v>
      </c>
      <c r="AR512">
        <v>70.2</v>
      </c>
      <c r="AS512">
        <v>0</v>
      </c>
    </row>
    <row r="513" spans="1:45" x14ac:dyDescent="0.25">
      <c r="A513" t="s">
        <v>1233</v>
      </c>
      <c r="B513" t="s">
        <v>1234</v>
      </c>
      <c r="C513" t="s">
        <v>147</v>
      </c>
      <c r="D513" t="s">
        <v>1198</v>
      </c>
      <c r="E513" t="s">
        <v>120</v>
      </c>
      <c r="F513" t="s">
        <v>120</v>
      </c>
      <c r="G513" t="s">
        <v>120</v>
      </c>
      <c r="H513" t="s">
        <v>120</v>
      </c>
      <c r="I513" t="s">
        <v>120</v>
      </c>
      <c r="J513" t="s">
        <v>120</v>
      </c>
      <c r="K513" t="s">
        <v>120</v>
      </c>
      <c r="L513" t="s">
        <v>120</v>
      </c>
      <c r="M513" t="s">
        <v>120</v>
      </c>
      <c r="N513" t="s">
        <v>120</v>
      </c>
      <c r="O513" t="s">
        <v>120</v>
      </c>
      <c r="P513" t="s">
        <v>120</v>
      </c>
      <c r="Q513" t="s">
        <v>120</v>
      </c>
      <c r="R513" t="s">
        <v>120</v>
      </c>
      <c r="S513" t="s">
        <v>120</v>
      </c>
      <c r="T513" t="s">
        <v>120</v>
      </c>
      <c r="U513" t="s">
        <v>120</v>
      </c>
      <c r="V513" t="s">
        <v>120</v>
      </c>
      <c r="W513" t="s">
        <v>120</v>
      </c>
      <c r="X513" t="s">
        <v>120</v>
      </c>
      <c r="Y513" t="s">
        <v>120</v>
      </c>
      <c r="Z513" t="s">
        <v>120</v>
      </c>
      <c r="AA513" t="s">
        <v>120</v>
      </c>
      <c r="AB513" t="s">
        <v>120</v>
      </c>
      <c r="AC513" t="s">
        <v>120</v>
      </c>
      <c r="AD513" t="s">
        <v>135</v>
      </c>
      <c r="AE513" t="s">
        <v>135</v>
      </c>
      <c r="AF513" t="s">
        <v>120</v>
      </c>
      <c r="AG513" t="s">
        <v>120</v>
      </c>
      <c r="AH513" t="s">
        <v>120</v>
      </c>
      <c r="AJ513">
        <v>0</v>
      </c>
      <c r="AK513">
        <v>16</v>
      </c>
      <c r="AL513">
        <v>0</v>
      </c>
      <c r="AM513">
        <v>16</v>
      </c>
      <c r="AN513">
        <v>0</v>
      </c>
      <c r="AO513">
        <v>31.55</v>
      </c>
      <c r="AP513">
        <v>16</v>
      </c>
      <c r="AQ513">
        <v>0</v>
      </c>
      <c r="AR513">
        <v>70.2</v>
      </c>
      <c r="AS513">
        <v>1009.6</v>
      </c>
    </row>
    <row r="514" spans="1:45" x14ac:dyDescent="0.25">
      <c r="A514" t="s">
        <v>1235</v>
      </c>
      <c r="B514" t="s">
        <v>1236</v>
      </c>
      <c r="C514" t="s">
        <v>147</v>
      </c>
      <c r="D514" t="s">
        <v>1198</v>
      </c>
      <c r="E514" t="s">
        <v>120</v>
      </c>
      <c r="F514" t="s">
        <v>120</v>
      </c>
      <c r="G514" t="s">
        <v>120</v>
      </c>
      <c r="H514" t="s">
        <v>120</v>
      </c>
      <c r="I514" t="s">
        <v>120</v>
      </c>
      <c r="J514" t="s">
        <v>120</v>
      </c>
      <c r="K514" t="s">
        <v>120</v>
      </c>
      <c r="L514" t="s">
        <v>120</v>
      </c>
      <c r="M514" t="s">
        <v>120</v>
      </c>
      <c r="N514" t="s">
        <v>120</v>
      </c>
      <c r="O514" t="s">
        <v>120</v>
      </c>
      <c r="P514" t="s">
        <v>120</v>
      </c>
      <c r="Q514" t="s">
        <v>120</v>
      </c>
      <c r="R514" t="s">
        <v>120</v>
      </c>
      <c r="S514" t="s">
        <v>120</v>
      </c>
      <c r="T514" t="s">
        <v>120</v>
      </c>
      <c r="U514" t="s">
        <v>120</v>
      </c>
      <c r="V514" t="s">
        <v>120</v>
      </c>
      <c r="W514" t="s">
        <v>120</v>
      </c>
      <c r="X514" t="s">
        <v>120</v>
      </c>
      <c r="Y514" t="s">
        <v>120</v>
      </c>
      <c r="Z514" t="s">
        <v>120</v>
      </c>
      <c r="AA514" t="s">
        <v>120</v>
      </c>
      <c r="AB514" t="s">
        <v>120</v>
      </c>
      <c r="AC514" t="s">
        <v>120</v>
      </c>
      <c r="AD514" t="s">
        <v>120</v>
      </c>
      <c r="AE514" t="s">
        <v>120</v>
      </c>
      <c r="AF514" t="s">
        <v>120</v>
      </c>
      <c r="AG514" t="s">
        <v>120</v>
      </c>
      <c r="AH514" t="s">
        <v>120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31.55</v>
      </c>
      <c r="AP514">
        <v>0</v>
      </c>
      <c r="AQ514">
        <v>0</v>
      </c>
      <c r="AR514">
        <v>70.2</v>
      </c>
      <c r="AS514">
        <v>0</v>
      </c>
    </row>
    <row r="515" spans="1:45" x14ac:dyDescent="0.25">
      <c r="A515" t="s">
        <v>1237</v>
      </c>
      <c r="B515" t="s">
        <v>1238</v>
      </c>
      <c r="C515" t="s">
        <v>147</v>
      </c>
      <c r="D515" t="s">
        <v>1198</v>
      </c>
      <c r="E515" t="s">
        <v>120</v>
      </c>
      <c r="F515" t="s">
        <v>120</v>
      </c>
      <c r="G515" t="s">
        <v>120</v>
      </c>
      <c r="H515" t="s">
        <v>120</v>
      </c>
      <c r="I515" t="s">
        <v>120</v>
      </c>
      <c r="J515" t="s">
        <v>120</v>
      </c>
      <c r="K515" t="s">
        <v>120</v>
      </c>
      <c r="L515" t="s">
        <v>120</v>
      </c>
      <c r="M515" t="s">
        <v>120</v>
      </c>
      <c r="N515" t="s">
        <v>120</v>
      </c>
      <c r="O515" t="s">
        <v>120</v>
      </c>
      <c r="P515" t="s">
        <v>120</v>
      </c>
      <c r="Q515" t="s">
        <v>120</v>
      </c>
      <c r="R515" t="s">
        <v>120</v>
      </c>
      <c r="S515" t="s">
        <v>120</v>
      </c>
      <c r="T515" t="s">
        <v>120</v>
      </c>
      <c r="U515" t="s">
        <v>120</v>
      </c>
      <c r="V515" t="s">
        <v>120</v>
      </c>
      <c r="W515" t="s">
        <v>120</v>
      </c>
      <c r="X515" t="s">
        <v>120</v>
      </c>
      <c r="Y515" t="s">
        <v>120</v>
      </c>
      <c r="Z515" t="s">
        <v>120</v>
      </c>
      <c r="AA515" t="s">
        <v>120</v>
      </c>
      <c r="AB515" t="s">
        <v>120</v>
      </c>
      <c r="AC515" t="s">
        <v>120</v>
      </c>
      <c r="AD515" t="s">
        <v>120</v>
      </c>
      <c r="AE515" t="s">
        <v>120</v>
      </c>
      <c r="AF515" t="s">
        <v>120</v>
      </c>
      <c r="AG515" t="s">
        <v>120</v>
      </c>
      <c r="AH515" t="s">
        <v>120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28.25</v>
      </c>
      <c r="AP515">
        <v>0</v>
      </c>
      <c r="AQ515">
        <v>0</v>
      </c>
      <c r="AR515">
        <v>70.2</v>
      </c>
      <c r="AS515">
        <v>0</v>
      </c>
    </row>
    <row r="516" spans="1:45" x14ac:dyDescent="0.25">
      <c r="A516" t="s">
        <v>1239</v>
      </c>
      <c r="B516" t="s">
        <v>1240</v>
      </c>
      <c r="C516" t="s">
        <v>147</v>
      </c>
      <c r="D516" t="s">
        <v>1198</v>
      </c>
      <c r="E516" t="s">
        <v>120</v>
      </c>
      <c r="F516" t="s">
        <v>120</v>
      </c>
      <c r="G516" t="s">
        <v>120</v>
      </c>
      <c r="H516" t="s">
        <v>120</v>
      </c>
      <c r="I516" t="s">
        <v>120</v>
      </c>
      <c r="J516" t="s">
        <v>120</v>
      </c>
      <c r="K516" t="s">
        <v>120</v>
      </c>
      <c r="L516" t="s">
        <v>120</v>
      </c>
      <c r="M516" t="s">
        <v>120</v>
      </c>
      <c r="N516" t="s">
        <v>120</v>
      </c>
      <c r="O516" t="s">
        <v>120</v>
      </c>
      <c r="P516" t="s">
        <v>120</v>
      </c>
      <c r="Q516" t="s">
        <v>120</v>
      </c>
      <c r="R516" t="s">
        <v>120</v>
      </c>
      <c r="S516" t="s">
        <v>120</v>
      </c>
      <c r="T516" t="s">
        <v>120</v>
      </c>
      <c r="U516" t="s">
        <v>120</v>
      </c>
      <c r="V516" t="s">
        <v>120</v>
      </c>
      <c r="W516" t="s">
        <v>120</v>
      </c>
      <c r="X516" t="s">
        <v>120</v>
      </c>
      <c r="Y516" t="s">
        <v>120</v>
      </c>
      <c r="Z516" t="s">
        <v>120</v>
      </c>
      <c r="AA516" t="s">
        <v>120</v>
      </c>
      <c r="AB516" t="s">
        <v>120</v>
      </c>
      <c r="AC516" t="s">
        <v>120</v>
      </c>
      <c r="AD516" t="s">
        <v>120</v>
      </c>
      <c r="AE516" t="s">
        <v>120</v>
      </c>
      <c r="AF516" t="s">
        <v>120</v>
      </c>
      <c r="AG516" t="s">
        <v>120</v>
      </c>
      <c r="AH516" t="s">
        <v>120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31.55</v>
      </c>
      <c r="AP516">
        <v>0</v>
      </c>
      <c r="AQ516">
        <v>0</v>
      </c>
      <c r="AR516">
        <v>70.2</v>
      </c>
      <c r="AS516">
        <v>0</v>
      </c>
    </row>
    <row r="517" spans="1:45" x14ac:dyDescent="0.25">
      <c r="A517" t="s">
        <v>1241</v>
      </c>
      <c r="B517" t="s">
        <v>1242</v>
      </c>
      <c r="C517" t="s">
        <v>147</v>
      </c>
      <c r="D517" t="s">
        <v>1198</v>
      </c>
      <c r="E517" t="s">
        <v>120</v>
      </c>
      <c r="F517" t="s">
        <v>120</v>
      </c>
      <c r="G517" t="s">
        <v>120</v>
      </c>
      <c r="H517" t="s">
        <v>120</v>
      </c>
      <c r="I517" t="s">
        <v>120</v>
      </c>
      <c r="J517" t="s">
        <v>120</v>
      </c>
      <c r="K517" t="s">
        <v>120</v>
      </c>
      <c r="L517" t="s">
        <v>120</v>
      </c>
      <c r="M517" t="s">
        <v>120</v>
      </c>
      <c r="N517" t="s">
        <v>120</v>
      </c>
      <c r="O517" t="s">
        <v>120</v>
      </c>
      <c r="P517" t="s">
        <v>120</v>
      </c>
      <c r="Q517" t="s">
        <v>120</v>
      </c>
      <c r="R517" t="s">
        <v>120</v>
      </c>
      <c r="S517" t="s">
        <v>120</v>
      </c>
      <c r="T517" t="s">
        <v>120</v>
      </c>
      <c r="U517" t="s">
        <v>120</v>
      </c>
      <c r="V517" t="s">
        <v>120</v>
      </c>
      <c r="W517" t="s">
        <v>120</v>
      </c>
      <c r="X517" t="s">
        <v>120</v>
      </c>
      <c r="Y517" t="s">
        <v>120</v>
      </c>
      <c r="Z517" t="s">
        <v>120</v>
      </c>
      <c r="AA517" t="s">
        <v>120</v>
      </c>
      <c r="AB517" t="s">
        <v>120</v>
      </c>
      <c r="AC517" t="s">
        <v>120</v>
      </c>
      <c r="AD517" t="s">
        <v>120</v>
      </c>
      <c r="AE517" t="s">
        <v>120</v>
      </c>
      <c r="AF517" t="s">
        <v>120</v>
      </c>
      <c r="AG517" t="s">
        <v>120</v>
      </c>
      <c r="AH517" t="s">
        <v>120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31.55</v>
      </c>
      <c r="AP517">
        <v>0</v>
      </c>
      <c r="AQ517">
        <v>0</v>
      </c>
      <c r="AR517">
        <v>70.2</v>
      </c>
      <c r="AS517">
        <v>0</v>
      </c>
    </row>
    <row r="518" spans="1:45" x14ac:dyDescent="0.25">
      <c r="A518" t="s">
        <v>1243</v>
      </c>
      <c r="B518" t="s">
        <v>1244</v>
      </c>
      <c r="C518" t="s">
        <v>147</v>
      </c>
      <c r="D518" t="s">
        <v>1198</v>
      </c>
      <c r="E518" t="s">
        <v>120</v>
      </c>
      <c r="F518" t="s">
        <v>120</v>
      </c>
      <c r="G518" t="s">
        <v>120</v>
      </c>
      <c r="H518" t="s">
        <v>120</v>
      </c>
      <c r="I518" t="s">
        <v>120</v>
      </c>
      <c r="J518" t="s">
        <v>120</v>
      </c>
      <c r="K518" t="s">
        <v>120</v>
      </c>
      <c r="L518" t="s">
        <v>120</v>
      </c>
      <c r="M518" t="s">
        <v>120</v>
      </c>
      <c r="N518" t="s">
        <v>120</v>
      </c>
      <c r="O518" t="s">
        <v>120</v>
      </c>
      <c r="P518" t="s">
        <v>120</v>
      </c>
      <c r="Q518" t="s">
        <v>120</v>
      </c>
      <c r="R518" t="s">
        <v>120</v>
      </c>
      <c r="S518" t="s">
        <v>120</v>
      </c>
      <c r="T518" t="s">
        <v>120</v>
      </c>
      <c r="U518" t="s">
        <v>120</v>
      </c>
      <c r="V518" t="s">
        <v>120</v>
      </c>
      <c r="W518" t="s">
        <v>120</v>
      </c>
      <c r="X518" t="s">
        <v>120</v>
      </c>
      <c r="Y518" t="s">
        <v>120</v>
      </c>
      <c r="Z518" t="s">
        <v>120</v>
      </c>
      <c r="AA518" t="s">
        <v>120</v>
      </c>
      <c r="AB518" t="s">
        <v>120</v>
      </c>
      <c r="AC518" t="s">
        <v>120</v>
      </c>
      <c r="AD518" t="s">
        <v>120</v>
      </c>
      <c r="AE518" t="s">
        <v>120</v>
      </c>
      <c r="AF518" t="s">
        <v>120</v>
      </c>
      <c r="AG518" t="s">
        <v>120</v>
      </c>
      <c r="AH518" t="s">
        <v>120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31.55</v>
      </c>
      <c r="AP518">
        <v>0</v>
      </c>
      <c r="AQ518">
        <v>0</v>
      </c>
      <c r="AR518">
        <v>70.2</v>
      </c>
      <c r="AS518">
        <v>0</v>
      </c>
    </row>
    <row r="519" spans="1:45" x14ac:dyDescent="0.25">
      <c r="A519" t="s">
        <v>1245</v>
      </c>
      <c r="B519" t="s">
        <v>1246</v>
      </c>
      <c r="C519" t="s">
        <v>127</v>
      </c>
      <c r="D519" t="s">
        <v>1198</v>
      </c>
      <c r="E519" t="s">
        <v>120</v>
      </c>
      <c r="F519" t="s">
        <v>120</v>
      </c>
      <c r="G519" t="s">
        <v>120</v>
      </c>
      <c r="H519" t="s">
        <v>120</v>
      </c>
      <c r="I519" t="s">
        <v>120</v>
      </c>
      <c r="J519" t="s">
        <v>120</v>
      </c>
      <c r="K519" t="s">
        <v>120</v>
      </c>
      <c r="L519" t="s">
        <v>120</v>
      </c>
      <c r="M519" t="s">
        <v>120</v>
      </c>
      <c r="N519" t="s">
        <v>120</v>
      </c>
      <c r="O519" t="s">
        <v>120</v>
      </c>
      <c r="P519" t="s">
        <v>120</v>
      </c>
      <c r="Q519" t="s">
        <v>120</v>
      </c>
      <c r="R519" t="s">
        <v>120</v>
      </c>
      <c r="S519" t="s">
        <v>120</v>
      </c>
      <c r="T519" t="s">
        <v>120</v>
      </c>
      <c r="U519" t="s">
        <v>120</v>
      </c>
      <c r="V519" t="s">
        <v>120</v>
      </c>
      <c r="W519" t="s">
        <v>120</v>
      </c>
      <c r="X519" t="s">
        <v>120</v>
      </c>
      <c r="Y519" t="s">
        <v>120</v>
      </c>
      <c r="Z519" t="s">
        <v>120</v>
      </c>
      <c r="AA519" t="s">
        <v>120</v>
      </c>
      <c r="AB519" t="s">
        <v>120</v>
      </c>
      <c r="AC519" t="s">
        <v>120</v>
      </c>
      <c r="AD519" t="s">
        <v>120</v>
      </c>
      <c r="AE519" t="s">
        <v>120</v>
      </c>
      <c r="AF519" t="s">
        <v>120</v>
      </c>
      <c r="AG519" t="s">
        <v>120</v>
      </c>
      <c r="AH519" t="s">
        <v>120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33.43</v>
      </c>
      <c r="AP519">
        <v>0</v>
      </c>
      <c r="AQ519">
        <v>0</v>
      </c>
      <c r="AR519">
        <v>75.06</v>
      </c>
      <c r="AS519">
        <v>0</v>
      </c>
    </row>
    <row r="520" spans="1:45" x14ac:dyDescent="0.25">
      <c r="A520" t="s">
        <v>1247</v>
      </c>
      <c r="B520" t="s">
        <v>1248</v>
      </c>
      <c r="C520" t="s">
        <v>147</v>
      </c>
      <c r="D520" t="s">
        <v>1198</v>
      </c>
      <c r="E520" t="s">
        <v>120</v>
      </c>
      <c r="F520" t="s">
        <v>120</v>
      </c>
      <c r="G520" t="s">
        <v>120</v>
      </c>
      <c r="H520" t="s">
        <v>120</v>
      </c>
      <c r="I520" t="s">
        <v>120</v>
      </c>
      <c r="J520" t="s">
        <v>120</v>
      </c>
      <c r="K520" t="s">
        <v>120</v>
      </c>
      <c r="L520" t="s">
        <v>120</v>
      </c>
      <c r="M520" t="s">
        <v>120</v>
      </c>
      <c r="N520" t="s">
        <v>120</v>
      </c>
      <c r="O520" t="s">
        <v>120</v>
      </c>
      <c r="P520" t="s">
        <v>120</v>
      </c>
      <c r="Q520" t="s">
        <v>120</v>
      </c>
      <c r="R520" t="s">
        <v>120</v>
      </c>
      <c r="S520" t="s">
        <v>120</v>
      </c>
      <c r="T520" t="s">
        <v>120</v>
      </c>
      <c r="U520" t="s">
        <v>120</v>
      </c>
      <c r="V520" t="s">
        <v>120</v>
      </c>
      <c r="W520" t="s">
        <v>120</v>
      </c>
      <c r="X520" t="s">
        <v>120</v>
      </c>
      <c r="Y520" t="s">
        <v>120</v>
      </c>
      <c r="Z520" t="s">
        <v>120</v>
      </c>
      <c r="AA520" t="s">
        <v>120</v>
      </c>
      <c r="AB520" t="s">
        <v>120</v>
      </c>
      <c r="AC520" t="s">
        <v>120</v>
      </c>
      <c r="AD520" t="s">
        <v>120</v>
      </c>
      <c r="AE520" t="s">
        <v>120</v>
      </c>
      <c r="AF520" t="s">
        <v>120</v>
      </c>
      <c r="AG520" t="s">
        <v>120</v>
      </c>
      <c r="AH520" t="s">
        <v>120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31.55</v>
      </c>
      <c r="AP520">
        <v>0</v>
      </c>
      <c r="AQ520">
        <v>0</v>
      </c>
      <c r="AR520">
        <v>70.2</v>
      </c>
      <c r="AS520">
        <v>0</v>
      </c>
    </row>
    <row r="521" spans="1:45" x14ac:dyDescent="0.25">
      <c r="A521" t="s">
        <v>1249</v>
      </c>
      <c r="B521" t="s">
        <v>1250</v>
      </c>
      <c r="C521" t="s">
        <v>147</v>
      </c>
      <c r="D521" t="s">
        <v>1198</v>
      </c>
      <c r="E521" t="s">
        <v>120</v>
      </c>
      <c r="F521" t="s">
        <v>120</v>
      </c>
      <c r="G521" t="s">
        <v>120</v>
      </c>
      <c r="H521" t="s">
        <v>120</v>
      </c>
      <c r="I521" t="s">
        <v>120</v>
      </c>
      <c r="J521" t="s">
        <v>120</v>
      </c>
      <c r="K521" t="s">
        <v>120</v>
      </c>
      <c r="L521" t="s">
        <v>120</v>
      </c>
      <c r="M521" t="s">
        <v>120</v>
      </c>
      <c r="N521" t="s">
        <v>120</v>
      </c>
      <c r="O521" t="s">
        <v>120</v>
      </c>
      <c r="P521" t="s">
        <v>120</v>
      </c>
      <c r="Q521" t="s">
        <v>120</v>
      </c>
      <c r="R521" t="s">
        <v>120</v>
      </c>
      <c r="S521" t="s">
        <v>120</v>
      </c>
      <c r="T521" t="s">
        <v>120</v>
      </c>
      <c r="U521" t="s">
        <v>120</v>
      </c>
      <c r="V521" t="s">
        <v>120</v>
      </c>
      <c r="W521" t="s">
        <v>120</v>
      </c>
      <c r="X521" t="s">
        <v>120</v>
      </c>
      <c r="Y521" t="s">
        <v>120</v>
      </c>
      <c r="Z521" t="s">
        <v>120</v>
      </c>
      <c r="AA521" t="s">
        <v>120</v>
      </c>
      <c r="AB521" t="s">
        <v>120</v>
      </c>
      <c r="AC521" t="s">
        <v>120</v>
      </c>
      <c r="AD521" t="s">
        <v>120</v>
      </c>
      <c r="AE521" t="s">
        <v>120</v>
      </c>
      <c r="AF521" t="s">
        <v>120</v>
      </c>
      <c r="AG521" t="s">
        <v>120</v>
      </c>
      <c r="AH521" t="s">
        <v>120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31.55</v>
      </c>
      <c r="AP521">
        <v>0</v>
      </c>
      <c r="AQ521">
        <v>0</v>
      </c>
      <c r="AR521">
        <v>70.2</v>
      </c>
      <c r="AS521">
        <v>0</v>
      </c>
    </row>
    <row r="522" spans="1:45" x14ac:dyDescent="0.25">
      <c r="A522" t="s">
        <v>1251</v>
      </c>
      <c r="B522" t="s">
        <v>1252</v>
      </c>
      <c r="C522" t="s">
        <v>147</v>
      </c>
      <c r="D522" t="s">
        <v>1198</v>
      </c>
      <c r="E522" t="s">
        <v>120</v>
      </c>
      <c r="F522" t="s">
        <v>120</v>
      </c>
      <c r="G522" t="s">
        <v>120</v>
      </c>
      <c r="H522" t="s">
        <v>120</v>
      </c>
      <c r="I522" t="s">
        <v>120</v>
      </c>
      <c r="J522" t="s">
        <v>120</v>
      </c>
      <c r="K522" t="s">
        <v>120</v>
      </c>
      <c r="L522" t="s">
        <v>120</v>
      </c>
      <c r="M522" t="s">
        <v>120</v>
      </c>
      <c r="N522" t="s">
        <v>120</v>
      </c>
      <c r="O522" t="s">
        <v>120</v>
      </c>
      <c r="P522" t="s">
        <v>120</v>
      </c>
      <c r="Q522" t="s">
        <v>120</v>
      </c>
      <c r="R522" t="s">
        <v>120</v>
      </c>
      <c r="S522" t="s">
        <v>120</v>
      </c>
      <c r="T522" t="s">
        <v>120</v>
      </c>
      <c r="U522" t="s">
        <v>120</v>
      </c>
      <c r="V522" t="s">
        <v>120</v>
      </c>
      <c r="W522" t="s">
        <v>120</v>
      </c>
      <c r="X522" t="s">
        <v>120</v>
      </c>
      <c r="Y522" t="s">
        <v>120</v>
      </c>
      <c r="Z522" t="s">
        <v>120</v>
      </c>
      <c r="AA522" t="s">
        <v>120</v>
      </c>
      <c r="AB522" t="s">
        <v>120</v>
      </c>
      <c r="AC522" t="s">
        <v>120</v>
      </c>
      <c r="AD522" t="s">
        <v>120</v>
      </c>
      <c r="AE522" t="s">
        <v>120</v>
      </c>
      <c r="AF522" t="s">
        <v>120</v>
      </c>
      <c r="AG522" t="s">
        <v>120</v>
      </c>
      <c r="AH522" t="s">
        <v>120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31.55</v>
      </c>
      <c r="AP522">
        <v>0</v>
      </c>
      <c r="AQ522">
        <v>0</v>
      </c>
      <c r="AR522">
        <v>70.2</v>
      </c>
      <c r="AS522">
        <v>0</v>
      </c>
    </row>
    <row r="523" spans="1:45" x14ac:dyDescent="0.25">
      <c r="A523" t="s">
        <v>1253</v>
      </c>
      <c r="B523" t="s">
        <v>1254</v>
      </c>
      <c r="C523" t="s">
        <v>147</v>
      </c>
      <c r="D523" t="s">
        <v>1255</v>
      </c>
      <c r="E523" t="s">
        <v>120</v>
      </c>
      <c r="F523" t="s">
        <v>326</v>
      </c>
      <c r="G523" t="s">
        <v>120</v>
      </c>
      <c r="H523" t="s">
        <v>120</v>
      </c>
      <c r="I523" t="s">
        <v>120</v>
      </c>
      <c r="J523" t="s">
        <v>120</v>
      </c>
      <c r="K523" t="s">
        <v>120</v>
      </c>
      <c r="L523" t="s">
        <v>120</v>
      </c>
      <c r="M523" t="s">
        <v>120</v>
      </c>
      <c r="N523" t="s">
        <v>120</v>
      </c>
      <c r="O523" t="s">
        <v>120</v>
      </c>
      <c r="P523" t="s">
        <v>120</v>
      </c>
      <c r="Q523" t="s">
        <v>120</v>
      </c>
      <c r="R523" t="s">
        <v>120</v>
      </c>
      <c r="S523" t="s">
        <v>120</v>
      </c>
      <c r="T523" t="s">
        <v>120</v>
      </c>
      <c r="U523" t="s">
        <v>120</v>
      </c>
      <c r="V523" t="s">
        <v>120</v>
      </c>
      <c r="W523" t="s">
        <v>120</v>
      </c>
      <c r="X523" t="s">
        <v>120</v>
      </c>
      <c r="Y523" t="s">
        <v>120</v>
      </c>
      <c r="Z523" t="s">
        <v>120</v>
      </c>
      <c r="AA523" t="s">
        <v>120</v>
      </c>
      <c r="AB523" t="s">
        <v>120</v>
      </c>
      <c r="AC523" t="s">
        <v>120</v>
      </c>
      <c r="AD523" t="s">
        <v>120</v>
      </c>
      <c r="AE523" t="s">
        <v>120</v>
      </c>
      <c r="AF523" t="s">
        <v>120</v>
      </c>
      <c r="AG523" t="s">
        <v>120</v>
      </c>
      <c r="AH523" t="s">
        <v>120</v>
      </c>
      <c r="AJ523">
        <v>0</v>
      </c>
      <c r="AK523">
        <v>2</v>
      </c>
      <c r="AL523">
        <v>0</v>
      </c>
      <c r="AM523">
        <v>2</v>
      </c>
      <c r="AN523">
        <v>0</v>
      </c>
      <c r="AO523">
        <v>31.55</v>
      </c>
      <c r="AP523">
        <v>2</v>
      </c>
      <c r="AQ523">
        <v>0</v>
      </c>
      <c r="AR523">
        <v>70.2</v>
      </c>
      <c r="AS523">
        <v>126.2</v>
      </c>
    </row>
    <row r="524" spans="1:45" x14ac:dyDescent="0.25">
      <c r="A524" t="s">
        <v>1256</v>
      </c>
      <c r="B524" t="s">
        <v>1257</v>
      </c>
      <c r="C524" t="s">
        <v>130</v>
      </c>
      <c r="D524" t="s">
        <v>1255</v>
      </c>
      <c r="E524" t="s">
        <v>120</v>
      </c>
      <c r="F524" t="s">
        <v>326</v>
      </c>
      <c r="G524" t="s">
        <v>120</v>
      </c>
      <c r="H524" t="s">
        <v>120</v>
      </c>
      <c r="I524" t="s">
        <v>120</v>
      </c>
      <c r="J524" t="s">
        <v>120</v>
      </c>
      <c r="K524" t="s">
        <v>120</v>
      </c>
      <c r="L524" t="s">
        <v>285</v>
      </c>
      <c r="M524" t="s">
        <v>120</v>
      </c>
      <c r="N524" t="s">
        <v>120</v>
      </c>
      <c r="O524" t="s">
        <v>120</v>
      </c>
      <c r="P524" t="s">
        <v>120</v>
      </c>
      <c r="Q524" t="s">
        <v>120</v>
      </c>
      <c r="R524" t="s">
        <v>120</v>
      </c>
      <c r="S524" t="s">
        <v>120</v>
      </c>
      <c r="T524" t="s">
        <v>120</v>
      </c>
      <c r="U524" t="s">
        <v>120</v>
      </c>
      <c r="V524" t="s">
        <v>120</v>
      </c>
      <c r="W524" t="s">
        <v>120</v>
      </c>
      <c r="X524" t="s">
        <v>120</v>
      </c>
      <c r="Y524" t="s">
        <v>120</v>
      </c>
      <c r="Z524" t="s">
        <v>120</v>
      </c>
      <c r="AA524" t="s">
        <v>120</v>
      </c>
      <c r="AB524" t="s">
        <v>120</v>
      </c>
      <c r="AC524" t="s">
        <v>120</v>
      </c>
      <c r="AD524" t="s">
        <v>120</v>
      </c>
      <c r="AE524" t="s">
        <v>120</v>
      </c>
      <c r="AF524" t="s">
        <v>120</v>
      </c>
      <c r="AG524" t="s">
        <v>120</v>
      </c>
      <c r="AH524" t="s">
        <v>120</v>
      </c>
      <c r="AJ524">
        <v>0</v>
      </c>
      <c r="AK524">
        <v>9</v>
      </c>
      <c r="AL524">
        <v>0</v>
      </c>
      <c r="AM524">
        <v>2</v>
      </c>
      <c r="AN524">
        <v>7</v>
      </c>
      <c r="AO524">
        <v>7500</v>
      </c>
      <c r="AP524">
        <v>2</v>
      </c>
      <c r="AQ524">
        <v>885.93750000000011</v>
      </c>
      <c r="AR524">
        <v>126.56250000000001</v>
      </c>
      <c r="AS524">
        <v>187.5</v>
      </c>
    </row>
    <row r="525" spans="1:45" x14ac:dyDescent="0.25">
      <c r="A525" t="s">
        <v>1258</v>
      </c>
      <c r="B525" t="s">
        <v>1259</v>
      </c>
      <c r="C525" t="s">
        <v>147</v>
      </c>
      <c r="D525" t="s">
        <v>1255</v>
      </c>
      <c r="E525" t="s">
        <v>120</v>
      </c>
      <c r="F525" t="s">
        <v>326</v>
      </c>
      <c r="G525" t="s">
        <v>120</v>
      </c>
      <c r="H525" t="s">
        <v>120</v>
      </c>
      <c r="I525" t="s">
        <v>120</v>
      </c>
      <c r="J525" t="s">
        <v>120</v>
      </c>
      <c r="K525" t="s">
        <v>120</v>
      </c>
      <c r="L525" t="s">
        <v>120</v>
      </c>
      <c r="M525" t="s">
        <v>120</v>
      </c>
      <c r="N525" t="s">
        <v>120</v>
      </c>
      <c r="O525" t="s">
        <v>120</v>
      </c>
      <c r="P525" t="s">
        <v>120</v>
      </c>
      <c r="Q525" t="s">
        <v>120</v>
      </c>
      <c r="R525" t="s">
        <v>120</v>
      </c>
      <c r="S525" t="s">
        <v>120</v>
      </c>
      <c r="T525" t="s">
        <v>120</v>
      </c>
      <c r="U525" t="s">
        <v>120</v>
      </c>
      <c r="V525" t="s">
        <v>120</v>
      </c>
      <c r="W525" t="s">
        <v>120</v>
      </c>
      <c r="X525" t="s">
        <v>120</v>
      </c>
      <c r="Y525" t="s">
        <v>120</v>
      </c>
      <c r="Z525" t="s">
        <v>120</v>
      </c>
      <c r="AA525" t="s">
        <v>120</v>
      </c>
      <c r="AB525" t="s">
        <v>120</v>
      </c>
      <c r="AC525" t="s">
        <v>120</v>
      </c>
      <c r="AD525" t="s">
        <v>120</v>
      </c>
      <c r="AE525" t="s">
        <v>120</v>
      </c>
      <c r="AF525" t="s">
        <v>120</v>
      </c>
      <c r="AG525" t="s">
        <v>120</v>
      </c>
      <c r="AH525" t="s">
        <v>120</v>
      </c>
      <c r="AJ525">
        <v>0</v>
      </c>
      <c r="AK525">
        <v>2</v>
      </c>
      <c r="AL525">
        <v>0</v>
      </c>
      <c r="AM525">
        <v>2</v>
      </c>
      <c r="AN525">
        <v>0</v>
      </c>
      <c r="AO525">
        <v>31.55</v>
      </c>
      <c r="AP525">
        <v>2</v>
      </c>
      <c r="AQ525">
        <v>0</v>
      </c>
      <c r="AR525">
        <v>70.2</v>
      </c>
      <c r="AS525">
        <v>126.2</v>
      </c>
    </row>
    <row r="526" spans="1:45" x14ac:dyDescent="0.25">
      <c r="A526" t="s">
        <v>1260</v>
      </c>
      <c r="B526" t="s">
        <v>1261</v>
      </c>
      <c r="C526" t="s">
        <v>147</v>
      </c>
      <c r="D526" t="s">
        <v>1255</v>
      </c>
      <c r="E526" t="s">
        <v>120</v>
      </c>
      <c r="F526" t="s">
        <v>323</v>
      </c>
      <c r="G526" t="s">
        <v>120</v>
      </c>
      <c r="H526" t="s">
        <v>120</v>
      </c>
      <c r="I526" t="s">
        <v>120</v>
      </c>
      <c r="J526" t="s">
        <v>120</v>
      </c>
      <c r="K526" t="s">
        <v>120</v>
      </c>
      <c r="L526" t="s">
        <v>120</v>
      </c>
      <c r="M526" t="s">
        <v>120</v>
      </c>
      <c r="N526" t="s">
        <v>120</v>
      </c>
      <c r="O526" t="s">
        <v>120</v>
      </c>
      <c r="P526" t="s">
        <v>120</v>
      </c>
      <c r="Q526" t="s">
        <v>120</v>
      </c>
      <c r="R526" t="s">
        <v>120</v>
      </c>
      <c r="S526" t="s">
        <v>120</v>
      </c>
      <c r="T526" t="s">
        <v>120</v>
      </c>
      <c r="U526" t="s">
        <v>120</v>
      </c>
      <c r="V526" t="s">
        <v>120</v>
      </c>
      <c r="W526" t="s">
        <v>120</v>
      </c>
      <c r="X526" t="s">
        <v>120</v>
      </c>
      <c r="Y526" t="s">
        <v>120</v>
      </c>
      <c r="Z526" t="s">
        <v>120</v>
      </c>
      <c r="AA526" t="s">
        <v>120</v>
      </c>
      <c r="AB526" t="s">
        <v>120</v>
      </c>
      <c r="AC526" t="s">
        <v>120</v>
      </c>
      <c r="AD526" t="s">
        <v>120</v>
      </c>
      <c r="AE526" t="s">
        <v>120</v>
      </c>
      <c r="AF526" t="s">
        <v>120</v>
      </c>
      <c r="AG526" t="s">
        <v>120</v>
      </c>
      <c r="AH526" t="s">
        <v>120</v>
      </c>
      <c r="AJ526">
        <v>0</v>
      </c>
      <c r="AK526">
        <v>1</v>
      </c>
      <c r="AL526">
        <v>0</v>
      </c>
      <c r="AM526">
        <v>1</v>
      </c>
      <c r="AN526">
        <v>0</v>
      </c>
      <c r="AO526">
        <v>31.55</v>
      </c>
      <c r="AP526">
        <v>1</v>
      </c>
      <c r="AQ526">
        <v>0</v>
      </c>
      <c r="AR526">
        <v>70.2</v>
      </c>
      <c r="AS526">
        <v>63.1</v>
      </c>
    </row>
    <row r="527" spans="1:45" x14ac:dyDescent="0.25">
      <c r="A527" t="s">
        <v>1262</v>
      </c>
      <c r="B527" t="s">
        <v>1263</v>
      </c>
      <c r="C527" t="s">
        <v>147</v>
      </c>
      <c r="D527" t="s">
        <v>1255</v>
      </c>
      <c r="E527" t="s">
        <v>120</v>
      </c>
      <c r="F527" t="s">
        <v>326</v>
      </c>
      <c r="G527" t="s">
        <v>120</v>
      </c>
      <c r="H527" t="s">
        <v>120</v>
      </c>
      <c r="I527" t="s">
        <v>120</v>
      </c>
      <c r="J527" t="s">
        <v>120</v>
      </c>
      <c r="K527" t="s">
        <v>120</v>
      </c>
      <c r="L527" t="s">
        <v>120</v>
      </c>
      <c r="M527" t="s">
        <v>120</v>
      </c>
      <c r="N527" t="s">
        <v>120</v>
      </c>
      <c r="O527" t="s">
        <v>120</v>
      </c>
      <c r="P527" t="s">
        <v>120</v>
      </c>
      <c r="Q527" t="s">
        <v>120</v>
      </c>
      <c r="R527" t="s">
        <v>120</v>
      </c>
      <c r="S527" t="s">
        <v>120</v>
      </c>
      <c r="T527" t="s">
        <v>120</v>
      </c>
      <c r="U527" t="s">
        <v>120</v>
      </c>
      <c r="V527" t="s">
        <v>120</v>
      </c>
      <c r="W527" t="s">
        <v>120</v>
      </c>
      <c r="X527" t="s">
        <v>120</v>
      </c>
      <c r="Y527" t="s">
        <v>120</v>
      </c>
      <c r="Z527" t="s">
        <v>120</v>
      </c>
      <c r="AA527" t="s">
        <v>120</v>
      </c>
      <c r="AB527" t="s">
        <v>120</v>
      </c>
      <c r="AC527" t="s">
        <v>120</v>
      </c>
      <c r="AD527" t="s">
        <v>120</v>
      </c>
      <c r="AE527" t="s">
        <v>120</v>
      </c>
      <c r="AF527" t="s">
        <v>120</v>
      </c>
      <c r="AG527" t="s">
        <v>120</v>
      </c>
      <c r="AH527" t="s">
        <v>120</v>
      </c>
      <c r="AJ527">
        <v>0</v>
      </c>
      <c r="AK527">
        <v>2</v>
      </c>
      <c r="AL527">
        <v>0</v>
      </c>
      <c r="AM527">
        <v>2</v>
      </c>
      <c r="AN527">
        <v>0</v>
      </c>
      <c r="AO527">
        <v>31.55</v>
      </c>
      <c r="AP527">
        <v>2</v>
      </c>
      <c r="AQ527">
        <v>0</v>
      </c>
      <c r="AR527">
        <v>70.2</v>
      </c>
      <c r="AS527">
        <v>126.2</v>
      </c>
    </row>
    <row r="528" spans="1:45" x14ac:dyDescent="0.25">
      <c r="A528" t="s">
        <v>1264</v>
      </c>
      <c r="B528" t="s">
        <v>1265</v>
      </c>
      <c r="C528" t="s">
        <v>147</v>
      </c>
      <c r="D528" t="s">
        <v>1255</v>
      </c>
      <c r="E528" t="s">
        <v>120</v>
      </c>
      <c r="F528" t="s">
        <v>326</v>
      </c>
      <c r="G528" t="s">
        <v>120</v>
      </c>
      <c r="H528" t="s">
        <v>120</v>
      </c>
      <c r="I528" t="s">
        <v>120</v>
      </c>
      <c r="J528" t="s">
        <v>120</v>
      </c>
      <c r="K528" t="s">
        <v>120</v>
      </c>
      <c r="L528" t="s">
        <v>120</v>
      </c>
      <c r="M528" t="s">
        <v>120</v>
      </c>
      <c r="N528" t="s">
        <v>120</v>
      </c>
      <c r="O528" t="s">
        <v>120</v>
      </c>
      <c r="P528" t="s">
        <v>120</v>
      </c>
      <c r="Q528" t="s">
        <v>120</v>
      </c>
      <c r="R528" t="s">
        <v>120</v>
      </c>
      <c r="S528" t="s">
        <v>120</v>
      </c>
      <c r="T528" t="s">
        <v>120</v>
      </c>
      <c r="U528" t="s">
        <v>120</v>
      </c>
      <c r="V528" t="s">
        <v>120</v>
      </c>
      <c r="W528" t="s">
        <v>120</v>
      </c>
      <c r="X528" t="s">
        <v>120</v>
      </c>
      <c r="Y528" t="s">
        <v>120</v>
      </c>
      <c r="Z528" t="s">
        <v>120</v>
      </c>
      <c r="AA528" t="s">
        <v>120</v>
      </c>
      <c r="AB528" t="s">
        <v>120</v>
      </c>
      <c r="AC528" t="s">
        <v>120</v>
      </c>
      <c r="AD528" t="s">
        <v>120</v>
      </c>
      <c r="AE528" t="s">
        <v>120</v>
      </c>
      <c r="AF528" t="s">
        <v>120</v>
      </c>
      <c r="AG528" t="s">
        <v>120</v>
      </c>
      <c r="AH528" t="s">
        <v>120</v>
      </c>
      <c r="AJ528">
        <v>0</v>
      </c>
      <c r="AK528">
        <v>2</v>
      </c>
      <c r="AL528">
        <v>0</v>
      </c>
      <c r="AM528">
        <v>2</v>
      </c>
      <c r="AN528">
        <v>0</v>
      </c>
      <c r="AO528">
        <v>31.55</v>
      </c>
      <c r="AP528">
        <v>2</v>
      </c>
      <c r="AQ528">
        <v>0</v>
      </c>
      <c r="AR528">
        <v>70.2</v>
      </c>
      <c r="AS528">
        <v>126.2</v>
      </c>
    </row>
    <row r="529" spans="1:45" x14ac:dyDescent="0.25">
      <c r="A529" t="s">
        <v>1266</v>
      </c>
      <c r="B529" t="s">
        <v>1267</v>
      </c>
      <c r="C529" t="s">
        <v>147</v>
      </c>
      <c r="D529" t="s">
        <v>1255</v>
      </c>
      <c r="E529" t="s">
        <v>120</v>
      </c>
      <c r="F529" t="s">
        <v>326</v>
      </c>
      <c r="G529" t="s">
        <v>120</v>
      </c>
      <c r="H529" t="s">
        <v>120</v>
      </c>
      <c r="I529" t="s">
        <v>120</v>
      </c>
      <c r="J529" t="s">
        <v>120</v>
      </c>
      <c r="K529" t="s">
        <v>120</v>
      </c>
      <c r="L529" t="s">
        <v>120</v>
      </c>
      <c r="M529" t="s">
        <v>120</v>
      </c>
      <c r="N529" t="s">
        <v>120</v>
      </c>
      <c r="O529" t="s">
        <v>120</v>
      </c>
      <c r="P529" t="s">
        <v>120</v>
      </c>
      <c r="Q529" t="s">
        <v>120</v>
      </c>
      <c r="R529" t="s">
        <v>120</v>
      </c>
      <c r="S529" t="s">
        <v>120</v>
      </c>
      <c r="T529" t="s">
        <v>120</v>
      </c>
      <c r="U529" t="s">
        <v>120</v>
      </c>
      <c r="V529" t="s">
        <v>120</v>
      </c>
      <c r="W529" t="s">
        <v>120</v>
      </c>
      <c r="X529" t="s">
        <v>120</v>
      </c>
      <c r="Y529" t="s">
        <v>120</v>
      </c>
      <c r="Z529" t="s">
        <v>120</v>
      </c>
      <c r="AA529" t="s">
        <v>120</v>
      </c>
      <c r="AB529" t="s">
        <v>120</v>
      </c>
      <c r="AC529" t="s">
        <v>120</v>
      </c>
      <c r="AD529" t="s">
        <v>120</v>
      </c>
      <c r="AE529" t="s">
        <v>120</v>
      </c>
      <c r="AF529" t="s">
        <v>120</v>
      </c>
      <c r="AG529" t="s">
        <v>120</v>
      </c>
      <c r="AH529" t="s">
        <v>120</v>
      </c>
      <c r="AJ529">
        <v>0</v>
      </c>
      <c r="AK529">
        <v>2</v>
      </c>
      <c r="AL529">
        <v>0</v>
      </c>
      <c r="AM529">
        <v>2</v>
      </c>
      <c r="AN529">
        <v>0</v>
      </c>
      <c r="AO529">
        <v>31.55</v>
      </c>
      <c r="AP529">
        <v>2</v>
      </c>
      <c r="AQ529">
        <v>0</v>
      </c>
      <c r="AR529">
        <v>70.2</v>
      </c>
      <c r="AS529">
        <v>126.2</v>
      </c>
    </row>
    <row r="530" spans="1:45" x14ac:dyDescent="0.25">
      <c r="A530" t="s">
        <v>1268</v>
      </c>
      <c r="B530" t="s">
        <v>1269</v>
      </c>
      <c r="C530" t="s">
        <v>147</v>
      </c>
      <c r="D530" t="s">
        <v>1255</v>
      </c>
      <c r="E530" t="s">
        <v>120</v>
      </c>
      <c r="F530" t="s">
        <v>326</v>
      </c>
      <c r="G530" t="s">
        <v>120</v>
      </c>
      <c r="H530" t="s">
        <v>120</v>
      </c>
      <c r="I530" t="s">
        <v>120</v>
      </c>
      <c r="J530" t="s">
        <v>120</v>
      </c>
      <c r="K530" t="s">
        <v>120</v>
      </c>
      <c r="L530" t="s">
        <v>120</v>
      </c>
      <c r="M530" t="s">
        <v>120</v>
      </c>
      <c r="N530" t="s">
        <v>120</v>
      </c>
      <c r="O530" t="s">
        <v>1270</v>
      </c>
      <c r="P530" t="s">
        <v>120</v>
      </c>
      <c r="Q530" t="s">
        <v>120</v>
      </c>
      <c r="R530" t="s">
        <v>120</v>
      </c>
      <c r="S530" t="s">
        <v>120</v>
      </c>
      <c r="T530" t="s">
        <v>120</v>
      </c>
      <c r="U530" t="s">
        <v>120</v>
      </c>
      <c r="V530" t="s">
        <v>120</v>
      </c>
      <c r="W530" t="s">
        <v>120</v>
      </c>
      <c r="X530" t="s">
        <v>120</v>
      </c>
      <c r="Y530" t="s">
        <v>120</v>
      </c>
      <c r="Z530" t="s">
        <v>120</v>
      </c>
      <c r="AA530" t="s">
        <v>120</v>
      </c>
      <c r="AB530" t="s">
        <v>120</v>
      </c>
      <c r="AC530" t="s">
        <v>120</v>
      </c>
      <c r="AD530" t="s">
        <v>120</v>
      </c>
      <c r="AE530" t="s">
        <v>120</v>
      </c>
      <c r="AF530" t="s">
        <v>120</v>
      </c>
      <c r="AG530" t="s">
        <v>120</v>
      </c>
      <c r="AH530" t="s">
        <v>120</v>
      </c>
      <c r="AJ530">
        <v>0</v>
      </c>
      <c r="AK530">
        <v>2</v>
      </c>
      <c r="AL530">
        <v>0</v>
      </c>
      <c r="AM530">
        <v>2</v>
      </c>
      <c r="AN530">
        <v>0</v>
      </c>
      <c r="AO530">
        <v>31.55</v>
      </c>
      <c r="AP530">
        <v>2</v>
      </c>
      <c r="AQ530">
        <v>0</v>
      </c>
      <c r="AR530">
        <v>70.2</v>
      </c>
      <c r="AS530">
        <v>126.2</v>
      </c>
    </row>
    <row r="531" spans="1:45" x14ac:dyDescent="0.25">
      <c r="A531" t="s">
        <v>1271</v>
      </c>
      <c r="B531" t="s">
        <v>1272</v>
      </c>
      <c r="C531" t="s">
        <v>127</v>
      </c>
      <c r="D531" t="s">
        <v>1255</v>
      </c>
      <c r="E531" t="s">
        <v>120</v>
      </c>
      <c r="F531" t="s">
        <v>326</v>
      </c>
      <c r="G531" t="s">
        <v>120</v>
      </c>
      <c r="H531" t="s">
        <v>120</v>
      </c>
      <c r="I531" t="s">
        <v>120</v>
      </c>
      <c r="J531" t="s">
        <v>120</v>
      </c>
      <c r="K531" t="s">
        <v>120</v>
      </c>
      <c r="L531" t="s">
        <v>285</v>
      </c>
      <c r="M531" t="s">
        <v>120</v>
      </c>
      <c r="N531" t="s">
        <v>120</v>
      </c>
      <c r="O531" t="s">
        <v>120</v>
      </c>
      <c r="P531" t="s">
        <v>120</v>
      </c>
      <c r="Q531" t="s">
        <v>120</v>
      </c>
      <c r="R531" t="s">
        <v>120</v>
      </c>
      <c r="S531" t="s">
        <v>120</v>
      </c>
      <c r="T531" t="s">
        <v>120</v>
      </c>
      <c r="U531" t="s">
        <v>120</v>
      </c>
      <c r="V531" t="s">
        <v>120</v>
      </c>
      <c r="W531" t="s">
        <v>120</v>
      </c>
      <c r="X531" t="s">
        <v>120</v>
      </c>
      <c r="Y531" t="s">
        <v>120</v>
      </c>
      <c r="Z531" t="s">
        <v>120</v>
      </c>
      <c r="AA531" t="s">
        <v>120</v>
      </c>
      <c r="AB531" t="s">
        <v>120</v>
      </c>
      <c r="AC531" t="s">
        <v>120</v>
      </c>
      <c r="AD531" t="s">
        <v>120</v>
      </c>
      <c r="AE531" t="s">
        <v>120</v>
      </c>
      <c r="AF531" t="s">
        <v>120</v>
      </c>
      <c r="AG531" t="s">
        <v>120</v>
      </c>
      <c r="AH531" t="s">
        <v>120</v>
      </c>
      <c r="AJ531">
        <v>0</v>
      </c>
      <c r="AK531">
        <v>9</v>
      </c>
      <c r="AL531">
        <v>0</v>
      </c>
      <c r="AM531">
        <v>2</v>
      </c>
      <c r="AN531">
        <v>7</v>
      </c>
      <c r="AO531">
        <v>33.43</v>
      </c>
      <c r="AP531">
        <v>2</v>
      </c>
      <c r="AQ531">
        <v>525.42000000000007</v>
      </c>
      <c r="AR531">
        <v>75.06</v>
      </c>
      <c r="AS531">
        <v>133.72</v>
      </c>
    </row>
    <row r="532" spans="1:45" x14ac:dyDescent="0.25">
      <c r="A532" t="s">
        <v>1273</v>
      </c>
      <c r="B532" t="s">
        <v>1274</v>
      </c>
      <c r="C532" t="s">
        <v>127</v>
      </c>
      <c r="D532" t="s">
        <v>1255</v>
      </c>
      <c r="E532" t="s">
        <v>120</v>
      </c>
      <c r="F532" t="s">
        <v>326</v>
      </c>
      <c r="G532" t="s">
        <v>120</v>
      </c>
      <c r="H532" t="s">
        <v>120</v>
      </c>
      <c r="I532" t="s">
        <v>120</v>
      </c>
      <c r="J532" t="s">
        <v>120</v>
      </c>
      <c r="K532" t="s">
        <v>120</v>
      </c>
      <c r="L532" t="s">
        <v>120</v>
      </c>
      <c r="M532" t="s">
        <v>120</v>
      </c>
      <c r="N532" t="s">
        <v>120</v>
      </c>
      <c r="O532" t="s">
        <v>120</v>
      </c>
      <c r="P532" t="s">
        <v>120</v>
      </c>
      <c r="Q532" t="s">
        <v>120</v>
      </c>
      <c r="R532" t="s">
        <v>120</v>
      </c>
      <c r="S532" t="s">
        <v>120</v>
      </c>
      <c r="T532" t="s">
        <v>120</v>
      </c>
      <c r="U532" t="s">
        <v>120</v>
      </c>
      <c r="V532" t="s">
        <v>120</v>
      </c>
      <c r="W532" t="s">
        <v>120</v>
      </c>
      <c r="X532" t="s">
        <v>120</v>
      </c>
      <c r="Y532" t="s">
        <v>120</v>
      </c>
      <c r="Z532" t="s">
        <v>120</v>
      </c>
      <c r="AA532" t="s">
        <v>120</v>
      </c>
      <c r="AB532" t="s">
        <v>120</v>
      </c>
      <c r="AC532" t="s">
        <v>120</v>
      </c>
      <c r="AD532" t="s">
        <v>120</v>
      </c>
      <c r="AE532" t="s">
        <v>120</v>
      </c>
      <c r="AF532" t="s">
        <v>120</v>
      </c>
      <c r="AG532" t="s">
        <v>120</v>
      </c>
      <c r="AH532" t="s">
        <v>120</v>
      </c>
      <c r="AJ532">
        <v>0</v>
      </c>
      <c r="AK532">
        <v>2</v>
      </c>
      <c r="AL532">
        <v>0</v>
      </c>
      <c r="AM532">
        <v>2</v>
      </c>
      <c r="AN532">
        <v>0</v>
      </c>
      <c r="AO532">
        <v>33.43</v>
      </c>
      <c r="AP532">
        <v>2</v>
      </c>
      <c r="AQ532">
        <v>0</v>
      </c>
      <c r="AR532">
        <v>75.06</v>
      </c>
      <c r="AS532">
        <v>133.72</v>
      </c>
    </row>
    <row r="533" spans="1:45" x14ac:dyDescent="0.25">
      <c r="A533" t="s">
        <v>1275</v>
      </c>
      <c r="B533" t="s">
        <v>1276</v>
      </c>
      <c r="C533" t="s">
        <v>147</v>
      </c>
      <c r="D533" t="s">
        <v>1255</v>
      </c>
      <c r="E533" t="s">
        <v>120</v>
      </c>
      <c r="F533" t="s">
        <v>326</v>
      </c>
      <c r="G533" t="s">
        <v>120</v>
      </c>
      <c r="H533" t="s">
        <v>120</v>
      </c>
      <c r="I533" t="s">
        <v>120</v>
      </c>
      <c r="J533" t="s">
        <v>120</v>
      </c>
      <c r="K533" t="s">
        <v>120</v>
      </c>
      <c r="L533" t="s">
        <v>120</v>
      </c>
      <c r="M533" t="s">
        <v>120</v>
      </c>
      <c r="N533" t="s">
        <v>120</v>
      </c>
      <c r="O533" t="s">
        <v>120</v>
      </c>
      <c r="P533" t="s">
        <v>120</v>
      </c>
      <c r="Q533" t="s">
        <v>120</v>
      </c>
      <c r="R533" t="s">
        <v>120</v>
      </c>
      <c r="S533" t="s">
        <v>120</v>
      </c>
      <c r="T533" t="s">
        <v>120</v>
      </c>
      <c r="U533" t="s">
        <v>120</v>
      </c>
      <c r="V533" t="s">
        <v>120</v>
      </c>
      <c r="W533" t="s">
        <v>120</v>
      </c>
      <c r="X533" t="s">
        <v>120</v>
      </c>
      <c r="Y533" t="s">
        <v>120</v>
      </c>
      <c r="Z533" t="s">
        <v>120</v>
      </c>
      <c r="AA533" t="s">
        <v>120</v>
      </c>
      <c r="AB533" t="s">
        <v>120</v>
      </c>
      <c r="AC533" t="s">
        <v>120</v>
      </c>
      <c r="AD533" t="s">
        <v>120</v>
      </c>
      <c r="AE533" t="s">
        <v>120</v>
      </c>
      <c r="AF533" t="s">
        <v>120</v>
      </c>
      <c r="AG533" t="s">
        <v>120</v>
      </c>
      <c r="AH533" t="s">
        <v>120</v>
      </c>
      <c r="AJ533">
        <v>0</v>
      </c>
      <c r="AK533">
        <v>2</v>
      </c>
      <c r="AL533">
        <v>0</v>
      </c>
      <c r="AM533">
        <v>2</v>
      </c>
      <c r="AN533">
        <v>0</v>
      </c>
      <c r="AO533">
        <v>31.55</v>
      </c>
      <c r="AP533">
        <v>2</v>
      </c>
      <c r="AQ533">
        <v>0</v>
      </c>
      <c r="AR533">
        <v>70.2</v>
      </c>
      <c r="AS533">
        <v>126.2</v>
      </c>
    </row>
    <row r="534" spans="1:45" x14ac:dyDescent="0.25">
      <c r="A534" t="s">
        <v>1277</v>
      </c>
      <c r="B534" t="s">
        <v>1278</v>
      </c>
      <c r="C534" t="s">
        <v>147</v>
      </c>
      <c r="D534" t="s">
        <v>1255</v>
      </c>
      <c r="E534" t="s">
        <v>120</v>
      </c>
      <c r="F534" t="s">
        <v>326</v>
      </c>
      <c r="G534" t="s">
        <v>120</v>
      </c>
      <c r="H534" t="s">
        <v>120</v>
      </c>
      <c r="I534" t="s">
        <v>120</v>
      </c>
      <c r="J534" t="s">
        <v>120</v>
      </c>
      <c r="K534" t="s">
        <v>120</v>
      </c>
      <c r="L534" t="s">
        <v>120</v>
      </c>
      <c r="M534" t="s">
        <v>120</v>
      </c>
      <c r="N534" t="s">
        <v>120</v>
      </c>
      <c r="O534" t="s">
        <v>120</v>
      </c>
      <c r="P534" t="s">
        <v>120</v>
      </c>
      <c r="Q534" t="s">
        <v>120</v>
      </c>
      <c r="R534" t="s">
        <v>120</v>
      </c>
      <c r="S534" t="s">
        <v>120</v>
      </c>
      <c r="T534" t="s">
        <v>120</v>
      </c>
      <c r="U534" t="s">
        <v>120</v>
      </c>
      <c r="V534" t="s">
        <v>120</v>
      </c>
      <c r="W534" t="s">
        <v>120</v>
      </c>
      <c r="X534" t="s">
        <v>120</v>
      </c>
      <c r="Y534" t="s">
        <v>120</v>
      </c>
      <c r="Z534" t="s">
        <v>120</v>
      </c>
      <c r="AA534" t="s">
        <v>120</v>
      </c>
      <c r="AB534" t="s">
        <v>120</v>
      </c>
      <c r="AC534" t="s">
        <v>120</v>
      </c>
      <c r="AD534" t="s">
        <v>120</v>
      </c>
      <c r="AE534" t="s">
        <v>120</v>
      </c>
      <c r="AF534" t="s">
        <v>120</v>
      </c>
      <c r="AG534" t="s">
        <v>120</v>
      </c>
      <c r="AH534" t="s">
        <v>120</v>
      </c>
      <c r="AJ534">
        <v>0</v>
      </c>
      <c r="AK534">
        <v>2</v>
      </c>
      <c r="AL534">
        <v>0</v>
      </c>
      <c r="AM534">
        <v>2</v>
      </c>
      <c r="AN534">
        <v>0</v>
      </c>
      <c r="AO534">
        <v>28.25</v>
      </c>
      <c r="AP534">
        <v>2</v>
      </c>
      <c r="AQ534">
        <v>0</v>
      </c>
      <c r="AR534">
        <v>70.2</v>
      </c>
      <c r="AS534">
        <v>113</v>
      </c>
    </row>
    <row r="535" spans="1:45" x14ac:dyDescent="0.25">
      <c r="A535" t="s">
        <v>1279</v>
      </c>
      <c r="B535" t="s">
        <v>1280</v>
      </c>
      <c r="C535" t="s">
        <v>147</v>
      </c>
      <c r="D535" t="s">
        <v>1255</v>
      </c>
      <c r="E535" t="s">
        <v>141</v>
      </c>
      <c r="F535" t="s">
        <v>326</v>
      </c>
      <c r="G535" t="s">
        <v>120</v>
      </c>
      <c r="H535" t="s">
        <v>120</v>
      </c>
      <c r="I535" t="s">
        <v>120</v>
      </c>
      <c r="J535" t="s">
        <v>120</v>
      </c>
      <c r="K535" t="s">
        <v>120</v>
      </c>
      <c r="L535" t="s">
        <v>120</v>
      </c>
      <c r="M535" t="s">
        <v>120</v>
      </c>
      <c r="N535" t="s">
        <v>120</v>
      </c>
      <c r="O535" t="s">
        <v>120</v>
      </c>
      <c r="P535" t="s">
        <v>120</v>
      </c>
      <c r="Q535" t="s">
        <v>120</v>
      </c>
      <c r="R535" t="s">
        <v>120</v>
      </c>
      <c r="S535" t="s">
        <v>120</v>
      </c>
      <c r="T535" t="s">
        <v>120</v>
      </c>
      <c r="U535" t="s">
        <v>120</v>
      </c>
      <c r="V535" t="s">
        <v>120</v>
      </c>
      <c r="W535" t="s">
        <v>120</v>
      </c>
      <c r="X535" t="s">
        <v>120</v>
      </c>
      <c r="Y535" t="s">
        <v>120</v>
      </c>
      <c r="Z535" t="s">
        <v>120</v>
      </c>
      <c r="AA535" t="s">
        <v>120</v>
      </c>
      <c r="AB535" t="s">
        <v>120</v>
      </c>
      <c r="AC535" t="s">
        <v>120</v>
      </c>
      <c r="AD535" t="s">
        <v>120</v>
      </c>
      <c r="AE535" t="s">
        <v>120</v>
      </c>
      <c r="AF535" t="s">
        <v>120</v>
      </c>
      <c r="AG535" t="s">
        <v>120</v>
      </c>
      <c r="AH535" t="s">
        <v>120</v>
      </c>
      <c r="AJ535">
        <v>0</v>
      </c>
      <c r="AK535">
        <v>10</v>
      </c>
      <c r="AL535">
        <v>8</v>
      </c>
      <c r="AM535">
        <v>2</v>
      </c>
      <c r="AN535">
        <v>0</v>
      </c>
      <c r="AO535">
        <v>31.55</v>
      </c>
      <c r="AP535">
        <v>10</v>
      </c>
      <c r="AQ535">
        <v>0</v>
      </c>
      <c r="AR535">
        <v>70.2</v>
      </c>
      <c r="AS535">
        <v>631</v>
      </c>
    </row>
    <row r="536" spans="1:45" x14ac:dyDescent="0.25">
      <c r="A536" t="s">
        <v>1281</v>
      </c>
      <c r="B536" t="s">
        <v>1282</v>
      </c>
      <c r="C536" t="s">
        <v>147</v>
      </c>
      <c r="D536" t="s">
        <v>1255</v>
      </c>
      <c r="E536" t="s">
        <v>120</v>
      </c>
      <c r="F536" t="s">
        <v>326</v>
      </c>
      <c r="G536" t="s">
        <v>120</v>
      </c>
      <c r="H536" t="s">
        <v>120</v>
      </c>
      <c r="I536" t="s">
        <v>120</v>
      </c>
      <c r="J536" t="s">
        <v>120</v>
      </c>
      <c r="K536" t="s">
        <v>120</v>
      </c>
      <c r="L536" t="s">
        <v>120</v>
      </c>
      <c r="M536" t="s">
        <v>120</v>
      </c>
      <c r="N536" t="s">
        <v>120</v>
      </c>
      <c r="O536" t="s">
        <v>120</v>
      </c>
      <c r="P536" t="s">
        <v>120</v>
      </c>
      <c r="Q536" t="s">
        <v>120</v>
      </c>
      <c r="R536" t="s">
        <v>120</v>
      </c>
      <c r="S536" t="s">
        <v>120</v>
      </c>
      <c r="T536" t="s">
        <v>120</v>
      </c>
      <c r="U536" t="s">
        <v>120</v>
      </c>
      <c r="V536" t="s">
        <v>120</v>
      </c>
      <c r="W536" t="s">
        <v>120</v>
      </c>
      <c r="X536" t="s">
        <v>120</v>
      </c>
      <c r="Y536" t="s">
        <v>120</v>
      </c>
      <c r="Z536" t="s">
        <v>120</v>
      </c>
      <c r="AA536" t="s">
        <v>120</v>
      </c>
      <c r="AB536" t="s">
        <v>120</v>
      </c>
      <c r="AC536" t="s">
        <v>120</v>
      </c>
      <c r="AD536" t="s">
        <v>120</v>
      </c>
      <c r="AE536" t="s">
        <v>120</v>
      </c>
      <c r="AF536" t="s">
        <v>120</v>
      </c>
      <c r="AG536" t="s">
        <v>120</v>
      </c>
      <c r="AH536" t="s">
        <v>120</v>
      </c>
      <c r="AJ536">
        <v>0</v>
      </c>
      <c r="AK536">
        <v>2</v>
      </c>
      <c r="AL536">
        <v>0</v>
      </c>
      <c r="AM536">
        <v>2</v>
      </c>
      <c r="AN536">
        <v>0</v>
      </c>
      <c r="AO536">
        <v>31.55</v>
      </c>
      <c r="AP536">
        <v>2</v>
      </c>
      <c r="AQ536">
        <v>0</v>
      </c>
      <c r="AR536">
        <v>70.2</v>
      </c>
      <c r="AS536">
        <v>126.2</v>
      </c>
    </row>
    <row r="537" spans="1:45" x14ac:dyDescent="0.25">
      <c r="A537" t="s">
        <v>1283</v>
      </c>
      <c r="B537" t="s">
        <v>1284</v>
      </c>
      <c r="C537" t="s">
        <v>147</v>
      </c>
      <c r="D537" t="s">
        <v>1255</v>
      </c>
      <c r="E537" t="s">
        <v>120</v>
      </c>
      <c r="F537" t="s">
        <v>326</v>
      </c>
      <c r="G537" t="s">
        <v>120</v>
      </c>
      <c r="H537" t="s">
        <v>120</v>
      </c>
      <c r="I537" t="s">
        <v>120</v>
      </c>
      <c r="J537" t="s">
        <v>120</v>
      </c>
      <c r="K537" t="s">
        <v>120</v>
      </c>
      <c r="L537" t="s">
        <v>120</v>
      </c>
      <c r="M537" t="s">
        <v>120</v>
      </c>
      <c r="N537" t="s">
        <v>120</v>
      </c>
      <c r="O537" t="s">
        <v>120</v>
      </c>
      <c r="P537" t="s">
        <v>120</v>
      </c>
      <c r="Q537" t="s">
        <v>120</v>
      </c>
      <c r="R537" t="s">
        <v>120</v>
      </c>
      <c r="S537" t="s">
        <v>120</v>
      </c>
      <c r="T537" t="s">
        <v>120</v>
      </c>
      <c r="U537" t="s">
        <v>120</v>
      </c>
      <c r="V537" t="s">
        <v>120</v>
      </c>
      <c r="W537" t="s">
        <v>120</v>
      </c>
      <c r="X537" t="s">
        <v>120</v>
      </c>
      <c r="Y537" t="s">
        <v>120</v>
      </c>
      <c r="Z537" t="s">
        <v>120</v>
      </c>
      <c r="AA537" t="s">
        <v>120</v>
      </c>
      <c r="AB537" t="s">
        <v>120</v>
      </c>
      <c r="AC537" t="s">
        <v>120</v>
      </c>
      <c r="AD537" t="s">
        <v>120</v>
      </c>
      <c r="AE537" t="s">
        <v>120</v>
      </c>
      <c r="AF537" t="s">
        <v>120</v>
      </c>
      <c r="AG537" t="s">
        <v>120</v>
      </c>
      <c r="AH537" t="s">
        <v>120</v>
      </c>
      <c r="AJ537">
        <v>0</v>
      </c>
      <c r="AK537">
        <v>2</v>
      </c>
      <c r="AL537">
        <v>0</v>
      </c>
      <c r="AM537">
        <v>2</v>
      </c>
      <c r="AN537">
        <v>0</v>
      </c>
      <c r="AO537">
        <v>28.25</v>
      </c>
      <c r="AP537">
        <v>2</v>
      </c>
      <c r="AQ537">
        <v>0</v>
      </c>
      <c r="AR537">
        <v>70.2</v>
      </c>
      <c r="AS537">
        <v>113</v>
      </c>
    </row>
    <row r="538" spans="1:45" x14ac:dyDescent="0.25">
      <c r="A538" t="s">
        <v>1285</v>
      </c>
      <c r="B538" t="s">
        <v>1286</v>
      </c>
      <c r="C538" t="s">
        <v>147</v>
      </c>
      <c r="D538" t="s">
        <v>1255</v>
      </c>
      <c r="E538" t="s">
        <v>120</v>
      </c>
      <c r="F538" t="s">
        <v>326</v>
      </c>
      <c r="G538" t="s">
        <v>120</v>
      </c>
      <c r="H538" t="s">
        <v>120</v>
      </c>
      <c r="I538" t="s">
        <v>120</v>
      </c>
      <c r="J538" t="s">
        <v>120</v>
      </c>
      <c r="K538" t="s">
        <v>120</v>
      </c>
      <c r="L538" t="s">
        <v>120</v>
      </c>
      <c r="M538" t="s">
        <v>120</v>
      </c>
      <c r="N538" t="s">
        <v>120</v>
      </c>
      <c r="O538" t="s">
        <v>120</v>
      </c>
      <c r="P538" t="s">
        <v>120</v>
      </c>
      <c r="Q538" t="s">
        <v>120</v>
      </c>
      <c r="R538" t="s">
        <v>120</v>
      </c>
      <c r="S538" t="s">
        <v>120</v>
      </c>
      <c r="T538" t="s">
        <v>120</v>
      </c>
      <c r="U538" t="s">
        <v>120</v>
      </c>
      <c r="V538" t="s">
        <v>120</v>
      </c>
      <c r="W538" t="s">
        <v>120</v>
      </c>
      <c r="X538" t="s">
        <v>120</v>
      </c>
      <c r="Y538" t="s">
        <v>120</v>
      </c>
      <c r="Z538" t="s">
        <v>120</v>
      </c>
      <c r="AA538" t="s">
        <v>120</v>
      </c>
      <c r="AB538" t="s">
        <v>120</v>
      </c>
      <c r="AC538" t="s">
        <v>120</v>
      </c>
      <c r="AD538" t="s">
        <v>120</v>
      </c>
      <c r="AE538" t="s">
        <v>120</v>
      </c>
      <c r="AF538" t="s">
        <v>120</v>
      </c>
      <c r="AG538" t="s">
        <v>120</v>
      </c>
      <c r="AH538" t="s">
        <v>120</v>
      </c>
      <c r="AJ538">
        <v>0</v>
      </c>
      <c r="AK538">
        <v>2</v>
      </c>
      <c r="AL538">
        <v>0</v>
      </c>
      <c r="AM538">
        <v>2</v>
      </c>
      <c r="AN538">
        <v>0</v>
      </c>
      <c r="AO538">
        <v>31.55</v>
      </c>
      <c r="AP538">
        <v>2</v>
      </c>
      <c r="AQ538">
        <v>0</v>
      </c>
      <c r="AR538">
        <v>70.2</v>
      </c>
      <c r="AS538">
        <v>126.2</v>
      </c>
    </row>
    <row r="539" spans="1:45" x14ac:dyDescent="0.25">
      <c r="A539" t="s">
        <v>1287</v>
      </c>
      <c r="B539" t="s">
        <v>1288</v>
      </c>
      <c r="C539" t="s">
        <v>147</v>
      </c>
      <c r="D539" t="s">
        <v>1255</v>
      </c>
      <c r="E539" t="s">
        <v>120</v>
      </c>
      <c r="F539" t="s">
        <v>326</v>
      </c>
      <c r="G539" t="s">
        <v>120</v>
      </c>
      <c r="H539" t="s">
        <v>120</v>
      </c>
      <c r="I539" t="s">
        <v>120</v>
      </c>
      <c r="J539" t="s">
        <v>120</v>
      </c>
      <c r="K539" t="s">
        <v>120</v>
      </c>
      <c r="L539" t="s">
        <v>120</v>
      </c>
      <c r="M539" t="s">
        <v>120</v>
      </c>
      <c r="N539" t="s">
        <v>120</v>
      </c>
      <c r="O539" t="s">
        <v>120</v>
      </c>
      <c r="P539" t="s">
        <v>120</v>
      </c>
      <c r="Q539" t="s">
        <v>120</v>
      </c>
      <c r="R539" t="s">
        <v>120</v>
      </c>
      <c r="S539" t="s">
        <v>120</v>
      </c>
      <c r="T539" t="s">
        <v>120</v>
      </c>
      <c r="U539" t="s">
        <v>120</v>
      </c>
      <c r="V539" t="s">
        <v>120</v>
      </c>
      <c r="W539" t="s">
        <v>120</v>
      </c>
      <c r="X539" t="s">
        <v>120</v>
      </c>
      <c r="Y539" t="s">
        <v>120</v>
      </c>
      <c r="Z539" t="s">
        <v>120</v>
      </c>
      <c r="AA539" t="s">
        <v>120</v>
      </c>
      <c r="AB539" t="s">
        <v>120</v>
      </c>
      <c r="AC539" t="s">
        <v>120</v>
      </c>
      <c r="AD539" t="s">
        <v>120</v>
      </c>
      <c r="AE539" t="s">
        <v>120</v>
      </c>
      <c r="AF539" t="s">
        <v>120</v>
      </c>
      <c r="AG539" t="s">
        <v>120</v>
      </c>
      <c r="AH539" t="s">
        <v>120</v>
      </c>
      <c r="AJ539">
        <v>0</v>
      </c>
      <c r="AK539">
        <v>2</v>
      </c>
      <c r="AL539">
        <v>0</v>
      </c>
      <c r="AM539">
        <v>2</v>
      </c>
      <c r="AN539">
        <v>0</v>
      </c>
      <c r="AO539">
        <v>31.55</v>
      </c>
      <c r="AP539">
        <v>2</v>
      </c>
      <c r="AQ539">
        <v>0</v>
      </c>
      <c r="AR539">
        <v>70.2</v>
      </c>
      <c r="AS539">
        <v>126.2</v>
      </c>
    </row>
    <row r="540" spans="1:45" x14ac:dyDescent="0.25">
      <c r="A540" t="s">
        <v>1289</v>
      </c>
      <c r="B540" t="s">
        <v>1290</v>
      </c>
      <c r="C540" t="s">
        <v>127</v>
      </c>
      <c r="D540" t="s">
        <v>1255</v>
      </c>
      <c r="E540" t="s">
        <v>120</v>
      </c>
      <c r="F540" t="s">
        <v>326</v>
      </c>
      <c r="G540" t="s">
        <v>120</v>
      </c>
      <c r="H540" t="s">
        <v>120</v>
      </c>
      <c r="I540" t="s">
        <v>120</v>
      </c>
      <c r="J540" t="s">
        <v>120</v>
      </c>
      <c r="K540" t="s">
        <v>120</v>
      </c>
      <c r="L540" t="s">
        <v>285</v>
      </c>
      <c r="M540" t="s">
        <v>120</v>
      </c>
      <c r="N540" t="s">
        <v>120</v>
      </c>
      <c r="O540" t="s">
        <v>120</v>
      </c>
      <c r="P540" t="s">
        <v>120</v>
      </c>
      <c r="Q540" t="s">
        <v>120</v>
      </c>
      <c r="R540" t="s">
        <v>120</v>
      </c>
      <c r="S540" t="s">
        <v>120</v>
      </c>
      <c r="T540" t="s">
        <v>120</v>
      </c>
      <c r="U540" t="s">
        <v>120</v>
      </c>
      <c r="V540" t="s">
        <v>120</v>
      </c>
      <c r="W540" t="s">
        <v>120</v>
      </c>
      <c r="X540" t="s">
        <v>120</v>
      </c>
      <c r="Y540" t="s">
        <v>120</v>
      </c>
      <c r="Z540" t="s">
        <v>120</v>
      </c>
      <c r="AA540" t="s">
        <v>120</v>
      </c>
      <c r="AB540" t="s">
        <v>120</v>
      </c>
      <c r="AC540" t="s">
        <v>120</v>
      </c>
      <c r="AD540" t="s">
        <v>120</v>
      </c>
      <c r="AE540" t="s">
        <v>120</v>
      </c>
      <c r="AF540" t="s">
        <v>120</v>
      </c>
      <c r="AG540" t="s">
        <v>120</v>
      </c>
      <c r="AH540" t="s">
        <v>120</v>
      </c>
      <c r="AJ540">
        <v>0</v>
      </c>
      <c r="AK540">
        <v>9</v>
      </c>
      <c r="AL540">
        <v>0</v>
      </c>
      <c r="AM540">
        <v>2</v>
      </c>
      <c r="AN540">
        <v>7</v>
      </c>
      <c r="AO540">
        <v>33.43</v>
      </c>
      <c r="AP540">
        <v>2</v>
      </c>
      <c r="AQ540">
        <v>525.42000000000007</v>
      </c>
      <c r="AR540">
        <v>75.06</v>
      </c>
      <c r="AS540">
        <v>133.72</v>
      </c>
    </row>
    <row r="541" spans="1:45" x14ac:dyDescent="0.25">
      <c r="A541" t="s">
        <v>1291</v>
      </c>
      <c r="B541" t="s">
        <v>1292</v>
      </c>
      <c r="C541" t="s">
        <v>147</v>
      </c>
      <c r="D541" t="s">
        <v>1255</v>
      </c>
      <c r="E541" t="s">
        <v>120</v>
      </c>
      <c r="F541" t="s">
        <v>326</v>
      </c>
      <c r="G541" t="s">
        <v>120</v>
      </c>
      <c r="H541" t="s">
        <v>120</v>
      </c>
      <c r="I541" t="s">
        <v>120</v>
      </c>
      <c r="J541" t="s">
        <v>120</v>
      </c>
      <c r="K541" t="s">
        <v>120</v>
      </c>
      <c r="L541" t="s">
        <v>120</v>
      </c>
      <c r="M541" t="s">
        <v>120</v>
      </c>
      <c r="N541" t="s">
        <v>120</v>
      </c>
      <c r="O541" t="s">
        <v>120</v>
      </c>
      <c r="P541" t="s">
        <v>120</v>
      </c>
      <c r="Q541" t="s">
        <v>120</v>
      </c>
      <c r="R541" t="s">
        <v>120</v>
      </c>
      <c r="S541" t="s">
        <v>120</v>
      </c>
      <c r="T541" t="s">
        <v>120</v>
      </c>
      <c r="U541" t="s">
        <v>120</v>
      </c>
      <c r="V541" t="s">
        <v>120</v>
      </c>
      <c r="W541" t="s">
        <v>120</v>
      </c>
      <c r="X541" t="s">
        <v>120</v>
      </c>
      <c r="Y541" t="s">
        <v>120</v>
      </c>
      <c r="Z541" t="s">
        <v>120</v>
      </c>
      <c r="AA541" t="s">
        <v>120</v>
      </c>
      <c r="AB541" t="s">
        <v>120</v>
      </c>
      <c r="AC541" t="s">
        <v>120</v>
      </c>
      <c r="AD541" t="s">
        <v>120</v>
      </c>
      <c r="AE541" t="s">
        <v>120</v>
      </c>
      <c r="AF541" t="s">
        <v>120</v>
      </c>
      <c r="AG541" t="s">
        <v>120</v>
      </c>
      <c r="AH541" t="s">
        <v>120</v>
      </c>
      <c r="AJ541">
        <v>0</v>
      </c>
      <c r="AK541">
        <v>2</v>
      </c>
      <c r="AL541">
        <v>0</v>
      </c>
      <c r="AM541">
        <v>2</v>
      </c>
      <c r="AN541">
        <v>0</v>
      </c>
      <c r="AO541">
        <v>31.55</v>
      </c>
      <c r="AP541">
        <v>2</v>
      </c>
      <c r="AQ541">
        <v>0</v>
      </c>
      <c r="AR541">
        <v>70.2</v>
      </c>
      <c r="AS541">
        <v>126.2</v>
      </c>
    </row>
    <row r="542" spans="1:45" x14ac:dyDescent="0.25">
      <c r="A542" t="s">
        <v>1293</v>
      </c>
      <c r="B542" t="s">
        <v>1294</v>
      </c>
      <c r="C542" t="s">
        <v>147</v>
      </c>
      <c r="D542" t="s">
        <v>1255</v>
      </c>
      <c r="E542" t="s">
        <v>120</v>
      </c>
      <c r="F542" t="s">
        <v>326</v>
      </c>
      <c r="G542" t="s">
        <v>120</v>
      </c>
      <c r="H542" t="s">
        <v>120</v>
      </c>
      <c r="I542" t="s">
        <v>120</v>
      </c>
      <c r="J542" t="s">
        <v>120</v>
      </c>
      <c r="K542" t="s">
        <v>120</v>
      </c>
      <c r="L542" t="s">
        <v>120</v>
      </c>
      <c r="M542" t="s">
        <v>120</v>
      </c>
      <c r="N542" t="s">
        <v>120</v>
      </c>
      <c r="O542" t="s">
        <v>120</v>
      </c>
      <c r="P542" t="s">
        <v>120</v>
      </c>
      <c r="Q542" t="s">
        <v>120</v>
      </c>
      <c r="R542" t="s">
        <v>120</v>
      </c>
      <c r="S542" t="s">
        <v>120</v>
      </c>
      <c r="T542" t="s">
        <v>120</v>
      </c>
      <c r="U542" t="s">
        <v>120</v>
      </c>
      <c r="V542" t="s">
        <v>120</v>
      </c>
      <c r="W542" t="s">
        <v>120</v>
      </c>
      <c r="X542" t="s">
        <v>120</v>
      </c>
      <c r="Y542" t="s">
        <v>120</v>
      </c>
      <c r="Z542" t="s">
        <v>120</v>
      </c>
      <c r="AA542" t="s">
        <v>120</v>
      </c>
      <c r="AB542" t="s">
        <v>120</v>
      </c>
      <c r="AC542" t="s">
        <v>120</v>
      </c>
      <c r="AD542" t="s">
        <v>120</v>
      </c>
      <c r="AE542" t="s">
        <v>120</v>
      </c>
      <c r="AF542" t="s">
        <v>120</v>
      </c>
      <c r="AG542" t="s">
        <v>120</v>
      </c>
      <c r="AH542" t="s">
        <v>120</v>
      </c>
      <c r="AJ542">
        <v>0</v>
      </c>
      <c r="AK542">
        <v>2</v>
      </c>
      <c r="AL542">
        <v>0</v>
      </c>
      <c r="AM542">
        <v>2</v>
      </c>
      <c r="AN542">
        <v>0</v>
      </c>
      <c r="AO542">
        <v>31.55</v>
      </c>
      <c r="AP542">
        <v>2</v>
      </c>
      <c r="AQ542">
        <v>0</v>
      </c>
      <c r="AR542">
        <v>70.2</v>
      </c>
      <c r="AS542">
        <v>126.2</v>
      </c>
    </row>
    <row r="543" spans="1:45" x14ac:dyDescent="0.25">
      <c r="A543" t="s">
        <v>1295</v>
      </c>
      <c r="B543" t="s">
        <v>1296</v>
      </c>
      <c r="C543" t="s">
        <v>147</v>
      </c>
      <c r="D543" t="s">
        <v>1255</v>
      </c>
      <c r="E543" t="s">
        <v>120</v>
      </c>
      <c r="F543" t="s">
        <v>326</v>
      </c>
      <c r="G543" t="s">
        <v>120</v>
      </c>
      <c r="H543" t="s">
        <v>120</v>
      </c>
      <c r="I543" t="s">
        <v>120</v>
      </c>
      <c r="J543" t="s">
        <v>120</v>
      </c>
      <c r="K543" t="s">
        <v>120</v>
      </c>
      <c r="L543" t="s">
        <v>120</v>
      </c>
      <c r="M543" t="s">
        <v>120</v>
      </c>
      <c r="N543" t="s">
        <v>120</v>
      </c>
      <c r="O543" t="s">
        <v>120</v>
      </c>
      <c r="P543" t="s">
        <v>120</v>
      </c>
      <c r="Q543" t="s">
        <v>120</v>
      </c>
      <c r="R543" t="s">
        <v>120</v>
      </c>
      <c r="S543" t="s">
        <v>120</v>
      </c>
      <c r="T543" t="s">
        <v>120</v>
      </c>
      <c r="U543" t="s">
        <v>120</v>
      </c>
      <c r="V543" t="s">
        <v>120</v>
      </c>
      <c r="W543" t="s">
        <v>120</v>
      </c>
      <c r="X543" t="s">
        <v>120</v>
      </c>
      <c r="Y543" t="s">
        <v>120</v>
      </c>
      <c r="Z543" t="s">
        <v>120</v>
      </c>
      <c r="AA543" t="s">
        <v>120</v>
      </c>
      <c r="AB543" t="s">
        <v>120</v>
      </c>
      <c r="AC543" t="s">
        <v>120</v>
      </c>
      <c r="AD543" t="s">
        <v>120</v>
      </c>
      <c r="AE543" t="s">
        <v>120</v>
      </c>
      <c r="AF543" t="s">
        <v>120</v>
      </c>
      <c r="AG543" t="s">
        <v>120</v>
      </c>
      <c r="AH543" t="s">
        <v>120</v>
      </c>
      <c r="AJ543">
        <v>0</v>
      </c>
      <c r="AK543">
        <v>2</v>
      </c>
      <c r="AL543">
        <v>0</v>
      </c>
      <c r="AM543">
        <v>2</v>
      </c>
      <c r="AN543">
        <v>0</v>
      </c>
      <c r="AO543">
        <v>31.55</v>
      </c>
      <c r="AP543">
        <v>2</v>
      </c>
      <c r="AQ543">
        <v>0</v>
      </c>
      <c r="AR543">
        <v>70.2</v>
      </c>
      <c r="AS543">
        <v>126.2</v>
      </c>
    </row>
    <row r="544" spans="1:45" x14ac:dyDescent="0.25">
      <c r="A544" t="s">
        <v>1297</v>
      </c>
      <c r="B544" t="s">
        <v>1298</v>
      </c>
      <c r="C544" t="s">
        <v>147</v>
      </c>
      <c r="D544" t="s">
        <v>1255</v>
      </c>
      <c r="E544" t="s">
        <v>120</v>
      </c>
      <c r="F544" t="s">
        <v>326</v>
      </c>
      <c r="G544" t="s">
        <v>120</v>
      </c>
      <c r="H544" t="s">
        <v>120</v>
      </c>
      <c r="I544" t="s">
        <v>120</v>
      </c>
      <c r="J544" t="s">
        <v>120</v>
      </c>
      <c r="K544" t="s">
        <v>120</v>
      </c>
      <c r="L544" t="s">
        <v>120</v>
      </c>
      <c r="M544" t="s">
        <v>120</v>
      </c>
      <c r="N544" t="s">
        <v>120</v>
      </c>
      <c r="O544" t="s">
        <v>120</v>
      </c>
      <c r="P544" t="s">
        <v>120</v>
      </c>
      <c r="Q544" t="s">
        <v>120</v>
      </c>
      <c r="R544" t="s">
        <v>120</v>
      </c>
      <c r="S544" t="s">
        <v>120</v>
      </c>
      <c r="T544" t="s">
        <v>120</v>
      </c>
      <c r="U544" t="s">
        <v>120</v>
      </c>
      <c r="V544" t="s">
        <v>120</v>
      </c>
      <c r="W544" t="s">
        <v>120</v>
      </c>
      <c r="X544" t="s">
        <v>120</v>
      </c>
      <c r="Y544" t="s">
        <v>120</v>
      </c>
      <c r="Z544" t="s">
        <v>120</v>
      </c>
      <c r="AA544" t="s">
        <v>120</v>
      </c>
      <c r="AB544" t="s">
        <v>120</v>
      </c>
      <c r="AC544" t="s">
        <v>120</v>
      </c>
      <c r="AD544" t="s">
        <v>120</v>
      </c>
      <c r="AE544" t="s">
        <v>120</v>
      </c>
      <c r="AF544" t="s">
        <v>120</v>
      </c>
      <c r="AG544" t="s">
        <v>120</v>
      </c>
      <c r="AH544" t="s">
        <v>120</v>
      </c>
      <c r="AJ544">
        <v>0</v>
      </c>
      <c r="AK544">
        <v>2</v>
      </c>
      <c r="AL544">
        <v>0</v>
      </c>
      <c r="AM544">
        <v>2</v>
      </c>
      <c r="AN544">
        <v>0</v>
      </c>
      <c r="AO544">
        <v>31.55</v>
      </c>
      <c r="AP544">
        <v>2</v>
      </c>
      <c r="AQ544">
        <v>0</v>
      </c>
      <c r="AR544">
        <v>70.2</v>
      </c>
      <c r="AS544">
        <v>126.2</v>
      </c>
    </row>
    <row r="545" spans="1:45" x14ac:dyDescent="0.25">
      <c r="A545" t="s">
        <v>1299</v>
      </c>
      <c r="B545" t="s">
        <v>1300</v>
      </c>
      <c r="C545" t="s">
        <v>147</v>
      </c>
      <c r="D545" t="s">
        <v>1255</v>
      </c>
      <c r="E545" t="s">
        <v>120</v>
      </c>
      <c r="F545" t="s">
        <v>326</v>
      </c>
      <c r="G545" t="s">
        <v>120</v>
      </c>
      <c r="H545" t="s">
        <v>120</v>
      </c>
      <c r="I545" t="s">
        <v>120</v>
      </c>
      <c r="J545" t="s">
        <v>120</v>
      </c>
      <c r="K545" t="s">
        <v>120</v>
      </c>
      <c r="L545" t="s">
        <v>120</v>
      </c>
      <c r="M545" t="s">
        <v>120</v>
      </c>
      <c r="N545" t="s">
        <v>120</v>
      </c>
      <c r="O545" t="s">
        <v>120</v>
      </c>
      <c r="P545" t="s">
        <v>120</v>
      </c>
      <c r="Q545" t="s">
        <v>120</v>
      </c>
      <c r="R545" t="s">
        <v>120</v>
      </c>
      <c r="S545" t="s">
        <v>120</v>
      </c>
      <c r="T545" t="s">
        <v>120</v>
      </c>
      <c r="U545" t="s">
        <v>120</v>
      </c>
      <c r="V545" t="s">
        <v>120</v>
      </c>
      <c r="W545" t="s">
        <v>120</v>
      </c>
      <c r="X545" t="s">
        <v>120</v>
      </c>
      <c r="Y545" t="s">
        <v>120</v>
      </c>
      <c r="Z545" t="s">
        <v>120</v>
      </c>
      <c r="AA545" t="s">
        <v>120</v>
      </c>
      <c r="AB545" t="s">
        <v>120</v>
      </c>
      <c r="AC545" t="s">
        <v>120</v>
      </c>
      <c r="AD545" t="s">
        <v>120</v>
      </c>
      <c r="AE545" t="s">
        <v>120</v>
      </c>
      <c r="AF545" t="s">
        <v>120</v>
      </c>
      <c r="AG545" t="s">
        <v>120</v>
      </c>
      <c r="AH545" t="s">
        <v>120</v>
      </c>
      <c r="AJ545">
        <v>0</v>
      </c>
      <c r="AK545">
        <v>2</v>
      </c>
      <c r="AL545">
        <v>0</v>
      </c>
      <c r="AM545">
        <v>2</v>
      </c>
      <c r="AN545">
        <v>0</v>
      </c>
      <c r="AO545">
        <v>31.55</v>
      </c>
      <c r="AP545">
        <v>2</v>
      </c>
      <c r="AQ545">
        <v>0</v>
      </c>
      <c r="AR545">
        <v>70.2</v>
      </c>
      <c r="AS545">
        <v>126.2</v>
      </c>
    </row>
    <row r="546" spans="1:45" x14ac:dyDescent="0.25">
      <c r="A546" t="s">
        <v>1301</v>
      </c>
      <c r="B546" t="s">
        <v>1302</v>
      </c>
      <c r="C546" t="s">
        <v>147</v>
      </c>
      <c r="D546" t="s">
        <v>1255</v>
      </c>
      <c r="E546" t="s">
        <v>120</v>
      </c>
      <c r="F546" t="s">
        <v>326</v>
      </c>
      <c r="G546" t="s">
        <v>120</v>
      </c>
      <c r="H546" t="s">
        <v>120</v>
      </c>
      <c r="I546" t="s">
        <v>120</v>
      </c>
      <c r="J546" t="s">
        <v>120</v>
      </c>
      <c r="K546" t="s">
        <v>120</v>
      </c>
      <c r="L546" t="s">
        <v>120</v>
      </c>
      <c r="M546" t="s">
        <v>120</v>
      </c>
      <c r="N546" t="s">
        <v>120</v>
      </c>
      <c r="O546" t="s">
        <v>120</v>
      </c>
      <c r="P546" t="s">
        <v>120</v>
      </c>
      <c r="Q546" t="s">
        <v>120</v>
      </c>
      <c r="R546" t="s">
        <v>120</v>
      </c>
      <c r="S546" t="s">
        <v>120</v>
      </c>
      <c r="T546" t="s">
        <v>120</v>
      </c>
      <c r="U546" t="s">
        <v>120</v>
      </c>
      <c r="V546" t="s">
        <v>120</v>
      </c>
      <c r="W546" t="s">
        <v>120</v>
      </c>
      <c r="X546" t="s">
        <v>120</v>
      </c>
      <c r="Y546" t="s">
        <v>120</v>
      </c>
      <c r="Z546" t="s">
        <v>120</v>
      </c>
      <c r="AA546" t="s">
        <v>120</v>
      </c>
      <c r="AB546" t="s">
        <v>120</v>
      </c>
      <c r="AC546" t="s">
        <v>120</v>
      </c>
      <c r="AD546" t="s">
        <v>120</v>
      </c>
      <c r="AE546" t="s">
        <v>120</v>
      </c>
      <c r="AF546" t="s">
        <v>120</v>
      </c>
      <c r="AG546" t="s">
        <v>120</v>
      </c>
      <c r="AH546" t="s">
        <v>120</v>
      </c>
      <c r="AJ546">
        <v>0</v>
      </c>
      <c r="AK546">
        <v>2</v>
      </c>
      <c r="AL546">
        <v>0</v>
      </c>
      <c r="AM546">
        <v>2</v>
      </c>
      <c r="AN546">
        <v>0</v>
      </c>
      <c r="AO546">
        <v>31.55</v>
      </c>
      <c r="AP546">
        <v>2</v>
      </c>
      <c r="AQ546">
        <v>0</v>
      </c>
      <c r="AR546">
        <v>70.2</v>
      </c>
      <c r="AS546">
        <v>126.2</v>
      </c>
    </row>
    <row r="547" spans="1:45" x14ac:dyDescent="0.25">
      <c r="A547" t="s">
        <v>1303</v>
      </c>
      <c r="B547" t="s">
        <v>1304</v>
      </c>
      <c r="C547" t="s">
        <v>147</v>
      </c>
      <c r="D547" t="s">
        <v>1255</v>
      </c>
      <c r="E547" t="s">
        <v>120</v>
      </c>
      <c r="F547" t="s">
        <v>326</v>
      </c>
      <c r="G547" t="s">
        <v>120</v>
      </c>
      <c r="H547" t="s">
        <v>120</v>
      </c>
      <c r="I547" t="s">
        <v>120</v>
      </c>
      <c r="J547" t="s">
        <v>120</v>
      </c>
      <c r="K547" t="s">
        <v>120</v>
      </c>
      <c r="L547" t="s">
        <v>120</v>
      </c>
      <c r="M547" t="s">
        <v>120</v>
      </c>
      <c r="N547" t="s">
        <v>120</v>
      </c>
      <c r="O547" t="s">
        <v>120</v>
      </c>
      <c r="P547" t="s">
        <v>120</v>
      </c>
      <c r="Q547" t="s">
        <v>120</v>
      </c>
      <c r="R547" t="s">
        <v>120</v>
      </c>
      <c r="S547" t="s">
        <v>120</v>
      </c>
      <c r="T547" t="s">
        <v>120</v>
      </c>
      <c r="U547" t="s">
        <v>120</v>
      </c>
      <c r="V547" t="s">
        <v>120</v>
      </c>
      <c r="W547" t="s">
        <v>120</v>
      </c>
      <c r="X547" t="s">
        <v>120</v>
      </c>
      <c r="Y547" t="s">
        <v>120</v>
      </c>
      <c r="Z547" t="s">
        <v>120</v>
      </c>
      <c r="AA547" t="s">
        <v>120</v>
      </c>
      <c r="AB547" t="s">
        <v>120</v>
      </c>
      <c r="AC547" t="s">
        <v>120</v>
      </c>
      <c r="AD547" t="s">
        <v>120</v>
      </c>
      <c r="AE547" t="s">
        <v>120</v>
      </c>
      <c r="AF547" t="s">
        <v>120</v>
      </c>
      <c r="AG547" t="s">
        <v>120</v>
      </c>
      <c r="AH547" t="s">
        <v>120</v>
      </c>
      <c r="AJ547">
        <v>0</v>
      </c>
      <c r="AK547">
        <v>2</v>
      </c>
      <c r="AL547">
        <v>0</v>
      </c>
      <c r="AM547">
        <v>2</v>
      </c>
      <c r="AN547">
        <v>0</v>
      </c>
      <c r="AO547">
        <v>31.55</v>
      </c>
      <c r="AP547">
        <v>2</v>
      </c>
      <c r="AQ547">
        <v>0</v>
      </c>
      <c r="AR547">
        <v>70.2</v>
      </c>
      <c r="AS547">
        <v>126.2</v>
      </c>
    </row>
    <row r="548" spans="1:45" x14ac:dyDescent="0.25">
      <c r="A548" t="s">
        <v>1305</v>
      </c>
      <c r="B548" t="s">
        <v>1306</v>
      </c>
      <c r="C548" t="s">
        <v>147</v>
      </c>
      <c r="D548" t="s">
        <v>1255</v>
      </c>
      <c r="E548" t="s">
        <v>120</v>
      </c>
      <c r="F548" t="s">
        <v>326</v>
      </c>
      <c r="G548" t="s">
        <v>120</v>
      </c>
      <c r="H548" t="s">
        <v>120</v>
      </c>
      <c r="I548" t="s">
        <v>120</v>
      </c>
      <c r="J548" t="s">
        <v>120</v>
      </c>
      <c r="K548" t="s">
        <v>120</v>
      </c>
      <c r="L548" t="s">
        <v>120</v>
      </c>
      <c r="M548" t="s">
        <v>120</v>
      </c>
      <c r="N548" t="s">
        <v>120</v>
      </c>
      <c r="O548" t="s">
        <v>120</v>
      </c>
      <c r="P548" t="s">
        <v>120</v>
      </c>
      <c r="Q548" t="s">
        <v>120</v>
      </c>
      <c r="R548" t="s">
        <v>120</v>
      </c>
      <c r="S548" t="s">
        <v>120</v>
      </c>
      <c r="T548" t="s">
        <v>120</v>
      </c>
      <c r="U548" t="s">
        <v>120</v>
      </c>
      <c r="V548" t="s">
        <v>120</v>
      </c>
      <c r="W548" t="s">
        <v>120</v>
      </c>
      <c r="X548" t="s">
        <v>120</v>
      </c>
      <c r="Y548" t="s">
        <v>120</v>
      </c>
      <c r="Z548" t="s">
        <v>120</v>
      </c>
      <c r="AA548" t="s">
        <v>120</v>
      </c>
      <c r="AB548" t="s">
        <v>120</v>
      </c>
      <c r="AC548" t="s">
        <v>120</v>
      </c>
      <c r="AD548" t="s">
        <v>120</v>
      </c>
      <c r="AE548" t="s">
        <v>120</v>
      </c>
      <c r="AF548" t="s">
        <v>120</v>
      </c>
      <c r="AG548" t="s">
        <v>120</v>
      </c>
      <c r="AH548" t="s">
        <v>120</v>
      </c>
      <c r="AJ548">
        <v>0</v>
      </c>
      <c r="AK548">
        <v>2</v>
      </c>
      <c r="AL548">
        <v>0</v>
      </c>
      <c r="AM548">
        <v>2</v>
      </c>
      <c r="AN548">
        <v>0</v>
      </c>
      <c r="AO548">
        <v>31.55</v>
      </c>
      <c r="AP548">
        <v>2</v>
      </c>
      <c r="AQ548">
        <v>0</v>
      </c>
      <c r="AR548">
        <v>70.2</v>
      </c>
      <c r="AS548">
        <v>126.2</v>
      </c>
    </row>
    <row r="549" spans="1:45" x14ac:dyDescent="0.25">
      <c r="A549" t="s">
        <v>1307</v>
      </c>
      <c r="B549" t="s">
        <v>1308</v>
      </c>
      <c r="C549" t="s">
        <v>147</v>
      </c>
      <c r="D549" t="s">
        <v>1255</v>
      </c>
      <c r="E549" t="s">
        <v>120</v>
      </c>
      <c r="F549" t="s">
        <v>326</v>
      </c>
      <c r="G549" t="s">
        <v>120</v>
      </c>
      <c r="H549" t="s">
        <v>120</v>
      </c>
      <c r="I549" t="s">
        <v>120</v>
      </c>
      <c r="J549" t="s">
        <v>120</v>
      </c>
      <c r="K549" t="s">
        <v>120</v>
      </c>
      <c r="L549" t="s">
        <v>120</v>
      </c>
      <c r="M549" t="s">
        <v>120</v>
      </c>
      <c r="N549" t="s">
        <v>120</v>
      </c>
      <c r="O549" t="s">
        <v>120</v>
      </c>
      <c r="P549" t="s">
        <v>120</v>
      </c>
      <c r="Q549" t="s">
        <v>120</v>
      </c>
      <c r="R549" t="s">
        <v>120</v>
      </c>
      <c r="S549" t="s">
        <v>120</v>
      </c>
      <c r="T549" t="s">
        <v>120</v>
      </c>
      <c r="U549" t="s">
        <v>120</v>
      </c>
      <c r="V549" t="s">
        <v>120</v>
      </c>
      <c r="W549" t="s">
        <v>120</v>
      </c>
      <c r="X549" t="s">
        <v>120</v>
      </c>
      <c r="Y549" t="s">
        <v>120</v>
      </c>
      <c r="Z549" t="s">
        <v>120</v>
      </c>
      <c r="AA549" t="s">
        <v>120</v>
      </c>
      <c r="AB549" t="s">
        <v>120</v>
      </c>
      <c r="AC549" t="s">
        <v>120</v>
      </c>
      <c r="AD549" t="s">
        <v>120</v>
      </c>
      <c r="AE549" t="s">
        <v>120</v>
      </c>
      <c r="AF549" t="s">
        <v>120</v>
      </c>
      <c r="AG549" t="s">
        <v>120</v>
      </c>
      <c r="AH549" t="s">
        <v>120</v>
      </c>
      <c r="AJ549">
        <v>0</v>
      </c>
      <c r="AK549">
        <v>2</v>
      </c>
      <c r="AL549">
        <v>0</v>
      </c>
      <c r="AM549">
        <v>2</v>
      </c>
      <c r="AN549">
        <v>0</v>
      </c>
      <c r="AO549">
        <v>31.55</v>
      </c>
      <c r="AP549">
        <v>2</v>
      </c>
      <c r="AQ549">
        <v>0</v>
      </c>
      <c r="AR549">
        <v>70.2</v>
      </c>
      <c r="AS549">
        <v>126.2</v>
      </c>
    </row>
    <row r="550" spans="1:45" x14ac:dyDescent="0.25">
      <c r="A550" t="s">
        <v>1309</v>
      </c>
      <c r="B550" t="s">
        <v>1310</v>
      </c>
      <c r="C550" t="s">
        <v>147</v>
      </c>
      <c r="D550" t="s">
        <v>1255</v>
      </c>
      <c r="E550" t="s">
        <v>120</v>
      </c>
      <c r="F550" t="s">
        <v>120</v>
      </c>
      <c r="G550" t="s">
        <v>120</v>
      </c>
      <c r="H550" t="s">
        <v>120</v>
      </c>
      <c r="I550" t="s">
        <v>120</v>
      </c>
      <c r="J550" t="s">
        <v>120</v>
      </c>
      <c r="K550" t="s">
        <v>120</v>
      </c>
      <c r="L550" t="s">
        <v>120</v>
      </c>
      <c r="M550" t="s">
        <v>120</v>
      </c>
      <c r="N550" t="s">
        <v>120</v>
      </c>
      <c r="O550" t="s">
        <v>120</v>
      </c>
      <c r="P550" t="s">
        <v>120</v>
      </c>
      <c r="Q550" t="s">
        <v>120</v>
      </c>
      <c r="R550" t="s">
        <v>120</v>
      </c>
      <c r="S550" t="s">
        <v>120</v>
      </c>
      <c r="T550" t="s">
        <v>120</v>
      </c>
      <c r="U550" t="s">
        <v>120</v>
      </c>
      <c r="V550" t="s">
        <v>120</v>
      </c>
      <c r="W550" t="s">
        <v>120</v>
      </c>
      <c r="X550" t="s">
        <v>120</v>
      </c>
      <c r="Y550" t="s">
        <v>120</v>
      </c>
      <c r="Z550" t="s">
        <v>120</v>
      </c>
      <c r="AA550" t="s">
        <v>120</v>
      </c>
      <c r="AB550" t="s">
        <v>120</v>
      </c>
      <c r="AC550" t="s">
        <v>120</v>
      </c>
      <c r="AD550" t="s">
        <v>120</v>
      </c>
      <c r="AE550" t="s">
        <v>120</v>
      </c>
      <c r="AF550" t="s">
        <v>120</v>
      </c>
      <c r="AG550" t="s">
        <v>120</v>
      </c>
      <c r="AH550" t="s">
        <v>120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31.55</v>
      </c>
      <c r="AP550">
        <v>0</v>
      </c>
      <c r="AQ550">
        <v>0</v>
      </c>
      <c r="AR550">
        <v>70.2</v>
      </c>
      <c r="AS550">
        <v>0</v>
      </c>
    </row>
    <row r="551" spans="1:45" x14ac:dyDescent="0.25">
      <c r="A551" t="s">
        <v>1311</v>
      </c>
      <c r="B551" t="s">
        <v>1312</v>
      </c>
      <c r="C551" t="s">
        <v>127</v>
      </c>
      <c r="D551" t="s">
        <v>1313</v>
      </c>
      <c r="E551" t="s">
        <v>120</v>
      </c>
      <c r="F551" t="s">
        <v>120</v>
      </c>
      <c r="G551" t="s">
        <v>120</v>
      </c>
      <c r="H551" t="s">
        <v>120</v>
      </c>
      <c r="I551" t="s">
        <v>120</v>
      </c>
      <c r="J551" t="s">
        <v>120</v>
      </c>
      <c r="K551" t="s">
        <v>120</v>
      </c>
      <c r="L551" t="s">
        <v>120</v>
      </c>
      <c r="M551" t="s">
        <v>120</v>
      </c>
      <c r="N551" t="s">
        <v>120</v>
      </c>
      <c r="O551" t="s">
        <v>120</v>
      </c>
      <c r="P551" t="s">
        <v>120</v>
      </c>
      <c r="Q551" t="s">
        <v>120</v>
      </c>
      <c r="R551" t="s">
        <v>120</v>
      </c>
      <c r="S551" t="s">
        <v>120</v>
      </c>
      <c r="T551" t="s">
        <v>120</v>
      </c>
      <c r="U551" t="s">
        <v>120</v>
      </c>
      <c r="V551" t="s">
        <v>120</v>
      </c>
      <c r="W551" t="s">
        <v>120</v>
      </c>
      <c r="X551" t="s">
        <v>120</v>
      </c>
      <c r="Y551" t="s">
        <v>120</v>
      </c>
      <c r="Z551" t="s">
        <v>120</v>
      </c>
      <c r="AA551" t="s">
        <v>120</v>
      </c>
      <c r="AB551" t="s">
        <v>120</v>
      </c>
      <c r="AC551" t="s">
        <v>120</v>
      </c>
      <c r="AD551" t="s">
        <v>120</v>
      </c>
      <c r="AE551" t="s">
        <v>120</v>
      </c>
      <c r="AF551" t="s">
        <v>120</v>
      </c>
      <c r="AG551" t="s">
        <v>120</v>
      </c>
      <c r="AH551" t="s">
        <v>120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33.43</v>
      </c>
      <c r="AP551">
        <v>0</v>
      </c>
      <c r="AQ551">
        <v>0</v>
      </c>
      <c r="AR551">
        <v>75.06</v>
      </c>
      <c r="AS551">
        <v>0</v>
      </c>
    </row>
    <row r="552" spans="1:45" x14ac:dyDescent="0.25">
      <c r="A552" t="s">
        <v>1314</v>
      </c>
      <c r="B552" t="s">
        <v>1315</v>
      </c>
      <c r="C552" t="s">
        <v>147</v>
      </c>
      <c r="D552" t="s">
        <v>1313</v>
      </c>
      <c r="E552" t="s">
        <v>120</v>
      </c>
      <c r="F552" t="s">
        <v>120</v>
      </c>
      <c r="G552" t="s">
        <v>120</v>
      </c>
      <c r="H552" t="s">
        <v>120</v>
      </c>
      <c r="I552" t="s">
        <v>120</v>
      </c>
      <c r="J552" t="s">
        <v>120</v>
      </c>
      <c r="K552" t="s">
        <v>120</v>
      </c>
      <c r="L552" t="s">
        <v>135</v>
      </c>
      <c r="M552" t="s">
        <v>120</v>
      </c>
      <c r="N552" t="s">
        <v>120</v>
      </c>
      <c r="O552" t="s">
        <v>120</v>
      </c>
      <c r="P552" t="s">
        <v>120</v>
      </c>
      <c r="Q552" t="s">
        <v>120</v>
      </c>
      <c r="R552" t="s">
        <v>120</v>
      </c>
      <c r="S552" t="s">
        <v>120</v>
      </c>
      <c r="T552" t="s">
        <v>120</v>
      </c>
      <c r="U552" t="s">
        <v>120</v>
      </c>
      <c r="V552" t="s">
        <v>120</v>
      </c>
      <c r="W552" t="s">
        <v>120</v>
      </c>
      <c r="X552" t="s">
        <v>124</v>
      </c>
      <c r="Y552" t="s">
        <v>141</v>
      </c>
      <c r="Z552" t="s">
        <v>120</v>
      </c>
      <c r="AA552" t="s">
        <v>120</v>
      </c>
      <c r="AB552" t="s">
        <v>120</v>
      </c>
      <c r="AC552" t="s">
        <v>120</v>
      </c>
      <c r="AD552" t="s">
        <v>120</v>
      </c>
      <c r="AE552" t="s">
        <v>120</v>
      </c>
      <c r="AF552" t="s">
        <v>120</v>
      </c>
      <c r="AG552" t="s">
        <v>120</v>
      </c>
      <c r="AH552" t="s">
        <v>120</v>
      </c>
      <c r="AJ552">
        <v>0</v>
      </c>
      <c r="AK552">
        <v>20</v>
      </c>
      <c r="AL552">
        <v>8</v>
      </c>
      <c r="AM552">
        <v>12</v>
      </c>
      <c r="AN552">
        <v>0</v>
      </c>
      <c r="AO552">
        <v>31.55</v>
      </c>
      <c r="AP552">
        <v>20</v>
      </c>
      <c r="AQ552">
        <v>0</v>
      </c>
      <c r="AR552">
        <v>70.2</v>
      </c>
      <c r="AS552">
        <v>1262</v>
      </c>
    </row>
    <row r="553" spans="1:45" x14ac:dyDescent="0.25">
      <c r="A553" t="s">
        <v>1316</v>
      </c>
      <c r="B553" t="s">
        <v>1317</v>
      </c>
      <c r="C553" t="s">
        <v>147</v>
      </c>
      <c r="D553" t="s">
        <v>1313</v>
      </c>
      <c r="E553" t="s">
        <v>120</v>
      </c>
      <c r="F553" t="s">
        <v>120</v>
      </c>
      <c r="G553" t="s">
        <v>120</v>
      </c>
      <c r="H553" t="s">
        <v>120</v>
      </c>
      <c r="I553" t="s">
        <v>120</v>
      </c>
      <c r="J553" t="s">
        <v>120</v>
      </c>
      <c r="K553" t="s">
        <v>120</v>
      </c>
      <c r="L553" t="s">
        <v>120</v>
      </c>
      <c r="M553" t="s">
        <v>120</v>
      </c>
      <c r="N553" t="s">
        <v>120</v>
      </c>
      <c r="O553" t="s">
        <v>120</v>
      </c>
      <c r="P553" t="s">
        <v>120</v>
      </c>
      <c r="Q553" t="s">
        <v>120</v>
      </c>
      <c r="R553" t="s">
        <v>120</v>
      </c>
      <c r="S553" t="s">
        <v>120</v>
      </c>
      <c r="T553" t="s">
        <v>120</v>
      </c>
      <c r="U553" t="s">
        <v>120</v>
      </c>
      <c r="V553" t="s">
        <v>120</v>
      </c>
      <c r="W553" t="s">
        <v>120</v>
      </c>
      <c r="X553" t="s">
        <v>120</v>
      </c>
      <c r="Y553" t="s">
        <v>120</v>
      </c>
      <c r="Z553" t="s">
        <v>120</v>
      </c>
      <c r="AA553" t="s">
        <v>120</v>
      </c>
      <c r="AB553" t="s">
        <v>120</v>
      </c>
      <c r="AC553" t="s">
        <v>120</v>
      </c>
      <c r="AD553" t="s">
        <v>120</v>
      </c>
      <c r="AE553" t="s">
        <v>120</v>
      </c>
      <c r="AF553" t="s">
        <v>120</v>
      </c>
      <c r="AG553" t="s">
        <v>120</v>
      </c>
      <c r="AH553" t="s">
        <v>120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28.25</v>
      </c>
      <c r="AP553">
        <v>0</v>
      </c>
      <c r="AQ553">
        <v>0</v>
      </c>
      <c r="AR553">
        <v>70.2</v>
      </c>
      <c r="AS553">
        <v>0</v>
      </c>
    </row>
    <row r="554" spans="1:45" x14ac:dyDescent="0.25">
      <c r="A554" t="s">
        <v>1318</v>
      </c>
      <c r="B554" t="s">
        <v>1319</v>
      </c>
      <c r="C554" t="s">
        <v>147</v>
      </c>
      <c r="D554" t="s">
        <v>1313</v>
      </c>
      <c r="E554" t="s">
        <v>120</v>
      </c>
      <c r="F554" t="s">
        <v>120</v>
      </c>
      <c r="G554" t="s">
        <v>120</v>
      </c>
      <c r="H554" t="s">
        <v>120</v>
      </c>
      <c r="I554" t="s">
        <v>120</v>
      </c>
      <c r="J554" t="s">
        <v>120</v>
      </c>
      <c r="K554" t="s">
        <v>120</v>
      </c>
      <c r="L554" t="s">
        <v>120</v>
      </c>
      <c r="M554" t="s">
        <v>120</v>
      </c>
      <c r="N554" t="s">
        <v>120</v>
      </c>
      <c r="O554" t="s">
        <v>120</v>
      </c>
      <c r="P554" t="s">
        <v>120</v>
      </c>
      <c r="Q554" t="s">
        <v>120</v>
      </c>
      <c r="R554" t="s">
        <v>120</v>
      </c>
      <c r="S554" t="s">
        <v>120</v>
      </c>
      <c r="T554" t="s">
        <v>120</v>
      </c>
      <c r="U554" t="s">
        <v>120</v>
      </c>
      <c r="V554" t="s">
        <v>120</v>
      </c>
      <c r="W554" t="s">
        <v>120</v>
      </c>
      <c r="X554" t="s">
        <v>120</v>
      </c>
      <c r="Y554" t="s">
        <v>141</v>
      </c>
      <c r="Z554" t="s">
        <v>120</v>
      </c>
      <c r="AA554" t="s">
        <v>120</v>
      </c>
      <c r="AB554" t="s">
        <v>120</v>
      </c>
      <c r="AC554" t="s">
        <v>120</v>
      </c>
      <c r="AD554" t="s">
        <v>120</v>
      </c>
      <c r="AE554" t="s">
        <v>120</v>
      </c>
      <c r="AF554" t="s">
        <v>120</v>
      </c>
      <c r="AG554" t="s">
        <v>120</v>
      </c>
      <c r="AH554" t="s">
        <v>120</v>
      </c>
      <c r="AJ554">
        <v>0</v>
      </c>
      <c r="AK554">
        <v>8</v>
      </c>
      <c r="AL554">
        <v>8</v>
      </c>
      <c r="AM554">
        <v>0</v>
      </c>
      <c r="AN554">
        <v>0</v>
      </c>
      <c r="AO554">
        <v>31.55</v>
      </c>
      <c r="AP554">
        <v>8</v>
      </c>
      <c r="AQ554">
        <v>0</v>
      </c>
      <c r="AR554">
        <v>70.2</v>
      </c>
      <c r="AS554">
        <v>504.8</v>
      </c>
    </row>
    <row r="555" spans="1:45" x14ac:dyDescent="0.25">
      <c r="A555" t="s">
        <v>1320</v>
      </c>
      <c r="B555" t="s">
        <v>1321</v>
      </c>
      <c r="C555" t="s">
        <v>147</v>
      </c>
      <c r="D555" t="s">
        <v>1313</v>
      </c>
      <c r="E555" t="s">
        <v>120</v>
      </c>
      <c r="F555" t="s">
        <v>120</v>
      </c>
      <c r="G555" t="s">
        <v>120</v>
      </c>
      <c r="H555" t="s">
        <v>120</v>
      </c>
      <c r="I555" t="s">
        <v>120</v>
      </c>
      <c r="J555" t="s">
        <v>120</v>
      </c>
      <c r="K555" t="s">
        <v>120</v>
      </c>
      <c r="L555" t="s">
        <v>120</v>
      </c>
      <c r="M555" t="s">
        <v>120</v>
      </c>
      <c r="N555" t="s">
        <v>120</v>
      </c>
      <c r="O555" t="s">
        <v>120</v>
      </c>
      <c r="P555" t="s">
        <v>120</v>
      </c>
      <c r="Q555" t="s">
        <v>120</v>
      </c>
      <c r="R555" t="s">
        <v>120</v>
      </c>
      <c r="S555" t="s">
        <v>120</v>
      </c>
      <c r="T555" t="s">
        <v>120</v>
      </c>
      <c r="U555" t="s">
        <v>120</v>
      </c>
      <c r="V555" t="s">
        <v>120</v>
      </c>
      <c r="W555" t="s">
        <v>120</v>
      </c>
      <c r="X555" t="s">
        <v>120</v>
      </c>
      <c r="Y555" t="s">
        <v>141</v>
      </c>
      <c r="Z555" t="s">
        <v>120</v>
      </c>
      <c r="AA555" t="s">
        <v>120</v>
      </c>
      <c r="AB555" t="s">
        <v>120</v>
      </c>
      <c r="AC555" t="s">
        <v>120</v>
      </c>
      <c r="AD555" t="s">
        <v>120</v>
      </c>
      <c r="AE555" t="s">
        <v>120</v>
      </c>
      <c r="AF555" t="s">
        <v>120</v>
      </c>
      <c r="AG555" t="s">
        <v>120</v>
      </c>
      <c r="AH555" t="s">
        <v>120</v>
      </c>
      <c r="AJ555">
        <v>0</v>
      </c>
      <c r="AK555">
        <v>8</v>
      </c>
      <c r="AL555">
        <v>8</v>
      </c>
      <c r="AM555">
        <v>0</v>
      </c>
      <c r="AN555">
        <v>0</v>
      </c>
      <c r="AO555">
        <v>31.55</v>
      </c>
      <c r="AP555">
        <v>8</v>
      </c>
      <c r="AQ555">
        <v>0</v>
      </c>
      <c r="AR555">
        <v>70.2</v>
      </c>
      <c r="AS555">
        <v>504.8</v>
      </c>
    </row>
    <row r="556" spans="1:45" x14ac:dyDescent="0.25">
      <c r="A556" t="s">
        <v>1322</v>
      </c>
      <c r="B556" t="s">
        <v>1323</v>
      </c>
      <c r="C556" t="s">
        <v>147</v>
      </c>
      <c r="D556" t="s">
        <v>1313</v>
      </c>
      <c r="E556" t="s">
        <v>120</v>
      </c>
      <c r="F556" t="s">
        <v>120</v>
      </c>
      <c r="G556" t="s">
        <v>120</v>
      </c>
      <c r="H556" t="s">
        <v>120</v>
      </c>
      <c r="I556" t="s">
        <v>120</v>
      </c>
      <c r="J556" t="s">
        <v>120</v>
      </c>
      <c r="K556" t="s">
        <v>120</v>
      </c>
      <c r="L556" t="s">
        <v>120</v>
      </c>
      <c r="M556" t="s">
        <v>120</v>
      </c>
      <c r="N556" t="s">
        <v>120</v>
      </c>
      <c r="O556" t="s">
        <v>120</v>
      </c>
      <c r="P556" t="s">
        <v>120</v>
      </c>
      <c r="Q556" t="s">
        <v>120</v>
      </c>
      <c r="R556" t="s">
        <v>120</v>
      </c>
      <c r="S556" t="s">
        <v>120</v>
      </c>
      <c r="T556" t="s">
        <v>120</v>
      </c>
      <c r="U556" t="s">
        <v>120</v>
      </c>
      <c r="V556" t="s">
        <v>120</v>
      </c>
      <c r="W556" t="s">
        <v>120</v>
      </c>
      <c r="X556" t="s">
        <v>120</v>
      </c>
      <c r="Y556" t="s">
        <v>120</v>
      </c>
      <c r="Z556" t="s">
        <v>120</v>
      </c>
      <c r="AA556" t="s">
        <v>120</v>
      </c>
      <c r="AB556" t="s">
        <v>120</v>
      </c>
      <c r="AC556" t="s">
        <v>120</v>
      </c>
      <c r="AD556" t="s">
        <v>120</v>
      </c>
      <c r="AE556" t="s">
        <v>120</v>
      </c>
      <c r="AF556" t="s">
        <v>120</v>
      </c>
      <c r="AG556" t="s">
        <v>120</v>
      </c>
      <c r="AH556" t="s">
        <v>120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31.55</v>
      </c>
      <c r="AP556">
        <v>0</v>
      </c>
      <c r="AQ556">
        <v>0</v>
      </c>
      <c r="AR556">
        <v>70.2</v>
      </c>
      <c r="AS556">
        <v>0</v>
      </c>
    </row>
    <row r="557" spans="1:45" x14ac:dyDescent="0.25">
      <c r="A557" t="s">
        <v>1324</v>
      </c>
      <c r="B557" t="s">
        <v>1325</v>
      </c>
      <c r="C557" t="s">
        <v>147</v>
      </c>
      <c r="D557" t="s">
        <v>1313</v>
      </c>
      <c r="E557" t="s">
        <v>120</v>
      </c>
      <c r="F557" t="s">
        <v>120</v>
      </c>
      <c r="G557" t="s">
        <v>120</v>
      </c>
      <c r="H557" t="s">
        <v>120</v>
      </c>
      <c r="I557" t="s">
        <v>120</v>
      </c>
      <c r="J557" t="s">
        <v>120</v>
      </c>
      <c r="K557" t="s">
        <v>120</v>
      </c>
      <c r="L557" t="s">
        <v>120</v>
      </c>
      <c r="M557" t="s">
        <v>120</v>
      </c>
      <c r="N557" t="s">
        <v>120</v>
      </c>
      <c r="O557" t="s">
        <v>120</v>
      </c>
      <c r="P557" t="s">
        <v>120</v>
      </c>
      <c r="Q557" t="s">
        <v>120</v>
      </c>
      <c r="R557" t="s">
        <v>120</v>
      </c>
      <c r="S557" t="s">
        <v>120</v>
      </c>
      <c r="T557" t="s">
        <v>120</v>
      </c>
      <c r="U557" t="s">
        <v>120</v>
      </c>
      <c r="V557" t="s">
        <v>120</v>
      </c>
      <c r="W557" t="s">
        <v>120</v>
      </c>
      <c r="X557" t="s">
        <v>120</v>
      </c>
      <c r="Y557" t="s">
        <v>120</v>
      </c>
      <c r="Z557" t="s">
        <v>120</v>
      </c>
      <c r="AA557" t="s">
        <v>120</v>
      </c>
      <c r="AB557" t="s">
        <v>120</v>
      </c>
      <c r="AC557" t="s">
        <v>120</v>
      </c>
      <c r="AD557" t="s">
        <v>120</v>
      </c>
      <c r="AE557" t="s">
        <v>120</v>
      </c>
      <c r="AF557" t="s">
        <v>120</v>
      </c>
      <c r="AG557" t="s">
        <v>120</v>
      </c>
      <c r="AH557" t="s">
        <v>120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28.25</v>
      </c>
      <c r="AP557">
        <v>0</v>
      </c>
      <c r="AQ557">
        <v>0</v>
      </c>
      <c r="AR557">
        <v>70.2</v>
      </c>
      <c r="AS557">
        <v>0</v>
      </c>
    </row>
    <row r="558" spans="1:45" x14ac:dyDescent="0.25">
      <c r="A558" t="s">
        <v>1326</v>
      </c>
      <c r="B558" t="s">
        <v>1327</v>
      </c>
      <c r="C558" t="s">
        <v>147</v>
      </c>
      <c r="D558" t="s">
        <v>1313</v>
      </c>
      <c r="E558" t="s">
        <v>120</v>
      </c>
      <c r="F558" t="s">
        <v>120</v>
      </c>
      <c r="G558" t="s">
        <v>120</v>
      </c>
      <c r="H558" t="s">
        <v>120</v>
      </c>
      <c r="I558" t="s">
        <v>120</v>
      </c>
      <c r="J558" t="s">
        <v>120</v>
      </c>
      <c r="K558" t="s">
        <v>120</v>
      </c>
      <c r="L558" t="s">
        <v>120</v>
      </c>
      <c r="M558" t="s">
        <v>120</v>
      </c>
      <c r="N558" t="s">
        <v>120</v>
      </c>
      <c r="O558" t="s">
        <v>120</v>
      </c>
      <c r="P558" t="s">
        <v>120</v>
      </c>
      <c r="Q558" t="s">
        <v>120</v>
      </c>
      <c r="R558" t="s">
        <v>120</v>
      </c>
      <c r="S558" t="s">
        <v>120</v>
      </c>
      <c r="T558" t="s">
        <v>120</v>
      </c>
      <c r="U558" t="s">
        <v>120</v>
      </c>
      <c r="V558" t="s">
        <v>120</v>
      </c>
      <c r="W558" t="s">
        <v>120</v>
      </c>
      <c r="X558" t="s">
        <v>120</v>
      </c>
      <c r="Y558" t="s">
        <v>120</v>
      </c>
      <c r="Z558" t="s">
        <v>120</v>
      </c>
      <c r="AA558" t="s">
        <v>120</v>
      </c>
      <c r="AB558" t="s">
        <v>120</v>
      </c>
      <c r="AC558" t="s">
        <v>120</v>
      </c>
      <c r="AD558" t="s">
        <v>120</v>
      </c>
      <c r="AE558" t="s">
        <v>120</v>
      </c>
      <c r="AF558" t="s">
        <v>120</v>
      </c>
      <c r="AG558" t="s">
        <v>120</v>
      </c>
      <c r="AH558" t="s">
        <v>120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31.55</v>
      </c>
      <c r="AP558">
        <v>0</v>
      </c>
      <c r="AQ558">
        <v>0</v>
      </c>
      <c r="AR558">
        <v>70.2</v>
      </c>
      <c r="AS558">
        <v>0</v>
      </c>
    </row>
    <row r="559" spans="1:45" x14ac:dyDescent="0.25">
      <c r="A559" t="s">
        <v>1328</v>
      </c>
      <c r="B559" t="s">
        <v>1329</v>
      </c>
      <c r="C559" t="s">
        <v>147</v>
      </c>
      <c r="D559" t="s">
        <v>1313</v>
      </c>
      <c r="E559" t="s">
        <v>120</v>
      </c>
      <c r="F559" t="s">
        <v>120</v>
      </c>
      <c r="G559" t="s">
        <v>120</v>
      </c>
      <c r="H559" t="s">
        <v>120</v>
      </c>
      <c r="I559" t="s">
        <v>120</v>
      </c>
      <c r="J559" t="s">
        <v>120</v>
      </c>
      <c r="K559" t="s">
        <v>120</v>
      </c>
      <c r="L559" t="s">
        <v>120</v>
      </c>
      <c r="M559" t="s">
        <v>120</v>
      </c>
      <c r="N559" t="s">
        <v>120</v>
      </c>
      <c r="O559" t="s">
        <v>120</v>
      </c>
      <c r="P559" t="s">
        <v>120</v>
      </c>
      <c r="Q559" t="s">
        <v>120</v>
      </c>
      <c r="R559" t="s">
        <v>120</v>
      </c>
      <c r="S559" t="s">
        <v>120</v>
      </c>
      <c r="T559" t="s">
        <v>120</v>
      </c>
      <c r="U559" t="s">
        <v>120</v>
      </c>
      <c r="V559" t="s">
        <v>120</v>
      </c>
      <c r="W559" t="s">
        <v>120</v>
      </c>
      <c r="X559" t="s">
        <v>120</v>
      </c>
      <c r="Y559" t="s">
        <v>120</v>
      </c>
      <c r="Z559" t="s">
        <v>120</v>
      </c>
      <c r="AA559" t="s">
        <v>120</v>
      </c>
      <c r="AB559" t="s">
        <v>120</v>
      </c>
      <c r="AC559" t="s">
        <v>120</v>
      </c>
      <c r="AD559" t="s">
        <v>120</v>
      </c>
      <c r="AE559" t="s">
        <v>120</v>
      </c>
      <c r="AF559" t="s">
        <v>120</v>
      </c>
      <c r="AG559" t="s">
        <v>120</v>
      </c>
      <c r="AH559" t="s">
        <v>120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31.55</v>
      </c>
      <c r="AP559">
        <v>0</v>
      </c>
      <c r="AQ559">
        <v>0</v>
      </c>
      <c r="AR559">
        <v>70.2</v>
      </c>
      <c r="AS559">
        <v>0</v>
      </c>
    </row>
    <row r="560" spans="1:45" x14ac:dyDescent="0.25">
      <c r="A560" t="s">
        <v>1330</v>
      </c>
      <c r="B560" t="s">
        <v>1331</v>
      </c>
      <c r="C560" t="s">
        <v>147</v>
      </c>
      <c r="D560" t="s">
        <v>1313</v>
      </c>
      <c r="E560" t="s">
        <v>120</v>
      </c>
      <c r="F560" t="s">
        <v>120</v>
      </c>
      <c r="G560" t="s">
        <v>120</v>
      </c>
      <c r="H560" t="s">
        <v>120</v>
      </c>
      <c r="I560" t="s">
        <v>120</v>
      </c>
      <c r="J560" t="s">
        <v>120</v>
      </c>
      <c r="K560" t="s">
        <v>120</v>
      </c>
      <c r="L560" t="s">
        <v>120</v>
      </c>
      <c r="M560" t="s">
        <v>120</v>
      </c>
      <c r="N560" t="s">
        <v>120</v>
      </c>
      <c r="O560" t="s">
        <v>120</v>
      </c>
      <c r="P560" t="s">
        <v>120</v>
      </c>
      <c r="Q560" t="s">
        <v>120</v>
      </c>
      <c r="R560" t="s">
        <v>120</v>
      </c>
      <c r="S560" t="s">
        <v>120</v>
      </c>
      <c r="T560" t="s">
        <v>120</v>
      </c>
      <c r="U560" t="s">
        <v>120</v>
      </c>
      <c r="V560" t="s">
        <v>120</v>
      </c>
      <c r="W560" t="s">
        <v>120</v>
      </c>
      <c r="X560" t="s">
        <v>120</v>
      </c>
      <c r="Y560" t="s">
        <v>120</v>
      </c>
      <c r="Z560" t="s">
        <v>120</v>
      </c>
      <c r="AA560" t="s">
        <v>120</v>
      </c>
      <c r="AB560" t="s">
        <v>120</v>
      </c>
      <c r="AC560" t="s">
        <v>120</v>
      </c>
      <c r="AD560" t="s">
        <v>120</v>
      </c>
      <c r="AE560" t="s">
        <v>120</v>
      </c>
      <c r="AF560" t="s">
        <v>120</v>
      </c>
      <c r="AG560" t="s">
        <v>120</v>
      </c>
      <c r="AH560" t="s">
        <v>120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31.55</v>
      </c>
      <c r="AP560">
        <v>0</v>
      </c>
      <c r="AQ560">
        <v>0</v>
      </c>
      <c r="AR560">
        <v>70.2</v>
      </c>
      <c r="AS560">
        <v>0</v>
      </c>
    </row>
    <row r="561" spans="1:45" x14ac:dyDescent="0.25">
      <c r="A561" t="s">
        <v>1332</v>
      </c>
      <c r="B561" t="s">
        <v>1333</v>
      </c>
      <c r="C561" t="s">
        <v>147</v>
      </c>
      <c r="D561" t="s">
        <v>1313</v>
      </c>
      <c r="E561" t="s">
        <v>120</v>
      </c>
      <c r="F561" t="s">
        <v>120</v>
      </c>
      <c r="G561" t="s">
        <v>120</v>
      </c>
      <c r="H561" t="s">
        <v>120</v>
      </c>
      <c r="I561" t="s">
        <v>120</v>
      </c>
      <c r="J561" t="s">
        <v>120</v>
      </c>
      <c r="K561" t="s">
        <v>120</v>
      </c>
      <c r="L561" t="s">
        <v>120</v>
      </c>
      <c r="M561" t="s">
        <v>120</v>
      </c>
      <c r="N561" t="s">
        <v>120</v>
      </c>
      <c r="O561" t="s">
        <v>120</v>
      </c>
      <c r="P561" t="s">
        <v>120</v>
      </c>
      <c r="Q561" t="s">
        <v>120</v>
      </c>
      <c r="R561" t="s">
        <v>120</v>
      </c>
      <c r="S561" t="s">
        <v>120</v>
      </c>
      <c r="T561" t="s">
        <v>120</v>
      </c>
      <c r="U561" t="s">
        <v>120</v>
      </c>
      <c r="V561" t="s">
        <v>120</v>
      </c>
      <c r="W561" t="s">
        <v>120</v>
      </c>
      <c r="X561" t="s">
        <v>120</v>
      </c>
      <c r="Y561" t="s">
        <v>120</v>
      </c>
      <c r="Z561" t="s">
        <v>120</v>
      </c>
      <c r="AA561" t="s">
        <v>120</v>
      </c>
      <c r="AB561" t="s">
        <v>120</v>
      </c>
      <c r="AC561" t="s">
        <v>120</v>
      </c>
      <c r="AD561" t="s">
        <v>120</v>
      </c>
      <c r="AE561" t="s">
        <v>120</v>
      </c>
      <c r="AF561" t="s">
        <v>120</v>
      </c>
      <c r="AG561" t="s">
        <v>120</v>
      </c>
      <c r="AH561" t="s">
        <v>120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31.55</v>
      </c>
      <c r="AP561">
        <v>0</v>
      </c>
      <c r="AQ561">
        <v>0</v>
      </c>
      <c r="AR561">
        <v>70.2</v>
      </c>
      <c r="AS561">
        <v>0</v>
      </c>
    </row>
    <row r="562" spans="1:45" x14ac:dyDescent="0.25">
      <c r="A562" t="s">
        <v>1334</v>
      </c>
      <c r="B562" t="s">
        <v>1335</v>
      </c>
      <c r="C562" t="s">
        <v>147</v>
      </c>
      <c r="D562" t="s">
        <v>1313</v>
      </c>
      <c r="E562" t="s">
        <v>120</v>
      </c>
      <c r="F562" t="s">
        <v>120</v>
      </c>
      <c r="G562" t="s">
        <v>120</v>
      </c>
      <c r="H562" t="s">
        <v>120</v>
      </c>
      <c r="I562" t="s">
        <v>120</v>
      </c>
      <c r="J562" t="s">
        <v>120</v>
      </c>
      <c r="K562" t="s">
        <v>120</v>
      </c>
      <c r="L562" t="s">
        <v>120</v>
      </c>
      <c r="M562" t="s">
        <v>120</v>
      </c>
      <c r="N562" t="s">
        <v>135</v>
      </c>
      <c r="O562" t="s">
        <v>135</v>
      </c>
      <c r="P562" t="s">
        <v>120</v>
      </c>
      <c r="Q562" t="s">
        <v>120</v>
      </c>
      <c r="R562" t="s">
        <v>120</v>
      </c>
      <c r="S562" t="s">
        <v>120</v>
      </c>
      <c r="T562" t="s">
        <v>120</v>
      </c>
      <c r="U562" t="s">
        <v>120</v>
      </c>
      <c r="V562" t="s">
        <v>120</v>
      </c>
      <c r="W562" t="s">
        <v>124</v>
      </c>
      <c r="X562" t="s">
        <v>120</v>
      </c>
      <c r="Y562" t="s">
        <v>141</v>
      </c>
      <c r="Z562" t="s">
        <v>120</v>
      </c>
      <c r="AA562" t="s">
        <v>141</v>
      </c>
      <c r="AB562" t="s">
        <v>120</v>
      </c>
      <c r="AC562" t="s">
        <v>120</v>
      </c>
      <c r="AD562" t="s">
        <v>120</v>
      </c>
      <c r="AE562" t="s">
        <v>120</v>
      </c>
      <c r="AF562" t="s">
        <v>120</v>
      </c>
      <c r="AG562" t="s">
        <v>135</v>
      </c>
      <c r="AH562" t="s">
        <v>120</v>
      </c>
      <c r="AJ562">
        <v>0</v>
      </c>
      <c r="AK562">
        <v>44</v>
      </c>
      <c r="AL562">
        <v>16</v>
      </c>
      <c r="AM562">
        <v>27.999999999999996</v>
      </c>
      <c r="AN562">
        <v>0</v>
      </c>
      <c r="AO562">
        <v>31.55</v>
      </c>
      <c r="AP562">
        <v>44</v>
      </c>
      <c r="AQ562">
        <v>0</v>
      </c>
      <c r="AR562">
        <v>70.2</v>
      </c>
      <c r="AS562">
        <v>2776.4</v>
      </c>
    </row>
    <row r="563" spans="1:45" x14ac:dyDescent="0.25">
      <c r="A563" t="s">
        <v>1336</v>
      </c>
      <c r="B563" t="s">
        <v>1337</v>
      </c>
      <c r="C563" t="s">
        <v>147</v>
      </c>
      <c r="D563" t="s">
        <v>1313</v>
      </c>
      <c r="E563" t="s">
        <v>120</v>
      </c>
      <c r="F563" t="s">
        <v>120</v>
      </c>
      <c r="G563" t="s">
        <v>120</v>
      </c>
      <c r="H563" t="s">
        <v>120</v>
      </c>
      <c r="I563" t="s">
        <v>120</v>
      </c>
      <c r="J563" t="s">
        <v>120</v>
      </c>
      <c r="K563" t="s">
        <v>120</v>
      </c>
      <c r="L563" t="s">
        <v>120</v>
      </c>
      <c r="M563" t="s">
        <v>120</v>
      </c>
      <c r="N563" t="s">
        <v>120</v>
      </c>
      <c r="O563" t="s">
        <v>120</v>
      </c>
      <c r="P563" t="s">
        <v>120</v>
      </c>
      <c r="Q563" t="s">
        <v>120</v>
      </c>
      <c r="R563" t="s">
        <v>120</v>
      </c>
      <c r="S563" t="s">
        <v>120</v>
      </c>
      <c r="T563" t="s">
        <v>120</v>
      </c>
      <c r="U563" t="s">
        <v>120</v>
      </c>
      <c r="V563" t="s">
        <v>120</v>
      </c>
      <c r="W563" t="s">
        <v>120</v>
      </c>
      <c r="X563" t="s">
        <v>120</v>
      </c>
      <c r="Y563" t="s">
        <v>120</v>
      </c>
      <c r="Z563" t="s">
        <v>120</v>
      </c>
      <c r="AA563" t="s">
        <v>120</v>
      </c>
      <c r="AB563" t="s">
        <v>120</v>
      </c>
      <c r="AC563" t="s">
        <v>120</v>
      </c>
      <c r="AD563" t="s">
        <v>120</v>
      </c>
      <c r="AE563" t="s">
        <v>120</v>
      </c>
      <c r="AF563" t="s">
        <v>120</v>
      </c>
      <c r="AG563" t="s">
        <v>120</v>
      </c>
      <c r="AH563" t="s">
        <v>120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31.55</v>
      </c>
      <c r="AP563">
        <v>0</v>
      </c>
      <c r="AQ563">
        <v>0</v>
      </c>
      <c r="AR563">
        <v>70.2</v>
      </c>
      <c r="AS563">
        <v>0</v>
      </c>
    </row>
    <row r="564" spans="1:45" x14ac:dyDescent="0.25">
      <c r="A564" t="s">
        <v>1338</v>
      </c>
      <c r="B564" t="s">
        <v>1339</v>
      </c>
      <c r="C564" t="s">
        <v>147</v>
      </c>
      <c r="D564" t="s">
        <v>1313</v>
      </c>
      <c r="E564" t="s">
        <v>120</v>
      </c>
      <c r="F564" t="s">
        <v>120</v>
      </c>
      <c r="G564" t="s">
        <v>120</v>
      </c>
      <c r="H564" t="s">
        <v>120</v>
      </c>
      <c r="I564" t="s">
        <v>120</v>
      </c>
      <c r="J564" t="s">
        <v>120</v>
      </c>
      <c r="K564" t="s">
        <v>120</v>
      </c>
      <c r="L564" t="s">
        <v>120</v>
      </c>
      <c r="M564" t="s">
        <v>120</v>
      </c>
      <c r="N564" t="s">
        <v>120</v>
      </c>
      <c r="O564" t="s">
        <v>120</v>
      </c>
      <c r="P564" t="s">
        <v>120</v>
      </c>
      <c r="Q564" t="s">
        <v>120</v>
      </c>
      <c r="R564" t="s">
        <v>120</v>
      </c>
      <c r="S564" t="s">
        <v>120</v>
      </c>
      <c r="T564" t="s">
        <v>120</v>
      </c>
      <c r="U564" t="s">
        <v>120</v>
      </c>
      <c r="V564" t="s">
        <v>120</v>
      </c>
      <c r="W564" t="s">
        <v>120</v>
      </c>
      <c r="X564" t="s">
        <v>120</v>
      </c>
      <c r="Y564" t="s">
        <v>120</v>
      </c>
      <c r="Z564" t="s">
        <v>120</v>
      </c>
      <c r="AA564" t="s">
        <v>120</v>
      </c>
      <c r="AB564" t="s">
        <v>120</v>
      </c>
      <c r="AC564" t="s">
        <v>120</v>
      </c>
      <c r="AD564" t="s">
        <v>120</v>
      </c>
      <c r="AE564" t="s">
        <v>120</v>
      </c>
      <c r="AF564" t="s">
        <v>120</v>
      </c>
      <c r="AG564" t="s">
        <v>120</v>
      </c>
      <c r="AH564" t="s">
        <v>120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31.55</v>
      </c>
      <c r="AP564">
        <v>0</v>
      </c>
      <c r="AQ564">
        <v>0</v>
      </c>
      <c r="AR564">
        <v>70.2</v>
      </c>
      <c r="AS564">
        <v>0</v>
      </c>
    </row>
    <row r="565" spans="1:45" x14ac:dyDescent="0.25">
      <c r="A565" t="s">
        <v>1340</v>
      </c>
      <c r="B565" t="s">
        <v>1341</v>
      </c>
      <c r="C565" t="s">
        <v>147</v>
      </c>
      <c r="D565" t="s">
        <v>1313</v>
      </c>
      <c r="E565" t="s">
        <v>120</v>
      </c>
      <c r="F565" t="s">
        <v>120</v>
      </c>
      <c r="G565" t="s">
        <v>120</v>
      </c>
      <c r="H565" t="s">
        <v>120</v>
      </c>
      <c r="I565" t="s">
        <v>120</v>
      </c>
      <c r="J565" t="s">
        <v>120</v>
      </c>
      <c r="K565" t="s">
        <v>120</v>
      </c>
      <c r="L565" t="s">
        <v>124</v>
      </c>
      <c r="M565" t="s">
        <v>120</v>
      </c>
      <c r="N565" t="s">
        <v>120</v>
      </c>
      <c r="O565" t="s">
        <v>120</v>
      </c>
      <c r="P565" t="s">
        <v>120</v>
      </c>
      <c r="Q565" t="s">
        <v>120</v>
      </c>
      <c r="R565" t="s">
        <v>120</v>
      </c>
      <c r="S565" t="s">
        <v>120</v>
      </c>
      <c r="T565" t="s">
        <v>120</v>
      </c>
      <c r="U565" t="s">
        <v>120</v>
      </c>
      <c r="V565" t="s">
        <v>120</v>
      </c>
      <c r="W565" t="s">
        <v>124</v>
      </c>
      <c r="X565" t="s">
        <v>120</v>
      </c>
      <c r="Y565" t="s">
        <v>141</v>
      </c>
      <c r="Z565" t="s">
        <v>120</v>
      </c>
      <c r="AA565" t="s">
        <v>141</v>
      </c>
      <c r="AB565" t="s">
        <v>120</v>
      </c>
      <c r="AC565" t="s">
        <v>120</v>
      </c>
      <c r="AD565" t="s">
        <v>120</v>
      </c>
      <c r="AE565" t="s">
        <v>120</v>
      </c>
      <c r="AF565" t="s">
        <v>120</v>
      </c>
      <c r="AG565" t="s">
        <v>135</v>
      </c>
      <c r="AH565" t="s">
        <v>120</v>
      </c>
      <c r="AJ565">
        <v>0</v>
      </c>
      <c r="AK565">
        <v>32</v>
      </c>
      <c r="AL565">
        <v>16</v>
      </c>
      <c r="AM565">
        <v>16</v>
      </c>
      <c r="AN565">
        <v>0</v>
      </c>
      <c r="AO565">
        <v>31.55</v>
      </c>
      <c r="AP565">
        <v>32</v>
      </c>
      <c r="AQ565">
        <v>0</v>
      </c>
      <c r="AR565">
        <v>70.2</v>
      </c>
      <c r="AS565">
        <v>2019.2</v>
      </c>
    </row>
    <row r="566" spans="1:45" x14ac:dyDescent="0.25">
      <c r="A566" t="s">
        <v>1342</v>
      </c>
      <c r="B566" t="s">
        <v>1343</v>
      </c>
      <c r="C566" t="s">
        <v>147</v>
      </c>
      <c r="D566" t="s">
        <v>1313</v>
      </c>
      <c r="E566" t="s">
        <v>120</v>
      </c>
      <c r="F566" t="s">
        <v>120</v>
      </c>
      <c r="G566" t="s">
        <v>120</v>
      </c>
      <c r="H566" t="s">
        <v>120</v>
      </c>
      <c r="I566" t="s">
        <v>120</v>
      </c>
      <c r="J566" t="s">
        <v>120</v>
      </c>
      <c r="K566" t="s">
        <v>120</v>
      </c>
      <c r="L566" t="s">
        <v>120</v>
      </c>
      <c r="M566" t="s">
        <v>120</v>
      </c>
      <c r="N566" t="s">
        <v>120</v>
      </c>
      <c r="O566" t="s">
        <v>120</v>
      </c>
      <c r="P566" t="s">
        <v>120</v>
      </c>
      <c r="Q566" t="s">
        <v>120</v>
      </c>
      <c r="R566" t="s">
        <v>120</v>
      </c>
      <c r="S566" t="s">
        <v>120</v>
      </c>
      <c r="T566" t="s">
        <v>120</v>
      </c>
      <c r="U566" t="s">
        <v>120</v>
      </c>
      <c r="V566" t="s">
        <v>120</v>
      </c>
      <c r="W566" t="s">
        <v>120</v>
      </c>
      <c r="X566" t="s">
        <v>120</v>
      </c>
      <c r="Y566" t="s">
        <v>120</v>
      </c>
      <c r="Z566" t="s">
        <v>120</v>
      </c>
      <c r="AA566" t="s">
        <v>120</v>
      </c>
      <c r="AB566" t="s">
        <v>120</v>
      </c>
      <c r="AC566" t="s">
        <v>120</v>
      </c>
      <c r="AD566" t="s">
        <v>120</v>
      </c>
      <c r="AE566" t="s">
        <v>120</v>
      </c>
      <c r="AF566" t="s">
        <v>120</v>
      </c>
      <c r="AG566" t="s">
        <v>120</v>
      </c>
      <c r="AH566" t="s">
        <v>120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31.55</v>
      </c>
      <c r="AP566">
        <v>0</v>
      </c>
      <c r="AQ566">
        <v>0</v>
      </c>
      <c r="AR566">
        <v>70.2</v>
      </c>
      <c r="AS566">
        <v>0</v>
      </c>
    </row>
    <row r="567" spans="1:45" x14ac:dyDescent="0.25">
      <c r="A567" t="s">
        <v>1344</v>
      </c>
      <c r="B567" t="s">
        <v>1345</v>
      </c>
      <c r="C567" t="s">
        <v>147</v>
      </c>
      <c r="D567" t="s">
        <v>1313</v>
      </c>
      <c r="E567" t="s">
        <v>120</v>
      </c>
      <c r="F567" t="s">
        <v>120</v>
      </c>
      <c r="G567" t="s">
        <v>120</v>
      </c>
      <c r="H567" t="s">
        <v>120</v>
      </c>
      <c r="I567" t="s">
        <v>120</v>
      </c>
      <c r="J567" t="s">
        <v>120</v>
      </c>
      <c r="K567" t="s">
        <v>120</v>
      </c>
      <c r="L567" t="s">
        <v>120</v>
      </c>
      <c r="M567" t="s">
        <v>120</v>
      </c>
      <c r="N567" t="s">
        <v>120</v>
      </c>
      <c r="O567" t="s">
        <v>120</v>
      </c>
      <c r="P567" t="s">
        <v>120</v>
      </c>
      <c r="Q567" t="s">
        <v>120</v>
      </c>
      <c r="R567" t="s">
        <v>120</v>
      </c>
      <c r="S567" t="s">
        <v>120</v>
      </c>
      <c r="T567" t="s">
        <v>120</v>
      </c>
      <c r="U567" t="s">
        <v>120</v>
      </c>
      <c r="V567" t="s">
        <v>120</v>
      </c>
      <c r="W567" t="s">
        <v>120</v>
      </c>
      <c r="X567" t="s">
        <v>120</v>
      </c>
      <c r="Y567" t="s">
        <v>120</v>
      </c>
      <c r="Z567" t="s">
        <v>120</v>
      </c>
      <c r="AA567" t="s">
        <v>120</v>
      </c>
      <c r="AB567" t="s">
        <v>120</v>
      </c>
      <c r="AC567" t="s">
        <v>120</v>
      </c>
      <c r="AD567" t="s">
        <v>120</v>
      </c>
      <c r="AE567" t="s">
        <v>120</v>
      </c>
      <c r="AF567" t="s">
        <v>120</v>
      </c>
      <c r="AG567" t="s">
        <v>120</v>
      </c>
      <c r="AH567" t="s">
        <v>135</v>
      </c>
      <c r="AJ567">
        <v>0</v>
      </c>
      <c r="AK567">
        <v>8</v>
      </c>
      <c r="AL567">
        <v>0</v>
      </c>
      <c r="AM567">
        <v>8</v>
      </c>
      <c r="AN567">
        <v>0</v>
      </c>
      <c r="AO567">
        <v>31.55</v>
      </c>
      <c r="AP567">
        <v>8</v>
      </c>
      <c r="AQ567">
        <v>0</v>
      </c>
      <c r="AR567">
        <v>70.2</v>
      </c>
      <c r="AS567">
        <v>504.8</v>
      </c>
    </row>
    <row r="568" spans="1:45" x14ac:dyDescent="0.25">
      <c r="A568" t="s">
        <v>1346</v>
      </c>
      <c r="B568" t="s">
        <v>1347</v>
      </c>
      <c r="C568" t="s">
        <v>130</v>
      </c>
      <c r="D568" t="s">
        <v>1313</v>
      </c>
      <c r="E568" t="s">
        <v>120</v>
      </c>
      <c r="F568" t="s">
        <v>120</v>
      </c>
      <c r="G568" t="s">
        <v>120</v>
      </c>
      <c r="H568" t="s">
        <v>120</v>
      </c>
      <c r="I568" t="s">
        <v>120</v>
      </c>
      <c r="J568" t="s">
        <v>120</v>
      </c>
      <c r="K568" t="s">
        <v>120</v>
      </c>
      <c r="L568" t="s">
        <v>120</v>
      </c>
      <c r="M568" t="s">
        <v>120</v>
      </c>
      <c r="N568" t="s">
        <v>120</v>
      </c>
      <c r="O568" t="s">
        <v>120</v>
      </c>
      <c r="P568" t="s">
        <v>120</v>
      </c>
      <c r="Q568" t="s">
        <v>120</v>
      </c>
      <c r="R568" t="s">
        <v>120</v>
      </c>
      <c r="S568" t="s">
        <v>120</v>
      </c>
      <c r="T568" t="s">
        <v>120</v>
      </c>
      <c r="U568" t="s">
        <v>120</v>
      </c>
      <c r="V568" t="s">
        <v>120</v>
      </c>
      <c r="W568" t="s">
        <v>120</v>
      </c>
      <c r="X568" t="s">
        <v>120</v>
      </c>
      <c r="Y568" t="s">
        <v>120</v>
      </c>
      <c r="Z568" t="s">
        <v>120</v>
      </c>
      <c r="AA568" t="s">
        <v>120</v>
      </c>
      <c r="AB568" t="s">
        <v>120</v>
      </c>
      <c r="AC568" t="s">
        <v>120</v>
      </c>
      <c r="AD568" t="s">
        <v>120</v>
      </c>
      <c r="AE568" t="s">
        <v>120</v>
      </c>
      <c r="AF568" t="s">
        <v>120</v>
      </c>
      <c r="AG568" t="s">
        <v>120</v>
      </c>
      <c r="AH568" t="s">
        <v>598</v>
      </c>
      <c r="AJ568">
        <v>0</v>
      </c>
      <c r="AK568">
        <v>6</v>
      </c>
      <c r="AL568">
        <v>0</v>
      </c>
      <c r="AM568">
        <v>6</v>
      </c>
      <c r="AN568">
        <v>0</v>
      </c>
      <c r="AO568">
        <v>7500</v>
      </c>
      <c r="AP568">
        <v>6</v>
      </c>
      <c r="AQ568">
        <v>0</v>
      </c>
      <c r="AR568">
        <v>126.56250000000001</v>
      </c>
      <c r="AS568">
        <v>562.5</v>
      </c>
    </row>
    <row r="569" spans="1:45" x14ac:dyDescent="0.25">
      <c r="A569" t="s">
        <v>1348</v>
      </c>
      <c r="B569" t="s">
        <v>1349</v>
      </c>
      <c r="C569" t="s">
        <v>147</v>
      </c>
      <c r="D569" t="s">
        <v>1313</v>
      </c>
      <c r="E569" t="s">
        <v>120</v>
      </c>
      <c r="F569" t="s">
        <v>120</v>
      </c>
      <c r="G569" t="s">
        <v>120</v>
      </c>
      <c r="H569" t="s">
        <v>120</v>
      </c>
      <c r="I569" t="s">
        <v>120</v>
      </c>
      <c r="J569" t="s">
        <v>120</v>
      </c>
      <c r="K569" t="s">
        <v>120</v>
      </c>
      <c r="L569" t="s">
        <v>120</v>
      </c>
      <c r="M569" t="s">
        <v>120</v>
      </c>
      <c r="N569" t="s">
        <v>120</v>
      </c>
      <c r="O569" t="s">
        <v>120</v>
      </c>
      <c r="P569" t="s">
        <v>120</v>
      </c>
      <c r="Q569" t="s">
        <v>120</v>
      </c>
      <c r="R569" t="s">
        <v>120</v>
      </c>
      <c r="S569" t="s">
        <v>120</v>
      </c>
      <c r="T569" t="s">
        <v>120</v>
      </c>
      <c r="U569" t="s">
        <v>120</v>
      </c>
      <c r="V569" t="s">
        <v>120</v>
      </c>
      <c r="W569" t="s">
        <v>120</v>
      </c>
      <c r="X569" t="s">
        <v>120</v>
      </c>
      <c r="Y569" t="s">
        <v>120</v>
      </c>
      <c r="Z569" t="s">
        <v>120</v>
      </c>
      <c r="AA569" t="s">
        <v>120</v>
      </c>
      <c r="AB569" t="s">
        <v>120</v>
      </c>
      <c r="AC569" t="s">
        <v>120</v>
      </c>
      <c r="AD569" t="s">
        <v>120</v>
      </c>
      <c r="AE569" t="s">
        <v>120</v>
      </c>
      <c r="AF569" t="s">
        <v>120</v>
      </c>
      <c r="AG569" t="s">
        <v>120</v>
      </c>
      <c r="AH569" t="s">
        <v>120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31.55</v>
      </c>
      <c r="AP569">
        <v>0</v>
      </c>
      <c r="AQ569">
        <v>0</v>
      </c>
      <c r="AR569">
        <v>70.2</v>
      </c>
      <c r="AS569">
        <v>0</v>
      </c>
    </row>
    <row r="570" spans="1:45" x14ac:dyDescent="0.25">
      <c r="A570" t="s">
        <v>1350</v>
      </c>
      <c r="B570" t="s">
        <v>1351</v>
      </c>
      <c r="C570" t="s">
        <v>147</v>
      </c>
      <c r="D570" t="s">
        <v>1313</v>
      </c>
      <c r="E570" t="s">
        <v>120</v>
      </c>
      <c r="F570" t="s">
        <v>120</v>
      </c>
      <c r="G570" t="s">
        <v>120</v>
      </c>
      <c r="H570" t="s">
        <v>120</v>
      </c>
      <c r="I570" t="s">
        <v>120</v>
      </c>
      <c r="J570" t="s">
        <v>120</v>
      </c>
      <c r="K570" t="s">
        <v>120</v>
      </c>
      <c r="L570" t="s">
        <v>120</v>
      </c>
      <c r="M570" t="s">
        <v>120</v>
      </c>
      <c r="N570" t="s">
        <v>120</v>
      </c>
      <c r="O570" t="s">
        <v>120</v>
      </c>
      <c r="P570" t="s">
        <v>120</v>
      </c>
      <c r="Q570" t="s">
        <v>120</v>
      </c>
      <c r="R570" t="s">
        <v>120</v>
      </c>
      <c r="S570" t="s">
        <v>120</v>
      </c>
      <c r="T570" t="s">
        <v>120</v>
      </c>
      <c r="U570" t="s">
        <v>120</v>
      </c>
      <c r="V570" t="s">
        <v>120</v>
      </c>
      <c r="W570" t="s">
        <v>120</v>
      </c>
      <c r="X570" t="s">
        <v>120</v>
      </c>
      <c r="Y570" t="s">
        <v>120</v>
      </c>
      <c r="Z570" t="s">
        <v>120</v>
      </c>
      <c r="AA570" t="s">
        <v>120</v>
      </c>
      <c r="AB570" t="s">
        <v>120</v>
      </c>
      <c r="AC570" t="s">
        <v>120</v>
      </c>
      <c r="AD570" t="s">
        <v>120</v>
      </c>
      <c r="AE570" t="s">
        <v>120</v>
      </c>
      <c r="AF570" t="s">
        <v>120</v>
      </c>
      <c r="AG570" t="s">
        <v>120</v>
      </c>
      <c r="AH570" t="s">
        <v>120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31.55</v>
      </c>
      <c r="AP570">
        <v>0</v>
      </c>
      <c r="AQ570">
        <v>0</v>
      </c>
      <c r="AR570">
        <v>70.2</v>
      </c>
      <c r="AS570">
        <v>0</v>
      </c>
    </row>
    <row r="571" spans="1:45" x14ac:dyDescent="0.25">
      <c r="A571" t="s">
        <v>1352</v>
      </c>
      <c r="B571" t="s">
        <v>1353</v>
      </c>
      <c r="C571" t="s">
        <v>147</v>
      </c>
      <c r="D571" t="s">
        <v>1354</v>
      </c>
      <c r="E571" t="s">
        <v>120</v>
      </c>
      <c r="F571" t="s">
        <v>141</v>
      </c>
      <c r="G571" t="s">
        <v>120</v>
      </c>
      <c r="H571" t="s">
        <v>120</v>
      </c>
      <c r="I571" t="s">
        <v>120</v>
      </c>
      <c r="J571" t="s">
        <v>120</v>
      </c>
      <c r="K571" t="s">
        <v>120</v>
      </c>
      <c r="L571" t="s">
        <v>120</v>
      </c>
      <c r="M571" t="s">
        <v>120</v>
      </c>
      <c r="N571" t="s">
        <v>120</v>
      </c>
      <c r="O571" t="s">
        <v>120</v>
      </c>
      <c r="P571" t="s">
        <v>120</v>
      </c>
      <c r="Q571" t="s">
        <v>120</v>
      </c>
      <c r="R571" t="s">
        <v>120</v>
      </c>
      <c r="S571" t="s">
        <v>120</v>
      </c>
      <c r="T571" t="s">
        <v>120</v>
      </c>
      <c r="U571" t="s">
        <v>120</v>
      </c>
      <c r="V571" t="s">
        <v>120</v>
      </c>
      <c r="W571" t="s">
        <v>120</v>
      </c>
      <c r="X571" t="s">
        <v>120</v>
      </c>
      <c r="Y571" t="s">
        <v>325</v>
      </c>
      <c r="Z571" t="s">
        <v>120</v>
      </c>
      <c r="AA571" t="s">
        <v>120</v>
      </c>
      <c r="AB571" t="s">
        <v>120</v>
      </c>
      <c r="AC571" t="s">
        <v>120</v>
      </c>
      <c r="AD571" t="s">
        <v>120</v>
      </c>
      <c r="AE571" t="s">
        <v>120</v>
      </c>
      <c r="AF571" t="s">
        <v>120</v>
      </c>
      <c r="AG571" t="s">
        <v>120</v>
      </c>
      <c r="AH571" t="s">
        <v>120</v>
      </c>
      <c r="AJ571">
        <v>0</v>
      </c>
      <c r="AK571">
        <v>13.999999999999998</v>
      </c>
      <c r="AL571">
        <v>13.999999999999998</v>
      </c>
      <c r="AM571">
        <v>0</v>
      </c>
      <c r="AN571">
        <v>0</v>
      </c>
      <c r="AO571">
        <v>31.55</v>
      </c>
      <c r="AP571">
        <v>13.999999999999998</v>
      </c>
      <c r="AQ571">
        <v>0</v>
      </c>
      <c r="AR571">
        <v>70.2</v>
      </c>
      <c r="AS571">
        <v>883.39999999999986</v>
      </c>
    </row>
    <row r="572" spans="1:45" x14ac:dyDescent="0.25">
      <c r="A572" t="s">
        <v>1355</v>
      </c>
      <c r="B572" t="s">
        <v>1356</v>
      </c>
      <c r="C572" t="s">
        <v>147</v>
      </c>
      <c r="D572" t="s">
        <v>1354</v>
      </c>
      <c r="E572" t="s">
        <v>120</v>
      </c>
      <c r="F572" t="s">
        <v>141</v>
      </c>
      <c r="G572" t="s">
        <v>120</v>
      </c>
      <c r="H572" t="s">
        <v>120</v>
      </c>
      <c r="I572" t="s">
        <v>120</v>
      </c>
      <c r="J572" t="s">
        <v>120</v>
      </c>
      <c r="K572" t="s">
        <v>120</v>
      </c>
      <c r="L572" t="s">
        <v>120</v>
      </c>
      <c r="M572" t="s">
        <v>120</v>
      </c>
      <c r="N572" t="s">
        <v>120</v>
      </c>
      <c r="O572" t="s">
        <v>120</v>
      </c>
      <c r="P572" t="s">
        <v>120</v>
      </c>
      <c r="Q572" t="s">
        <v>120</v>
      </c>
      <c r="R572" t="s">
        <v>120</v>
      </c>
      <c r="S572" t="s">
        <v>120</v>
      </c>
      <c r="T572" t="s">
        <v>120</v>
      </c>
      <c r="U572" t="s">
        <v>120</v>
      </c>
      <c r="V572" t="s">
        <v>120</v>
      </c>
      <c r="W572" t="s">
        <v>120</v>
      </c>
      <c r="X572" t="s">
        <v>120</v>
      </c>
      <c r="Y572" t="s">
        <v>141</v>
      </c>
      <c r="Z572" t="s">
        <v>120</v>
      </c>
      <c r="AA572" t="s">
        <v>120</v>
      </c>
      <c r="AB572" t="s">
        <v>120</v>
      </c>
      <c r="AC572" t="s">
        <v>120</v>
      </c>
      <c r="AD572" t="s">
        <v>120</v>
      </c>
      <c r="AE572" t="s">
        <v>120</v>
      </c>
      <c r="AF572" t="s">
        <v>120</v>
      </c>
      <c r="AG572" t="s">
        <v>120</v>
      </c>
      <c r="AH572" t="s">
        <v>120</v>
      </c>
      <c r="AJ572">
        <v>0</v>
      </c>
      <c r="AK572">
        <v>16</v>
      </c>
      <c r="AL572">
        <v>16</v>
      </c>
      <c r="AM572">
        <v>0</v>
      </c>
      <c r="AN572">
        <v>0</v>
      </c>
      <c r="AO572">
        <v>31.55</v>
      </c>
      <c r="AP572">
        <v>16</v>
      </c>
      <c r="AQ572">
        <v>0</v>
      </c>
      <c r="AR572">
        <v>70.2</v>
      </c>
      <c r="AS572">
        <v>1009.6</v>
      </c>
    </row>
    <row r="573" spans="1:45" x14ac:dyDescent="0.25">
      <c r="A573" t="s">
        <v>1357</v>
      </c>
      <c r="B573" t="s">
        <v>1358</v>
      </c>
      <c r="C573" t="s">
        <v>147</v>
      </c>
      <c r="D573" t="s">
        <v>1354</v>
      </c>
      <c r="E573" t="s">
        <v>120</v>
      </c>
      <c r="F573" t="s">
        <v>120</v>
      </c>
      <c r="G573" t="s">
        <v>120</v>
      </c>
      <c r="H573" t="s">
        <v>120</v>
      </c>
      <c r="I573" t="s">
        <v>120</v>
      </c>
      <c r="J573" t="s">
        <v>120</v>
      </c>
      <c r="K573" t="s">
        <v>120</v>
      </c>
      <c r="L573" t="s">
        <v>120</v>
      </c>
      <c r="M573" t="s">
        <v>120</v>
      </c>
      <c r="N573" t="s">
        <v>120</v>
      </c>
      <c r="O573" t="s">
        <v>120</v>
      </c>
      <c r="P573" t="s">
        <v>120</v>
      </c>
      <c r="Q573" t="s">
        <v>120</v>
      </c>
      <c r="R573" t="s">
        <v>120</v>
      </c>
      <c r="S573" t="s">
        <v>120</v>
      </c>
      <c r="T573" t="s">
        <v>120</v>
      </c>
      <c r="U573" t="s">
        <v>120</v>
      </c>
      <c r="V573" t="s">
        <v>120</v>
      </c>
      <c r="W573" t="s">
        <v>120</v>
      </c>
      <c r="X573" t="s">
        <v>120</v>
      </c>
      <c r="Y573" t="s">
        <v>120</v>
      </c>
      <c r="Z573" t="s">
        <v>120</v>
      </c>
      <c r="AA573" t="s">
        <v>120</v>
      </c>
      <c r="AB573" t="s">
        <v>120</v>
      </c>
      <c r="AC573" t="s">
        <v>120</v>
      </c>
      <c r="AD573" t="s">
        <v>120</v>
      </c>
      <c r="AE573" t="s">
        <v>120</v>
      </c>
      <c r="AF573" t="s">
        <v>120</v>
      </c>
      <c r="AG573" t="s">
        <v>120</v>
      </c>
      <c r="AH573" t="s">
        <v>120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31.55</v>
      </c>
      <c r="AP573">
        <v>0</v>
      </c>
      <c r="AQ573">
        <v>0</v>
      </c>
      <c r="AR573">
        <v>70.2</v>
      </c>
      <c r="AS573">
        <v>0</v>
      </c>
    </row>
    <row r="574" spans="1:45" x14ac:dyDescent="0.25">
      <c r="A574" t="s">
        <v>1359</v>
      </c>
      <c r="B574" t="s">
        <v>1360</v>
      </c>
      <c r="C574" t="s">
        <v>147</v>
      </c>
      <c r="D574" t="s">
        <v>1354</v>
      </c>
      <c r="E574" t="s">
        <v>120</v>
      </c>
      <c r="F574" t="s">
        <v>120</v>
      </c>
      <c r="G574" t="s">
        <v>120</v>
      </c>
      <c r="H574" t="s">
        <v>120</v>
      </c>
      <c r="I574" t="s">
        <v>120</v>
      </c>
      <c r="J574" t="s">
        <v>120</v>
      </c>
      <c r="K574" t="s">
        <v>120</v>
      </c>
      <c r="L574" t="s">
        <v>120</v>
      </c>
      <c r="M574" t="s">
        <v>120</v>
      </c>
      <c r="N574" t="s">
        <v>120</v>
      </c>
      <c r="O574" t="s">
        <v>120</v>
      </c>
      <c r="P574" t="s">
        <v>120</v>
      </c>
      <c r="Q574" t="s">
        <v>120</v>
      </c>
      <c r="R574" t="s">
        <v>120</v>
      </c>
      <c r="S574" t="s">
        <v>120</v>
      </c>
      <c r="T574" t="s">
        <v>120</v>
      </c>
      <c r="U574" t="s">
        <v>120</v>
      </c>
      <c r="V574" t="s">
        <v>120</v>
      </c>
      <c r="W574" t="s">
        <v>120</v>
      </c>
      <c r="X574" t="s">
        <v>120</v>
      </c>
      <c r="Y574" t="s">
        <v>120</v>
      </c>
      <c r="Z574" t="s">
        <v>120</v>
      </c>
      <c r="AA574" t="s">
        <v>120</v>
      </c>
      <c r="AB574" t="s">
        <v>120</v>
      </c>
      <c r="AC574" t="s">
        <v>120</v>
      </c>
      <c r="AD574" t="s">
        <v>120</v>
      </c>
      <c r="AE574" t="s">
        <v>120</v>
      </c>
      <c r="AF574" t="s">
        <v>120</v>
      </c>
      <c r="AG574" t="s">
        <v>120</v>
      </c>
      <c r="AH574" t="s">
        <v>120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31.55</v>
      </c>
      <c r="AP574">
        <v>0</v>
      </c>
      <c r="AQ574">
        <v>0</v>
      </c>
      <c r="AR574">
        <v>70.2</v>
      </c>
      <c r="AS574">
        <v>0</v>
      </c>
    </row>
    <row r="575" spans="1:45" x14ac:dyDescent="0.25">
      <c r="A575" t="s">
        <v>1361</v>
      </c>
      <c r="B575" t="s">
        <v>1362</v>
      </c>
      <c r="C575" t="s">
        <v>147</v>
      </c>
      <c r="D575" t="s">
        <v>1354</v>
      </c>
      <c r="E575" t="s">
        <v>120</v>
      </c>
      <c r="F575" t="s">
        <v>120</v>
      </c>
      <c r="G575" t="s">
        <v>120</v>
      </c>
      <c r="H575" t="s">
        <v>120</v>
      </c>
      <c r="I575" t="s">
        <v>120</v>
      </c>
      <c r="J575" t="s">
        <v>120</v>
      </c>
      <c r="K575" t="s">
        <v>120</v>
      </c>
      <c r="L575" t="s">
        <v>120</v>
      </c>
      <c r="M575" t="s">
        <v>120</v>
      </c>
      <c r="N575" t="s">
        <v>120</v>
      </c>
      <c r="O575" t="s">
        <v>120</v>
      </c>
      <c r="P575" t="s">
        <v>120</v>
      </c>
      <c r="Q575" t="s">
        <v>120</v>
      </c>
      <c r="R575" t="s">
        <v>120</v>
      </c>
      <c r="S575" t="s">
        <v>120</v>
      </c>
      <c r="T575" t="s">
        <v>120</v>
      </c>
      <c r="U575" t="s">
        <v>120</v>
      </c>
      <c r="V575" t="s">
        <v>120</v>
      </c>
      <c r="W575" t="s">
        <v>120</v>
      </c>
      <c r="X575" t="s">
        <v>120</v>
      </c>
      <c r="Y575" t="s">
        <v>141</v>
      </c>
      <c r="Z575" t="s">
        <v>120</v>
      </c>
      <c r="AA575" t="s">
        <v>120</v>
      </c>
      <c r="AB575" t="s">
        <v>120</v>
      </c>
      <c r="AC575" t="s">
        <v>120</v>
      </c>
      <c r="AD575" t="s">
        <v>120</v>
      </c>
      <c r="AE575" t="s">
        <v>120</v>
      </c>
      <c r="AF575" t="s">
        <v>120</v>
      </c>
      <c r="AG575" t="s">
        <v>120</v>
      </c>
      <c r="AH575" t="s">
        <v>120</v>
      </c>
      <c r="AJ575">
        <v>0</v>
      </c>
      <c r="AK575">
        <v>8</v>
      </c>
      <c r="AL575">
        <v>8</v>
      </c>
      <c r="AM575">
        <v>0</v>
      </c>
      <c r="AN575">
        <v>0</v>
      </c>
      <c r="AO575">
        <v>31.55</v>
      </c>
      <c r="AP575">
        <v>8</v>
      </c>
      <c r="AQ575">
        <v>0</v>
      </c>
      <c r="AR575">
        <v>70.2</v>
      </c>
      <c r="AS575">
        <v>504.8</v>
      </c>
    </row>
    <row r="576" spans="1:45" x14ac:dyDescent="0.25">
      <c r="A576" t="s">
        <v>1363</v>
      </c>
      <c r="B576" t="s">
        <v>1364</v>
      </c>
      <c r="C576" t="s">
        <v>147</v>
      </c>
      <c r="D576" t="s">
        <v>1354</v>
      </c>
      <c r="E576" t="s">
        <v>120</v>
      </c>
      <c r="F576" t="s">
        <v>341</v>
      </c>
      <c r="G576" t="s">
        <v>120</v>
      </c>
      <c r="H576" t="s">
        <v>120</v>
      </c>
      <c r="I576" t="s">
        <v>120</v>
      </c>
      <c r="J576" t="s">
        <v>120</v>
      </c>
      <c r="K576" t="s">
        <v>120</v>
      </c>
      <c r="L576" t="s">
        <v>120</v>
      </c>
      <c r="M576" t="s">
        <v>120</v>
      </c>
      <c r="N576" t="s">
        <v>120</v>
      </c>
      <c r="O576" t="s">
        <v>120</v>
      </c>
      <c r="P576" t="s">
        <v>120</v>
      </c>
      <c r="Q576" t="s">
        <v>120</v>
      </c>
      <c r="R576" t="s">
        <v>120</v>
      </c>
      <c r="S576" t="s">
        <v>120</v>
      </c>
      <c r="T576" t="s">
        <v>120</v>
      </c>
      <c r="U576" t="s">
        <v>120</v>
      </c>
      <c r="V576" t="s">
        <v>120</v>
      </c>
      <c r="W576" t="s">
        <v>120</v>
      </c>
      <c r="X576" t="s">
        <v>120</v>
      </c>
      <c r="Y576" t="s">
        <v>120</v>
      </c>
      <c r="Z576" t="s">
        <v>120</v>
      </c>
      <c r="AA576" t="s">
        <v>120</v>
      </c>
      <c r="AB576" t="s">
        <v>120</v>
      </c>
      <c r="AC576" t="s">
        <v>120</v>
      </c>
      <c r="AD576" t="s">
        <v>120</v>
      </c>
      <c r="AE576" t="s">
        <v>120</v>
      </c>
      <c r="AF576" t="s">
        <v>120</v>
      </c>
      <c r="AG576" t="s">
        <v>120</v>
      </c>
      <c r="AH576" t="s">
        <v>120</v>
      </c>
      <c r="AJ576">
        <v>0</v>
      </c>
      <c r="AK576">
        <v>4</v>
      </c>
      <c r="AL576">
        <v>4</v>
      </c>
      <c r="AM576">
        <v>0</v>
      </c>
      <c r="AN576">
        <v>0</v>
      </c>
      <c r="AO576">
        <v>31.55</v>
      </c>
      <c r="AP576">
        <v>4</v>
      </c>
      <c r="AQ576">
        <v>0</v>
      </c>
      <c r="AR576">
        <v>70.2</v>
      </c>
      <c r="AS576">
        <v>252.4</v>
      </c>
    </row>
    <row r="577" spans="1:45" x14ac:dyDescent="0.25">
      <c r="A577" t="s">
        <v>1365</v>
      </c>
      <c r="B577" t="s">
        <v>1366</v>
      </c>
      <c r="C577" t="s">
        <v>147</v>
      </c>
      <c r="D577" t="s">
        <v>1354</v>
      </c>
      <c r="E577" t="s">
        <v>120</v>
      </c>
      <c r="F577" t="s">
        <v>141</v>
      </c>
      <c r="G577" t="s">
        <v>120</v>
      </c>
      <c r="H577" t="s">
        <v>120</v>
      </c>
      <c r="I577" t="s">
        <v>120</v>
      </c>
      <c r="J577" t="s">
        <v>120</v>
      </c>
      <c r="K577" t="s">
        <v>120</v>
      </c>
      <c r="L577" t="s">
        <v>120</v>
      </c>
      <c r="M577" t="s">
        <v>120</v>
      </c>
      <c r="N577" t="s">
        <v>120</v>
      </c>
      <c r="O577" t="s">
        <v>120</v>
      </c>
      <c r="P577" t="s">
        <v>120</v>
      </c>
      <c r="Q577" t="s">
        <v>120</v>
      </c>
      <c r="R577" t="s">
        <v>120</v>
      </c>
      <c r="S577" t="s">
        <v>120</v>
      </c>
      <c r="T577" t="s">
        <v>120</v>
      </c>
      <c r="U577" t="s">
        <v>120</v>
      </c>
      <c r="V577" t="s">
        <v>120</v>
      </c>
      <c r="W577" t="s">
        <v>120</v>
      </c>
      <c r="X577" t="s">
        <v>120</v>
      </c>
      <c r="Y577" t="s">
        <v>120</v>
      </c>
      <c r="Z577" t="s">
        <v>120</v>
      </c>
      <c r="AA577" t="s">
        <v>120</v>
      </c>
      <c r="AB577" t="s">
        <v>120</v>
      </c>
      <c r="AC577" t="s">
        <v>120</v>
      </c>
      <c r="AD577" t="s">
        <v>120</v>
      </c>
      <c r="AE577" t="s">
        <v>120</v>
      </c>
      <c r="AF577" t="s">
        <v>120</v>
      </c>
      <c r="AG577" t="s">
        <v>120</v>
      </c>
      <c r="AH577" t="s">
        <v>120</v>
      </c>
      <c r="AJ577">
        <v>0</v>
      </c>
      <c r="AK577">
        <v>8</v>
      </c>
      <c r="AL577">
        <v>8</v>
      </c>
      <c r="AM577">
        <v>0</v>
      </c>
      <c r="AN577">
        <v>0</v>
      </c>
      <c r="AO577">
        <v>28.25</v>
      </c>
      <c r="AP577">
        <v>8</v>
      </c>
      <c r="AQ577">
        <v>0</v>
      </c>
      <c r="AR577">
        <v>70.2</v>
      </c>
      <c r="AS577">
        <v>452</v>
      </c>
    </row>
    <row r="578" spans="1:45" x14ac:dyDescent="0.25">
      <c r="A578" t="s">
        <v>1367</v>
      </c>
      <c r="B578" t="s">
        <v>1368</v>
      </c>
      <c r="C578" t="s">
        <v>147</v>
      </c>
      <c r="D578" t="s">
        <v>1354</v>
      </c>
      <c r="E578" t="s">
        <v>120</v>
      </c>
      <c r="F578" t="s">
        <v>120</v>
      </c>
      <c r="G578" t="s">
        <v>120</v>
      </c>
      <c r="H578" t="s">
        <v>120</v>
      </c>
      <c r="I578" t="s">
        <v>120</v>
      </c>
      <c r="J578" t="s">
        <v>120</v>
      </c>
      <c r="K578" t="s">
        <v>120</v>
      </c>
      <c r="L578" t="s">
        <v>120</v>
      </c>
      <c r="M578" t="s">
        <v>120</v>
      </c>
      <c r="N578" t="s">
        <v>120</v>
      </c>
      <c r="O578" t="s">
        <v>120</v>
      </c>
      <c r="P578" t="s">
        <v>120</v>
      </c>
      <c r="Q578" t="s">
        <v>120</v>
      </c>
      <c r="R578" t="s">
        <v>120</v>
      </c>
      <c r="S578" t="s">
        <v>120</v>
      </c>
      <c r="T578" t="s">
        <v>120</v>
      </c>
      <c r="U578" t="s">
        <v>120</v>
      </c>
      <c r="V578" t="s">
        <v>120</v>
      </c>
      <c r="W578" t="s">
        <v>120</v>
      </c>
      <c r="X578" t="s">
        <v>120</v>
      </c>
      <c r="Y578" t="s">
        <v>120</v>
      </c>
      <c r="Z578" t="s">
        <v>120</v>
      </c>
      <c r="AA578" t="s">
        <v>120</v>
      </c>
      <c r="AB578" t="s">
        <v>120</v>
      </c>
      <c r="AC578" t="s">
        <v>120</v>
      </c>
      <c r="AD578" t="s">
        <v>120</v>
      </c>
      <c r="AE578" t="s">
        <v>120</v>
      </c>
      <c r="AF578" t="s">
        <v>120</v>
      </c>
      <c r="AG578" t="s">
        <v>120</v>
      </c>
      <c r="AH578" t="s">
        <v>120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31.55</v>
      </c>
      <c r="AP578">
        <v>0</v>
      </c>
      <c r="AQ578">
        <v>0</v>
      </c>
      <c r="AR578">
        <v>70.2</v>
      </c>
      <c r="AS578">
        <v>0</v>
      </c>
    </row>
    <row r="579" spans="1:45" x14ac:dyDescent="0.25">
      <c r="A579" t="s">
        <v>1369</v>
      </c>
      <c r="B579" t="s">
        <v>1370</v>
      </c>
      <c r="C579" t="s">
        <v>147</v>
      </c>
      <c r="D579" t="s">
        <v>1354</v>
      </c>
      <c r="E579" t="s">
        <v>120</v>
      </c>
      <c r="F579" t="s">
        <v>120</v>
      </c>
      <c r="G579" t="s">
        <v>120</v>
      </c>
      <c r="H579" t="s">
        <v>120</v>
      </c>
      <c r="I579" t="s">
        <v>120</v>
      </c>
      <c r="J579" t="s">
        <v>120</v>
      </c>
      <c r="K579" t="s">
        <v>120</v>
      </c>
      <c r="L579" t="s">
        <v>120</v>
      </c>
      <c r="M579" t="s">
        <v>120</v>
      </c>
      <c r="N579" t="s">
        <v>120</v>
      </c>
      <c r="O579" t="s">
        <v>120</v>
      </c>
      <c r="P579" t="s">
        <v>120</v>
      </c>
      <c r="Q579" t="s">
        <v>120</v>
      </c>
      <c r="R579" t="s">
        <v>120</v>
      </c>
      <c r="S579" t="s">
        <v>120</v>
      </c>
      <c r="T579" t="s">
        <v>120</v>
      </c>
      <c r="U579" t="s">
        <v>120</v>
      </c>
      <c r="V579" t="s">
        <v>120</v>
      </c>
      <c r="W579" t="s">
        <v>120</v>
      </c>
      <c r="X579" t="s">
        <v>120</v>
      </c>
      <c r="Y579" t="s">
        <v>341</v>
      </c>
      <c r="Z579" t="s">
        <v>120</v>
      </c>
      <c r="AA579" t="s">
        <v>120</v>
      </c>
      <c r="AB579" t="s">
        <v>120</v>
      </c>
      <c r="AC579" t="s">
        <v>120</v>
      </c>
      <c r="AD579" t="s">
        <v>120</v>
      </c>
      <c r="AE579" t="s">
        <v>120</v>
      </c>
      <c r="AF579" t="s">
        <v>120</v>
      </c>
      <c r="AG579" t="s">
        <v>120</v>
      </c>
      <c r="AH579" t="s">
        <v>120</v>
      </c>
      <c r="AJ579">
        <v>0</v>
      </c>
      <c r="AK579">
        <v>4</v>
      </c>
      <c r="AL579">
        <v>4</v>
      </c>
      <c r="AM579">
        <v>0</v>
      </c>
      <c r="AN579">
        <v>0</v>
      </c>
      <c r="AO579">
        <v>31.55</v>
      </c>
      <c r="AP579">
        <v>4</v>
      </c>
      <c r="AQ579">
        <v>0</v>
      </c>
      <c r="AR579">
        <v>70.2</v>
      </c>
      <c r="AS579">
        <v>252.4</v>
      </c>
    </row>
    <row r="580" spans="1:45" x14ac:dyDescent="0.25">
      <c r="A580" t="s">
        <v>1371</v>
      </c>
      <c r="B580" t="s">
        <v>1372</v>
      </c>
      <c r="C580" t="s">
        <v>147</v>
      </c>
      <c r="D580" t="s">
        <v>1354</v>
      </c>
      <c r="E580" t="s">
        <v>120</v>
      </c>
      <c r="F580" t="s">
        <v>120</v>
      </c>
      <c r="G580" t="s">
        <v>120</v>
      </c>
      <c r="H580" t="s">
        <v>120</v>
      </c>
      <c r="I580" t="s">
        <v>120</v>
      </c>
      <c r="J580" t="s">
        <v>120</v>
      </c>
      <c r="K580" t="s">
        <v>120</v>
      </c>
      <c r="L580" t="s">
        <v>120</v>
      </c>
      <c r="M580" t="s">
        <v>120</v>
      </c>
      <c r="N580" t="s">
        <v>120</v>
      </c>
      <c r="O580" t="s">
        <v>120</v>
      </c>
      <c r="P580" t="s">
        <v>120</v>
      </c>
      <c r="Q580" t="s">
        <v>120</v>
      </c>
      <c r="R580" t="s">
        <v>120</v>
      </c>
      <c r="S580" t="s">
        <v>120</v>
      </c>
      <c r="T580" t="s">
        <v>120</v>
      </c>
      <c r="U580" t="s">
        <v>120</v>
      </c>
      <c r="V580" t="s">
        <v>120</v>
      </c>
      <c r="W580" t="s">
        <v>120</v>
      </c>
      <c r="X580" t="s">
        <v>120</v>
      </c>
      <c r="Y580" t="s">
        <v>341</v>
      </c>
      <c r="Z580" t="s">
        <v>120</v>
      </c>
      <c r="AA580" t="s">
        <v>120</v>
      </c>
      <c r="AB580" t="s">
        <v>120</v>
      </c>
      <c r="AC580" t="s">
        <v>120</v>
      </c>
      <c r="AD580" t="s">
        <v>120</v>
      </c>
      <c r="AE580" t="s">
        <v>120</v>
      </c>
      <c r="AF580" t="s">
        <v>120</v>
      </c>
      <c r="AG580" t="s">
        <v>120</v>
      </c>
      <c r="AH580" t="s">
        <v>120</v>
      </c>
      <c r="AJ580">
        <v>0</v>
      </c>
      <c r="AK580">
        <v>4</v>
      </c>
      <c r="AL580">
        <v>4</v>
      </c>
      <c r="AM580">
        <v>0</v>
      </c>
      <c r="AN580">
        <v>0</v>
      </c>
      <c r="AO580">
        <v>31.55</v>
      </c>
      <c r="AP580">
        <v>4</v>
      </c>
      <c r="AQ580">
        <v>0</v>
      </c>
      <c r="AR580">
        <v>70.2</v>
      </c>
      <c r="AS580">
        <v>252.4</v>
      </c>
    </row>
    <row r="581" spans="1:45" x14ac:dyDescent="0.25">
      <c r="A581" t="s">
        <v>1373</v>
      </c>
      <c r="B581" t="s">
        <v>1374</v>
      </c>
      <c r="C581" t="s">
        <v>147</v>
      </c>
      <c r="D581" t="s">
        <v>1354</v>
      </c>
      <c r="E581" t="s">
        <v>120</v>
      </c>
      <c r="F581" t="s">
        <v>120</v>
      </c>
      <c r="G581" t="s">
        <v>120</v>
      </c>
      <c r="H581" t="s">
        <v>120</v>
      </c>
      <c r="I581" t="s">
        <v>120</v>
      </c>
      <c r="J581" t="s">
        <v>120</v>
      </c>
      <c r="K581" t="s">
        <v>120</v>
      </c>
      <c r="L581" t="s">
        <v>120</v>
      </c>
      <c r="M581" t="s">
        <v>120</v>
      </c>
      <c r="N581" t="s">
        <v>120</v>
      </c>
      <c r="O581" t="s">
        <v>120</v>
      </c>
      <c r="P581" t="s">
        <v>120</v>
      </c>
      <c r="Q581" t="s">
        <v>120</v>
      </c>
      <c r="R581" t="s">
        <v>120</v>
      </c>
      <c r="S581" t="s">
        <v>120</v>
      </c>
      <c r="T581" t="s">
        <v>120</v>
      </c>
      <c r="U581" t="s">
        <v>120</v>
      </c>
      <c r="V581" t="s">
        <v>120</v>
      </c>
      <c r="W581" t="s">
        <v>120</v>
      </c>
      <c r="X581" t="s">
        <v>135</v>
      </c>
      <c r="Y581" t="s">
        <v>120</v>
      </c>
      <c r="Z581" t="s">
        <v>120</v>
      </c>
      <c r="AA581" t="s">
        <v>120</v>
      </c>
      <c r="AB581" t="s">
        <v>120</v>
      </c>
      <c r="AC581" t="s">
        <v>120</v>
      </c>
      <c r="AD581" t="s">
        <v>141</v>
      </c>
      <c r="AE581" t="s">
        <v>141</v>
      </c>
      <c r="AF581" t="s">
        <v>120</v>
      </c>
      <c r="AG581" t="s">
        <v>120</v>
      </c>
      <c r="AH581" t="s">
        <v>120</v>
      </c>
      <c r="AJ581">
        <v>0</v>
      </c>
      <c r="AK581">
        <v>24</v>
      </c>
      <c r="AL581">
        <v>16</v>
      </c>
      <c r="AM581">
        <v>8</v>
      </c>
      <c r="AN581">
        <v>0</v>
      </c>
      <c r="AO581">
        <v>31.55</v>
      </c>
      <c r="AP581">
        <v>24</v>
      </c>
      <c r="AQ581">
        <v>0</v>
      </c>
      <c r="AR581">
        <v>70.2</v>
      </c>
      <c r="AS581">
        <v>1514.4</v>
      </c>
    </row>
    <row r="582" spans="1:45" x14ac:dyDescent="0.25">
      <c r="A582" t="s">
        <v>1375</v>
      </c>
      <c r="B582" t="s">
        <v>1376</v>
      </c>
      <c r="C582" t="s">
        <v>147</v>
      </c>
      <c r="D582" t="s">
        <v>1354</v>
      </c>
      <c r="E582" t="s">
        <v>120</v>
      </c>
      <c r="F582" t="s">
        <v>141</v>
      </c>
      <c r="G582" t="s">
        <v>120</v>
      </c>
      <c r="H582" t="s">
        <v>120</v>
      </c>
      <c r="I582" t="s">
        <v>120</v>
      </c>
      <c r="J582" t="s">
        <v>120</v>
      </c>
      <c r="K582" t="s">
        <v>120</v>
      </c>
      <c r="L582" t="s">
        <v>120</v>
      </c>
      <c r="M582" t="s">
        <v>120</v>
      </c>
      <c r="N582" t="s">
        <v>120</v>
      </c>
      <c r="O582" t="s">
        <v>120</v>
      </c>
      <c r="P582" t="s">
        <v>120</v>
      </c>
      <c r="Q582" t="s">
        <v>120</v>
      </c>
      <c r="R582" t="s">
        <v>120</v>
      </c>
      <c r="S582" t="s">
        <v>120</v>
      </c>
      <c r="T582" t="s">
        <v>120</v>
      </c>
      <c r="U582" t="s">
        <v>120</v>
      </c>
      <c r="V582" t="s">
        <v>120</v>
      </c>
      <c r="W582" t="s">
        <v>120</v>
      </c>
      <c r="X582" t="s">
        <v>135</v>
      </c>
      <c r="Y582" t="s">
        <v>141</v>
      </c>
      <c r="Z582" t="s">
        <v>120</v>
      </c>
      <c r="AA582" t="s">
        <v>120</v>
      </c>
      <c r="AB582" t="s">
        <v>120</v>
      </c>
      <c r="AC582" t="s">
        <v>120</v>
      </c>
      <c r="AD582" t="s">
        <v>141</v>
      </c>
      <c r="AE582" t="s">
        <v>141</v>
      </c>
      <c r="AF582" t="s">
        <v>120</v>
      </c>
      <c r="AG582" t="s">
        <v>120</v>
      </c>
      <c r="AH582" t="s">
        <v>120</v>
      </c>
      <c r="AJ582">
        <v>0</v>
      </c>
      <c r="AK582">
        <v>40</v>
      </c>
      <c r="AL582">
        <v>32</v>
      </c>
      <c r="AM582">
        <v>8</v>
      </c>
      <c r="AN582">
        <v>0</v>
      </c>
      <c r="AO582">
        <v>31.55</v>
      </c>
      <c r="AP582">
        <v>40</v>
      </c>
      <c r="AQ582">
        <v>0</v>
      </c>
      <c r="AR582">
        <v>70.2</v>
      </c>
      <c r="AS582">
        <v>2524</v>
      </c>
    </row>
    <row r="583" spans="1:45" x14ac:dyDescent="0.25">
      <c r="A583" t="s">
        <v>1377</v>
      </c>
      <c r="B583" t="s">
        <v>1378</v>
      </c>
      <c r="C583" t="s">
        <v>147</v>
      </c>
      <c r="D583" t="s">
        <v>1354</v>
      </c>
      <c r="E583" t="s">
        <v>120</v>
      </c>
      <c r="F583" t="s">
        <v>120</v>
      </c>
      <c r="G583" t="s">
        <v>120</v>
      </c>
      <c r="H583" t="s">
        <v>120</v>
      </c>
      <c r="I583" t="s">
        <v>120</v>
      </c>
      <c r="J583" t="s">
        <v>120</v>
      </c>
      <c r="K583" t="s">
        <v>120</v>
      </c>
      <c r="L583" t="s">
        <v>120</v>
      </c>
      <c r="M583" t="s">
        <v>120</v>
      </c>
      <c r="N583" t="s">
        <v>120</v>
      </c>
      <c r="O583" t="s">
        <v>120</v>
      </c>
      <c r="P583" t="s">
        <v>120</v>
      </c>
      <c r="Q583" t="s">
        <v>120</v>
      </c>
      <c r="R583" t="s">
        <v>120</v>
      </c>
      <c r="S583" t="s">
        <v>120</v>
      </c>
      <c r="T583" t="s">
        <v>120</v>
      </c>
      <c r="U583" t="s">
        <v>120</v>
      </c>
      <c r="V583" t="s">
        <v>120</v>
      </c>
      <c r="W583" t="s">
        <v>120</v>
      </c>
      <c r="X583" t="s">
        <v>120</v>
      </c>
      <c r="Y583" t="s">
        <v>141</v>
      </c>
      <c r="Z583" t="s">
        <v>120</v>
      </c>
      <c r="AA583" t="s">
        <v>120</v>
      </c>
      <c r="AB583" t="s">
        <v>120</v>
      </c>
      <c r="AC583" t="s">
        <v>120</v>
      </c>
      <c r="AD583" t="s">
        <v>120</v>
      </c>
      <c r="AE583" t="s">
        <v>120</v>
      </c>
      <c r="AF583" t="s">
        <v>120</v>
      </c>
      <c r="AG583" t="s">
        <v>120</v>
      </c>
      <c r="AH583" t="s">
        <v>120</v>
      </c>
      <c r="AJ583">
        <v>0</v>
      </c>
      <c r="AK583">
        <v>8</v>
      </c>
      <c r="AL583">
        <v>8</v>
      </c>
      <c r="AM583">
        <v>0</v>
      </c>
      <c r="AN583">
        <v>0</v>
      </c>
      <c r="AO583">
        <v>31.55</v>
      </c>
      <c r="AP583">
        <v>8</v>
      </c>
      <c r="AQ583">
        <v>0</v>
      </c>
      <c r="AR583">
        <v>70.2</v>
      </c>
      <c r="AS583">
        <v>504.8</v>
      </c>
    </row>
    <row r="584" spans="1:45" x14ac:dyDescent="0.25">
      <c r="A584" t="s">
        <v>1379</v>
      </c>
      <c r="B584" t="s">
        <v>1380</v>
      </c>
      <c r="C584" t="s">
        <v>147</v>
      </c>
      <c r="D584" t="s">
        <v>1354</v>
      </c>
      <c r="E584" t="s">
        <v>120</v>
      </c>
      <c r="F584" t="s">
        <v>120</v>
      </c>
      <c r="G584" t="s">
        <v>120</v>
      </c>
      <c r="H584" t="s">
        <v>120</v>
      </c>
      <c r="I584" t="s">
        <v>120</v>
      </c>
      <c r="J584" t="s">
        <v>120</v>
      </c>
      <c r="K584" t="s">
        <v>120</v>
      </c>
      <c r="L584" t="s">
        <v>120</v>
      </c>
      <c r="M584" t="s">
        <v>120</v>
      </c>
      <c r="N584" t="s">
        <v>120</v>
      </c>
      <c r="O584" t="s">
        <v>120</v>
      </c>
      <c r="P584" t="s">
        <v>120</v>
      </c>
      <c r="Q584" t="s">
        <v>120</v>
      </c>
      <c r="R584" t="s">
        <v>120</v>
      </c>
      <c r="S584" t="s">
        <v>120</v>
      </c>
      <c r="T584" t="s">
        <v>120</v>
      </c>
      <c r="U584" t="s">
        <v>120</v>
      </c>
      <c r="V584" t="s">
        <v>120</v>
      </c>
      <c r="W584" t="s">
        <v>120</v>
      </c>
      <c r="X584" t="s">
        <v>120</v>
      </c>
      <c r="Y584" t="s">
        <v>141</v>
      </c>
      <c r="Z584" t="s">
        <v>120</v>
      </c>
      <c r="AA584" t="s">
        <v>120</v>
      </c>
      <c r="AB584" t="s">
        <v>120</v>
      </c>
      <c r="AC584" t="s">
        <v>120</v>
      </c>
      <c r="AD584" t="s">
        <v>120</v>
      </c>
      <c r="AE584" t="s">
        <v>120</v>
      </c>
      <c r="AF584" t="s">
        <v>120</v>
      </c>
      <c r="AG584" t="s">
        <v>120</v>
      </c>
      <c r="AH584" t="s">
        <v>120</v>
      </c>
      <c r="AJ584">
        <v>0</v>
      </c>
      <c r="AK584">
        <v>8</v>
      </c>
      <c r="AL584">
        <v>8</v>
      </c>
      <c r="AM584">
        <v>0</v>
      </c>
      <c r="AN584">
        <v>0</v>
      </c>
      <c r="AO584">
        <v>31.55</v>
      </c>
      <c r="AP584">
        <v>8</v>
      </c>
      <c r="AQ584">
        <v>0</v>
      </c>
      <c r="AR584">
        <v>70.2</v>
      </c>
      <c r="AS584">
        <v>504.8</v>
      </c>
    </row>
    <row r="585" spans="1:45" x14ac:dyDescent="0.25">
      <c r="A585" t="s">
        <v>1381</v>
      </c>
      <c r="B585" t="s">
        <v>1382</v>
      </c>
      <c r="C585" t="s">
        <v>147</v>
      </c>
      <c r="D585" t="s">
        <v>1354</v>
      </c>
      <c r="E585" t="s">
        <v>120</v>
      </c>
      <c r="F585" t="s">
        <v>141</v>
      </c>
      <c r="G585" t="s">
        <v>120</v>
      </c>
      <c r="H585" t="s">
        <v>120</v>
      </c>
      <c r="I585" t="s">
        <v>120</v>
      </c>
      <c r="J585" t="s">
        <v>120</v>
      </c>
      <c r="K585" t="s">
        <v>120</v>
      </c>
      <c r="L585" t="s">
        <v>120</v>
      </c>
      <c r="M585" t="s">
        <v>120</v>
      </c>
      <c r="N585" t="s">
        <v>120</v>
      </c>
      <c r="O585" t="s">
        <v>120</v>
      </c>
      <c r="P585" t="s">
        <v>120</v>
      </c>
      <c r="Q585" t="s">
        <v>120</v>
      </c>
      <c r="R585" t="s">
        <v>120</v>
      </c>
      <c r="S585" t="s">
        <v>120</v>
      </c>
      <c r="T585" t="s">
        <v>120</v>
      </c>
      <c r="U585" t="s">
        <v>120</v>
      </c>
      <c r="V585" t="s">
        <v>120</v>
      </c>
      <c r="W585" t="s">
        <v>120</v>
      </c>
      <c r="X585" t="s">
        <v>120</v>
      </c>
      <c r="Y585" t="s">
        <v>120</v>
      </c>
      <c r="Z585" t="s">
        <v>120</v>
      </c>
      <c r="AA585" t="s">
        <v>120</v>
      </c>
      <c r="AB585" t="s">
        <v>120</v>
      </c>
      <c r="AC585" t="s">
        <v>120</v>
      </c>
      <c r="AD585" t="s">
        <v>120</v>
      </c>
      <c r="AE585" t="s">
        <v>120</v>
      </c>
      <c r="AF585" t="s">
        <v>120</v>
      </c>
      <c r="AG585" t="s">
        <v>120</v>
      </c>
      <c r="AH585" t="s">
        <v>120</v>
      </c>
      <c r="AJ585">
        <v>0</v>
      </c>
      <c r="AK585">
        <v>8</v>
      </c>
      <c r="AL585">
        <v>8</v>
      </c>
      <c r="AM585">
        <v>0</v>
      </c>
      <c r="AN585">
        <v>0</v>
      </c>
      <c r="AO585">
        <v>31.55</v>
      </c>
      <c r="AP585">
        <v>8</v>
      </c>
      <c r="AQ585">
        <v>0</v>
      </c>
      <c r="AR585">
        <v>70.2</v>
      </c>
      <c r="AS585">
        <v>504.8</v>
      </c>
    </row>
    <row r="586" spans="1:45" x14ac:dyDescent="0.25">
      <c r="A586" t="s">
        <v>1383</v>
      </c>
      <c r="B586" t="s">
        <v>1384</v>
      </c>
      <c r="C586" t="s">
        <v>147</v>
      </c>
      <c r="D586" t="s">
        <v>1354</v>
      </c>
      <c r="E586" t="s">
        <v>120</v>
      </c>
      <c r="F586" t="s">
        <v>141</v>
      </c>
      <c r="G586" t="s">
        <v>120</v>
      </c>
      <c r="H586" t="s">
        <v>120</v>
      </c>
      <c r="I586" t="s">
        <v>120</v>
      </c>
      <c r="J586" t="s">
        <v>120</v>
      </c>
      <c r="K586" t="s">
        <v>120</v>
      </c>
      <c r="L586" t="s">
        <v>120</v>
      </c>
      <c r="M586" t="s">
        <v>120</v>
      </c>
      <c r="N586" t="s">
        <v>120</v>
      </c>
      <c r="O586" t="s">
        <v>120</v>
      </c>
      <c r="P586" t="s">
        <v>120</v>
      </c>
      <c r="Q586" t="s">
        <v>120</v>
      </c>
      <c r="R586" t="s">
        <v>120</v>
      </c>
      <c r="S586" t="s">
        <v>120</v>
      </c>
      <c r="T586" t="s">
        <v>120</v>
      </c>
      <c r="U586" t="s">
        <v>120</v>
      </c>
      <c r="V586" t="s">
        <v>120</v>
      </c>
      <c r="W586" t="s">
        <v>120</v>
      </c>
      <c r="X586" t="s">
        <v>120</v>
      </c>
      <c r="Y586" t="s">
        <v>141</v>
      </c>
      <c r="Z586" t="s">
        <v>120</v>
      </c>
      <c r="AA586" t="s">
        <v>120</v>
      </c>
      <c r="AB586" t="s">
        <v>120</v>
      </c>
      <c r="AC586" t="s">
        <v>120</v>
      </c>
      <c r="AD586" t="s">
        <v>120</v>
      </c>
      <c r="AE586" t="s">
        <v>120</v>
      </c>
      <c r="AF586" t="s">
        <v>120</v>
      </c>
      <c r="AG586" t="s">
        <v>120</v>
      </c>
      <c r="AH586" t="s">
        <v>120</v>
      </c>
      <c r="AJ586">
        <v>0</v>
      </c>
      <c r="AK586">
        <v>16</v>
      </c>
      <c r="AL586">
        <v>16</v>
      </c>
      <c r="AM586">
        <v>0</v>
      </c>
      <c r="AN586">
        <v>0</v>
      </c>
      <c r="AO586">
        <v>31.55</v>
      </c>
      <c r="AP586">
        <v>16</v>
      </c>
      <c r="AQ586">
        <v>0</v>
      </c>
      <c r="AR586">
        <v>70.2</v>
      </c>
      <c r="AS586">
        <v>1009.6</v>
      </c>
    </row>
    <row r="587" spans="1:45" x14ac:dyDescent="0.25">
      <c r="A587" t="s">
        <v>1385</v>
      </c>
      <c r="B587" t="s">
        <v>1386</v>
      </c>
      <c r="C587" t="s">
        <v>147</v>
      </c>
      <c r="D587" t="s">
        <v>1354</v>
      </c>
      <c r="E587" t="s">
        <v>120</v>
      </c>
      <c r="F587" t="s">
        <v>120</v>
      </c>
      <c r="G587" t="s">
        <v>120</v>
      </c>
      <c r="H587" t="s">
        <v>120</v>
      </c>
      <c r="I587" t="s">
        <v>120</v>
      </c>
      <c r="J587" t="s">
        <v>120</v>
      </c>
      <c r="K587" t="s">
        <v>120</v>
      </c>
      <c r="L587" t="s">
        <v>120</v>
      </c>
      <c r="M587" t="s">
        <v>120</v>
      </c>
      <c r="N587" t="s">
        <v>120</v>
      </c>
      <c r="O587" t="s">
        <v>120</v>
      </c>
      <c r="P587" t="s">
        <v>120</v>
      </c>
      <c r="Q587" t="s">
        <v>120</v>
      </c>
      <c r="R587" t="s">
        <v>120</v>
      </c>
      <c r="S587" t="s">
        <v>120</v>
      </c>
      <c r="T587" t="s">
        <v>120</v>
      </c>
      <c r="U587" t="s">
        <v>120</v>
      </c>
      <c r="V587" t="s">
        <v>120</v>
      </c>
      <c r="W587" t="s">
        <v>120</v>
      </c>
      <c r="X587" t="s">
        <v>120</v>
      </c>
      <c r="Y587" t="s">
        <v>141</v>
      </c>
      <c r="Z587" t="s">
        <v>120</v>
      </c>
      <c r="AA587" t="s">
        <v>120</v>
      </c>
      <c r="AB587" t="s">
        <v>120</v>
      </c>
      <c r="AC587" t="s">
        <v>120</v>
      </c>
      <c r="AD587" t="s">
        <v>120</v>
      </c>
      <c r="AE587" t="s">
        <v>120</v>
      </c>
      <c r="AF587" t="s">
        <v>120</v>
      </c>
      <c r="AG587" t="s">
        <v>120</v>
      </c>
      <c r="AH587" t="s">
        <v>120</v>
      </c>
      <c r="AJ587">
        <v>0</v>
      </c>
      <c r="AK587">
        <v>8</v>
      </c>
      <c r="AL587">
        <v>8</v>
      </c>
      <c r="AM587">
        <v>0</v>
      </c>
      <c r="AN587">
        <v>0</v>
      </c>
      <c r="AO587">
        <v>28.25</v>
      </c>
      <c r="AP587">
        <v>8</v>
      </c>
      <c r="AQ587">
        <v>0</v>
      </c>
      <c r="AR587">
        <v>70.2</v>
      </c>
      <c r="AS587">
        <v>452</v>
      </c>
    </row>
    <row r="588" spans="1:45" x14ac:dyDescent="0.25">
      <c r="A588" t="s">
        <v>1387</v>
      </c>
      <c r="B588" t="s">
        <v>1388</v>
      </c>
      <c r="C588" t="s">
        <v>147</v>
      </c>
      <c r="D588" t="s">
        <v>1354</v>
      </c>
      <c r="E588" t="s">
        <v>120</v>
      </c>
      <c r="F588" t="s">
        <v>120</v>
      </c>
      <c r="G588" t="s">
        <v>120</v>
      </c>
      <c r="H588" t="s">
        <v>120</v>
      </c>
      <c r="I588" t="s">
        <v>120</v>
      </c>
      <c r="J588" t="s">
        <v>120</v>
      </c>
      <c r="K588" t="s">
        <v>120</v>
      </c>
      <c r="L588" t="s">
        <v>120</v>
      </c>
      <c r="M588" t="s">
        <v>120</v>
      </c>
      <c r="N588" t="s">
        <v>120</v>
      </c>
      <c r="O588" t="s">
        <v>120</v>
      </c>
      <c r="P588" t="s">
        <v>120</v>
      </c>
      <c r="Q588" t="s">
        <v>120</v>
      </c>
      <c r="R588" t="s">
        <v>120</v>
      </c>
      <c r="S588" t="s">
        <v>120</v>
      </c>
      <c r="T588" t="s">
        <v>120</v>
      </c>
      <c r="U588" t="s">
        <v>120</v>
      </c>
      <c r="V588" t="s">
        <v>120</v>
      </c>
      <c r="W588" t="s">
        <v>120</v>
      </c>
      <c r="X588" t="s">
        <v>120</v>
      </c>
      <c r="Y588" t="s">
        <v>120</v>
      </c>
      <c r="Z588" t="s">
        <v>120</v>
      </c>
      <c r="AA588" t="s">
        <v>120</v>
      </c>
      <c r="AB588" t="s">
        <v>120</v>
      </c>
      <c r="AC588" t="s">
        <v>120</v>
      </c>
      <c r="AD588" t="s">
        <v>120</v>
      </c>
      <c r="AE588" t="s">
        <v>120</v>
      </c>
      <c r="AF588" t="s">
        <v>120</v>
      </c>
      <c r="AG588" t="s">
        <v>120</v>
      </c>
      <c r="AH588" t="s">
        <v>120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31.55</v>
      </c>
      <c r="AP588">
        <v>0</v>
      </c>
      <c r="AQ588">
        <v>0</v>
      </c>
      <c r="AR588">
        <v>70.2</v>
      </c>
      <c r="AS588">
        <v>0</v>
      </c>
    </row>
    <row r="589" spans="1:45" s="8" customFormat="1" x14ac:dyDescent="0.25">
      <c r="A589" s="8" t="s">
        <v>1389</v>
      </c>
      <c r="B589" s="8" t="s">
        <v>1390</v>
      </c>
      <c r="C589" s="8" t="s">
        <v>147</v>
      </c>
      <c r="D589" s="8" t="s">
        <v>1354</v>
      </c>
      <c r="E589" s="8" t="s">
        <v>120</v>
      </c>
      <c r="F589" s="8" t="s">
        <v>120</v>
      </c>
      <c r="G589" s="8" t="s">
        <v>120</v>
      </c>
      <c r="H589" s="8" t="s">
        <v>120</v>
      </c>
      <c r="I589" s="8" t="s">
        <v>120</v>
      </c>
      <c r="J589" s="8" t="s">
        <v>120</v>
      </c>
      <c r="K589" s="8" t="s">
        <v>120</v>
      </c>
      <c r="L589" s="8" t="s">
        <v>120</v>
      </c>
      <c r="M589" s="8" t="s">
        <v>120</v>
      </c>
      <c r="N589" s="8" t="s">
        <v>120</v>
      </c>
      <c r="O589" s="8" t="s">
        <v>120</v>
      </c>
      <c r="P589" s="8" t="s">
        <v>120</v>
      </c>
      <c r="Q589" s="8" t="s">
        <v>120</v>
      </c>
      <c r="R589" s="8" t="s">
        <v>120</v>
      </c>
      <c r="S589" s="8" t="s">
        <v>120</v>
      </c>
      <c r="T589" s="8" t="s">
        <v>120</v>
      </c>
      <c r="U589" s="8" t="s">
        <v>120</v>
      </c>
      <c r="V589" s="8" t="s">
        <v>120</v>
      </c>
      <c r="W589" s="8" t="s">
        <v>120</v>
      </c>
      <c r="X589" s="8" t="s">
        <v>120</v>
      </c>
      <c r="Y589" s="8" t="s">
        <v>120</v>
      </c>
      <c r="Z589" s="8" t="s">
        <v>120</v>
      </c>
      <c r="AA589" s="8" t="s">
        <v>120</v>
      </c>
      <c r="AB589" s="8" t="s">
        <v>120</v>
      </c>
      <c r="AC589" s="8" t="s">
        <v>120</v>
      </c>
      <c r="AD589" s="8" t="s">
        <v>120</v>
      </c>
      <c r="AE589" s="8" t="s">
        <v>120</v>
      </c>
      <c r="AF589" s="8" t="s">
        <v>120</v>
      </c>
      <c r="AG589" s="8" t="s">
        <v>120</v>
      </c>
      <c r="AH589" s="8" t="s">
        <v>120</v>
      </c>
      <c r="AJ589" s="8">
        <v>0</v>
      </c>
      <c r="AK589" s="8">
        <v>0</v>
      </c>
      <c r="AL589" s="8">
        <v>0</v>
      </c>
      <c r="AM589" s="8">
        <v>0</v>
      </c>
      <c r="AN589" s="8">
        <v>0</v>
      </c>
      <c r="AO589" s="8">
        <v>31.55</v>
      </c>
      <c r="AP589" s="8">
        <v>0</v>
      </c>
      <c r="AQ589" s="8">
        <v>0</v>
      </c>
      <c r="AR589" s="8">
        <v>70.2</v>
      </c>
      <c r="AS589" s="8">
        <v>0</v>
      </c>
    </row>
    <row r="590" spans="1:45" x14ac:dyDescent="0.25">
      <c r="A590" t="s">
        <v>1391</v>
      </c>
      <c r="B590" t="s">
        <v>1392</v>
      </c>
      <c r="C590" t="s">
        <v>127</v>
      </c>
      <c r="D590" t="s">
        <v>1354</v>
      </c>
      <c r="E590" t="s">
        <v>120</v>
      </c>
      <c r="F590" t="s">
        <v>120</v>
      </c>
      <c r="G590" t="s">
        <v>120</v>
      </c>
      <c r="H590" t="s">
        <v>120</v>
      </c>
      <c r="I590" t="s">
        <v>120</v>
      </c>
      <c r="J590" t="s">
        <v>120</v>
      </c>
      <c r="K590" t="s">
        <v>120</v>
      </c>
      <c r="L590" t="s">
        <v>120</v>
      </c>
      <c r="M590" t="s">
        <v>120</v>
      </c>
      <c r="N590" t="s">
        <v>120</v>
      </c>
      <c r="O590" t="s">
        <v>120</v>
      </c>
      <c r="P590" t="s">
        <v>120</v>
      </c>
      <c r="Q590" t="s">
        <v>120</v>
      </c>
      <c r="R590" t="s">
        <v>120</v>
      </c>
      <c r="S590" t="s">
        <v>120</v>
      </c>
      <c r="T590" t="s">
        <v>120</v>
      </c>
      <c r="U590" t="s">
        <v>120</v>
      </c>
      <c r="V590" t="s">
        <v>120</v>
      </c>
      <c r="W590" t="s">
        <v>120</v>
      </c>
      <c r="X590" t="s">
        <v>120</v>
      </c>
      <c r="Y590" t="s">
        <v>120</v>
      </c>
      <c r="Z590" t="s">
        <v>120</v>
      </c>
      <c r="AA590" t="s">
        <v>120</v>
      </c>
      <c r="AB590" t="s">
        <v>120</v>
      </c>
      <c r="AC590" t="s">
        <v>120</v>
      </c>
      <c r="AD590" t="s">
        <v>120</v>
      </c>
      <c r="AE590" t="s">
        <v>120</v>
      </c>
      <c r="AF590" t="s">
        <v>120</v>
      </c>
      <c r="AG590" t="s">
        <v>120</v>
      </c>
      <c r="AH590" t="s">
        <v>120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33.43</v>
      </c>
      <c r="AP590">
        <v>0</v>
      </c>
      <c r="AQ590">
        <v>0</v>
      </c>
      <c r="AR590">
        <v>75.06</v>
      </c>
      <c r="AS590">
        <v>0</v>
      </c>
    </row>
    <row r="591" spans="1:45" x14ac:dyDescent="0.25">
      <c r="A591" t="s">
        <v>1393</v>
      </c>
      <c r="B591" t="s">
        <v>1394</v>
      </c>
      <c r="C591" t="s">
        <v>147</v>
      </c>
      <c r="D591" t="s">
        <v>1354</v>
      </c>
      <c r="E591" t="s">
        <v>120</v>
      </c>
      <c r="F591" t="s">
        <v>141</v>
      </c>
      <c r="G591" t="s">
        <v>120</v>
      </c>
      <c r="H591" t="s">
        <v>120</v>
      </c>
      <c r="I591" t="s">
        <v>120</v>
      </c>
      <c r="J591" t="s">
        <v>120</v>
      </c>
      <c r="K591" t="s">
        <v>120</v>
      </c>
      <c r="L591" t="s">
        <v>120</v>
      </c>
      <c r="M591" t="s">
        <v>120</v>
      </c>
      <c r="N591" t="s">
        <v>120</v>
      </c>
      <c r="O591" t="s">
        <v>120</v>
      </c>
      <c r="P591" t="s">
        <v>120</v>
      </c>
      <c r="Q591" t="s">
        <v>120</v>
      </c>
      <c r="R591" t="s">
        <v>120</v>
      </c>
      <c r="S591" t="s">
        <v>120</v>
      </c>
      <c r="T591" t="s">
        <v>120</v>
      </c>
      <c r="U591" t="s">
        <v>120</v>
      </c>
      <c r="V591" t="s">
        <v>120</v>
      </c>
      <c r="W591" t="s">
        <v>120</v>
      </c>
      <c r="X591" t="s">
        <v>120</v>
      </c>
      <c r="Y591" t="s">
        <v>141</v>
      </c>
      <c r="Z591" t="s">
        <v>120</v>
      </c>
      <c r="AA591" t="s">
        <v>120</v>
      </c>
      <c r="AB591" t="s">
        <v>120</v>
      </c>
      <c r="AC591" t="s">
        <v>120</v>
      </c>
      <c r="AD591" t="s">
        <v>120</v>
      </c>
      <c r="AE591" t="s">
        <v>120</v>
      </c>
      <c r="AF591" t="s">
        <v>120</v>
      </c>
      <c r="AG591" t="s">
        <v>120</v>
      </c>
      <c r="AH591" t="s">
        <v>120</v>
      </c>
      <c r="AJ591">
        <v>0</v>
      </c>
      <c r="AK591">
        <v>16</v>
      </c>
      <c r="AL591">
        <v>16</v>
      </c>
      <c r="AM591">
        <v>0</v>
      </c>
      <c r="AN591">
        <v>0</v>
      </c>
      <c r="AO591">
        <v>31.55</v>
      </c>
      <c r="AP591">
        <v>16</v>
      </c>
      <c r="AQ591">
        <v>0</v>
      </c>
      <c r="AR591">
        <v>70.2</v>
      </c>
      <c r="AS591">
        <v>1009.6</v>
      </c>
    </row>
    <row r="592" spans="1:45" x14ac:dyDescent="0.25">
      <c r="A592" t="s">
        <v>1395</v>
      </c>
      <c r="B592" t="s">
        <v>1396</v>
      </c>
      <c r="C592" t="s">
        <v>147</v>
      </c>
      <c r="D592" t="s">
        <v>1354</v>
      </c>
      <c r="E592" t="s">
        <v>120</v>
      </c>
      <c r="F592" t="s">
        <v>120</v>
      </c>
      <c r="G592" t="s">
        <v>120</v>
      </c>
      <c r="H592" t="s">
        <v>120</v>
      </c>
      <c r="I592" t="s">
        <v>120</v>
      </c>
      <c r="J592" t="s">
        <v>120</v>
      </c>
      <c r="K592" t="s">
        <v>120</v>
      </c>
      <c r="L592" t="s">
        <v>120</v>
      </c>
      <c r="M592" t="s">
        <v>120</v>
      </c>
      <c r="N592" t="s">
        <v>120</v>
      </c>
      <c r="O592" t="s">
        <v>120</v>
      </c>
      <c r="P592" t="s">
        <v>120</v>
      </c>
      <c r="Q592" t="s">
        <v>120</v>
      </c>
      <c r="R592" t="s">
        <v>120</v>
      </c>
      <c r="S592" t="s">
        <v>120</v>
      </c>
      <c r="T592" t="s">
        <v>120</v>
      </c>
      <c r="U592" t="s">
        <v>120</v>
      </c>
      <c r="V592" t="s">
        <v>120</v>
      </c>
      <c r="W592" t="s">
        <v>120</v>
      </c>
      <c r="X592" t="s">
        <v>120</v>
      </c>
      <c r="Y592" t="s">
        <v>341</v>
      </c>
      <c r="Z592" t="s">
        <v>120</v>
      </c>
      <c r="AA592" t="s">
        <v>120</v>
      </c>
      <c r="AB592" t="s">
        <v>120</v>
      </c>
      <c r="AC592" t="s">
        <v>120</v>
      </c>
      <c r="AD592" t="s">
        <v>120</v>
      </c>
      <c r="AE592" t="s">
        <v>120</v>
      </c>
      <c r="AF592" t="s">
        <v>120</v>
      </c>
      <c r="AG592" t="s">
        <v>120</v>
      </c>
      <c r="AH592" t="s">
        <v>120</v>
      </c>
      <c r="AJ592">
        <v>0</v>
      </c>
      <c r="AK592">
        <v>4</v>
      </c>
      <c r="AL592">
        <v>4</v>
      </c>
      <c r="AM592">
        <v>0</v>
      </c>
      <c r="AN592">
        <v>0</v>
      </c>
      <c r="AO592">
        <v>31.55</v>
      </c>
      <c r="AP592">
        <v>4</v>
      </c>
      <c r="AQ592">
        <v>0</v>
      </c>
      <c r="AR592">
        <v>70.2</v>
      </c>
      <c r="AS592">
        <v>252.4</v>
      </c>
    </row>
    <row r="593" spans="1:45" x14ac:dyDescent="0.25">
      <c r="A593" t="s">
        <v>1397</v>
      </c>
      <c r="B593" t="s">
        <v>1398</v>
      </c>
      <c r="C593" t="s">
        <v>147</v>
      </c>
      <c r="D593" t="s">
        <v>1354</v>
      </c>
      <c r="E593" t="s">
        <v>120</v>
      </c>
      <c r="F593" t="s">
        <v>120</v>
      </c>
      <c r="G593" t="s">
        <v>120</v>
      </c>
      <c r="H593" t="s">
        <v>120</v>
      </c>
      <c r="I593" t="s">
        <v>120</v>
      </c>
      <c r="J593" t="s">
        <v>120</v>
      </c>
      <c r="K593" t="s">
        <v>120</v>
      </c>
      <c r="L593" t="s">
        <v>120</v>
      </c>
      <c r="M593" t="s">
        <v>120</v>
      </c>
      <c r="N593" t="s">
        <v>120</v>
      </c>
      <c r="O593" t="s">
        <v>120</v>
      </c>
      <c r="P593" t="s">
        <v>120</v>
      </c>
      <c r="Q593" t="s">
        <v>120</v>
      </c>
      <c r="R593" t="s">
        <v>120</v>
      </c>
      <c r="S593" t="s">
        <v>120</v>
      </c>
      <c r="T593" t="s">
        <v>120</v>
      </c>
      <c r="U593" t="s">
        <v>120</v>
      </c>
      <c r="V593" t="s">
        <v>120</v>
      </c>
      <c r="W593" t="s">
        <v>120</v>
      </c>
      <c r="X593" t="s">
        <v>120</v>
      </c>
      <c r="Y593" t="s">
        <v>341</v>
      </c>
      <c r="Z593" t="s">
        <v>120</v>
      </c>
      <c r="AA593" t="s">
        <v>120</v>
      </c>
      <c r="AB593" t="s">
        <v>120</v>
      </c>
      <c r="AC593" t="s">
        <v>120</v>
      </c>
      <c r="AD593" t="s">
        <v>120</v>
      </c>
      <c r="AE593" t="s">
        <v>120</v>
      </c>
      <c r="AF593" t="s">
        <v>120</v>
      </c>
      <c r="AG593" t="s">
        <v>120</v>
      </c>
      <c r="AH593" t="s">
        <v>120</v>
      </c>
      <c r="AJ593">
        <v>0</v>
      </c>
      <c r="AK593">
        <v>4</v>
      </c>
      <c r="AL593">
        <v>4</v>
      </c>
      <c r="AM593">
        <v>0</v>
      </c>
      <c r="AN593">
        <v>0</v>
      </c>
      <c r="AO593">
        <v>31.55</v>
      </c>
      <c r="AP593">
        <v>4</v>
      </c>
      <c r="AQ593">
        <v>0</v>
      </c>
      <c r="AR593">
        <v>70.2</v>
      </c>
      <c r="AS593">
        <v>252.4</v>
      </c>
    </row>
    <row r="594" spans="1:45" x14ac:dyDescent="0.25">
      <c r="A594" t="s">
        <v>1399</v>
      </c>
      <c r="B594" t="s">
        <v>1400</v>
      </c>
      <c r="C594" t="s">
        <v>127</v>
      </c>
      <c r="D594" t="s">
        <v>1354</v>
      </c>
      <c r="E594" t="s">
        <v>120</v>
      </c>
      <c r="F594" t="s">
        <v>120</v>
      </c>
      <c r="G594" t="s">
        <v>120</v>
      </c>
      <c r="H594" t="s">
        <v>120</v>
      </c>
      <c r="I594" t="s">
        <v>120</v>
      </c>
      <c r="J594" t="s">
        <v>120</v>
      </c>
      <c r="K594" t="s">
        <v>120</v>
      </c>
      <c r="L594" t="s">
        <v>120</v>
      </c>
      <c r="M594" t="s">
        <v>120</v>
      </c>
      <c r="N594" t="s">
        <v>120</v>
      </c>
      <c r="O594" t="s">
        <v>120</v>
      </c>
      <c r="P594" t="s">
        <v>120</v>
      </c>
      <c r="Q594" t="s">
        <v>120</v>
      </c>
      <c r="R594" t="s">
        <v>120</v>
      </c>
      <c r="S594" t="s">
        <v>120</v>
      </c>
      <c r="T594" t="s">
        <v>120</v>
      </c>
      <c r="U594" t="s">
        <v>120</v>
      </c>
      <c r="V594" t="s">
        <v>120</v>
      </c>
      <c r="W594" t="s">
        <v>120</v>
      </c>
      <c r="X594" t="s">
        <v>120</v>
      </c>
      <c r="Y594" t="s">
        <v>120</v>
      </c>
      <c r="Z594" t="s">
        <v>120</v>
      </c>
      <c r="AA594" t="s">
        <v>120</v>
      </c>
      <c r="AB594" t="s">
        <v>120</v>
      </c>
      <c r="AC594" t="s">
        <v>120</v>
      </c>
      <c r="AD594" t="s">
        <v>120</v>
      </c>
      <c r="AE594" t="s">
        <v>120</v>
      </c>
      <c r="AF594" t="s">
        <v>120</v>
      </c>
      <c r="AG594" t="s">
        <v>120</v>
      </c>
      <c r="AH594" t="s">
        <v>120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33.43</v>
      </c>
      <c r="AP594">
        <v>0</v>
      </c>
      <c r="AQ594">
        <v>0</v>
      </c>
      <c r="AR594">
        <v>75.06</v>
      </c>
      <c r="AS594">
        <v>0</v>
      </c>
    </row>
    <row r="595" spans="1:45" x14ac:dyDescent="0.25">
      <c r="A595" t="s">
        <v>1401</v>
      </c>
      <c r="B595" t="s">
        <v>1402</v>
      </c>
      <c r="C595" t="s">
        <v>147</v>
      </c>
      <c r="D595" t="s">
        <v>1354</v>
      </c>
      <c r="E595" t="s">
        <v>120</v>
      </c>
      <c r="F595" t="s">
        <v>120</v>
      </c>
      <c r="G595" t="s">
        <v>120</v>
      </c>
      <c r="H595" t="s">
        <v>120</v>
      </c>
      <c r="I595" t="s">
        <v>120</v>
      </c>
      <c r="J595" t="s">
        <v>120</v>
      </c>
      <c r="K595" t="s">
        <v>120</v>
      </c>
      <c r="L595" t="s">
        <v>120</v>
      </c>
      <c r="M595" t="s">
        <v>120</v>
      </c>
      <c r="N595" t="s">
        <v>120</v>
      </c>
      <c r="O595" t="s">
        <v>120</v>
      </c>
      <c r="P595" t="s">
        <v>120</v>
      </c>
      <c r="Q595" t="s">
        <v>120</v>
      </c>
      <c r="R595" t="s">
        <v>120</v>
      </c>
      <c r="S595" t="s">
        <v>120</v>
      </c>
      <c r="T595" t="s">
        <v>120</v>
      </c>
      <c r="U595" t="s">
        <v>120</v>
      </c>
      <c r="V595" t="s">
        <v>120</v>
      </c>
      <c r="W595" t="s">
        <v>120</v>
      </c>
      <c r="X595" t="s">
        <v>120</v>
      </c>
      <c r="Y595" t="s">
        <v>120</v>
      </c>
      <c r="Z595" t="s">
        <v>120</v>
      </c>
      <c r="AA595" t="s">
        <v>120</v>
      </c>
      <c r="AB595" t="s">
        <v>120</v>
      </c>
      <c r="AC595" t="s">
        <v>120</v>
      </c>
      <c r="AD595" t="s">
        <v>120</v>
      </c>
      <c r="AE595" t="s">
        <v>120</v>
      </c>
      <c r="AF595" t="s">
        <v>120</v>
      </c>
      <c r="AG595" t="s">
        <v>120</v>
      </c>
      <c r="AH595" t="s">
        <v>120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31.55</v>
      </c>
      <c r="AP595">
        <v>0</v>
      </c>
      <c r="AQ595">
        <v>0</v>
      </c>
      <c r="AR595">
        <v>70.2</v>
      </c>
      <c r="AS595">
        <v>0</v>
      </c>
    </row>
    <row r="596" spans="1:45" x14ac:dyDescent="0.25">
      <c r="A596" t="s">
        <v>1403</v>
      </c>
      <c r="B596" t="s">
        <v>1404</v>
      </c>
      <c r="C596" t="s">
        <v>147</v>
      </c>
      <c r="D596" t="s">
        <v>1354</v>
      </c>
      <c r="E596" t="s">
        <v>120</v>
      </c>
      <c r="F596" t="s">
        <v>341</v>
      </c>
      <c r="G596" t="s">
        <v>120</v>
      </c>
      <c r="H596" t="s">
        <v>120</v>
      </c>
      <c r="I596" t="s">
        <v>120</v>
      </c>
      <c r="J596" t="s">
        <v>120</v>
      </c>
      <c r="K596" t="s">
        <v>120</v>
      </c>
      <c r="L596" t="s">
        <v>120</v>
      </c>
      <c r="M596" t="s">
        <v>120</v>
      </c>
      <c r="N596" t="s">
        <v>120</v>
      </c>
      <c r="O596" t="s">
        <v>120</v>
      </c>
      <c r="P596" t="s">
        <v>120</v>
      </c>
      <c r="Q596" t="s">
        <v>120</v>
      </c>
      <c r="R596" t="s">
        <v>120</v>
      </c>
      <c r="S596" t="s">
        <v>120</v>
      </c>
      <c r="T596" t="s">
        <v>120</v>
      </c>
      <c r="U596" t="s">
        <v>120</v>
      </c>
      <c r="V596" t="s">
        <v>120</v>
      </c>
      <c r="W596" t="s">
        <v>120</v>
      </c>
      <c r="X596" t="s">
        <v>120</v>
      </c>
      <c r="Y596" t="s">
        <v>645</v>
      </c>
      <c r="Z596" t="s">
        <v>120</v>
      </c>
      <c r="AA596" t="s">
        <v>120</v>
      </c>
      <c r="AB596" t="s">
        <v>120</v>
      </c>
      <c r="AC596" t="s">
        <v>120</v>
      </c>
      <c r="AD596" t="s">
        <v>120</v>
      </c>
      <c r="AE596" t="s">
        <v>120</v>
      </c>
      <c r="AF596" t="s">
        <v>120</v>
      </c>
      <c r="AG596" t="s">
        <v>120</v>
      </c>
      <c r="AH596" t="s">
        <v>120</v>
      </c>
      <c r="AJ596">
        <v>0</v>
      </c>
      <c r="AK596">
        <v>13</v>
      </c>
      <c r="AL596">
        <v>13</v>
      </c>
      <c r="AM596">
        <v>0</v>
      </c>
      <c r="AN596">
        <v>0</v>
      </c>
      <c r="AO596">
        <v>31.55</v>
      </c>
      <c r="AP596">
        <v>13</v>
      </c>
      <c r="AQ596">
        <v>0</v>
      </c>
      <c r="AR596">
        <v>70.2</v>
      </c>
      <c r="AS596">
        <v>820.30000000000007</v>
      </c>
    </row>
    <row r="597" spans="1:45" x14ac:dyDescent="0.25">
      <c r="A597" t="s">
        <v>1405</v>
      </c>
      <c r="B597" t="s">
        <v>1406</v>
      </c>
      <c r="C597" t="s">
        <v>130</v>
      </c>
      <c r="D597" t="s">
        <v>1354</v>
      </c>
      <c r="E597" t="s">
        <v>120</v>
      </c>
      <c r="F597" t="s">
        <v>141</v>
      </c>
      <c r="G597" t="s">
        <v>120</v>
      </c>
      <c r="H597" t="s">
        <v>120</v>
      </c>
      <c r="I597" t="s">
        <v>120</v>
      </c>
      <c r="J597" t="s">
        <v>120</v>
      </c>
      <c r="K597" t="s">
        <v>120</v>
      </c>
      <c r="L597" t="s">
        <v>120</v>
      </c>
      <c r="M597" t="s">
        <v>120</v>
      </c>
      <c r="N597" t="s">
        <v>120</v>
      </c>
      <c r="O597" t="s">
        <v>120</v>
      </c>
      <c r="P597" t="s">
        <v>120</v>
      </c>
      <c r="Q597" t="s">
        <v>120</v>
      </c>
      <c r="R597" t="s">
        <v>120</v>
      </c>
      <c r="S597" t="s">
        <v>120</v>
      </c>
      <c r="T597" t="s">
        <v>120</v>
      </c>
      <c r="U597" t="s">
        <v>120</v>
      </c>
      <c r="V597" t="s">
        <v>120</v>
      </c>
      <c r="W597" t="s">
        <v>120</v>
      </c>
      <c r="X597" t="s">
        <v>120</v>
      </c>
      <c r="Y597" t="s">
        <v>325</v>
      </c>
      <c r="Z597" t="s">
        <v>120</v>
      </c>
      <c r="AA597" t="s">
        <v>124</v>
      </c>
      <c r="AB597" t="s">
        <v>120</v>
      </c>
      <c r="AC597" t="s">
        <v>120</v>
      </c>
      <c r="AD597" t="s">
        <v>120</v>
      </c>
      <c r="AE597" t="s">
        <v>285</v>
      </c>
      <c r="AF597" t="s">
        <v>120</v>
      </c>
      <c r="AG597" t="s">
        <v>120</v>
      </c>
      <c r="AH597" t="s">
        <v>120</v>
      </c>
      <c r="AJ597">
        <v>0</v>
      </c>
      <c r="AK597">
        <v>25</v>
      </c>
      <c r="AL597">
        <v>13.999999999999998</v>
      </c>
      <c r="AM597">
        <v>4</v>
      </c>
      <c r="AN597">
        <v>7</v>
      </c>
      <c r="AO597">
        <v>7500</v>
      </c>
      <c r="AP597">
        <v>18</v>
      </c>
      <c r="AQ597">
        <v>885.93750000000011</v>
      </c>
      <c r="AR597">
        <v>126.56250000000001</v>
      </c>
      <c r="AS597">
        <v>1687.5</v>
      </c>
    </row>
    <row r="598" spans="1:45" x14ac:dyDescent="0.25">
      <c r="A598" t="s">
        <v>1407</v>
      </c>
      <c r="B598" t="s">
        <v>1408</v>
      </c>
      <c r="C598" t="s">
        <v>147</v>
      </c>
      <c r="D598" t="s">
        <v>1409</v>
      </c>
      <c r="E598" t="s">
        <v>120</v>
      </c>
      <c r="F598" t="s">
        <v>120</v>
      </c>
      <c r="G598" t="s">
        <v>120</v>
      </c>
      <c r="H598" t="s">
        <v>120</v>
      </c>
      <c r="I598" t="s">
        <v>120</v>
      </c>
      <c r="J598" t="s">
        <v>120</v>
      </c>
      <c r="K598" t="s">
        <v>120</v>
      </c>
      <c r="L598" t="s">
        <v>120</v>
      </c>
      <c r="M598" t="s">
        <v>120</v>
      </c>
      <c r="N598" t="s">
        <v>120</v>
      </c>
      <c r="O598" t="s">
        <v>120</v>
      </c>
      <c r="P598" t="s">
        <v>120</v>
      </c>
      <c r="Q598" t="s">
        <v>120</v>
      </c>
      <c r="R598" t="s">
        <v>120</v>
      </c>
      <c r="S598" t="s">
        <v>120</v>
      </c>
      <c r="T598" t="s">
        <v>120</v>
      </c>
      <c r="U598" t="s">
        <v>120</v>
      </c>
      <c r="V598" t="s">
        <v>120</v>
      </c>
      <c r="W598" t="s">
        <v>135</v>
      </c>
      <c r="X598" t="s">
        <v>120</v>
      </c>
      <c r="Y598" t="s">
        <v>120</v>
      </c>
      <c r="Z598" t="s">
        <v>120</v>
      </c>
      <c r="AA598" t="s">
        <v>120</v>
      </c>
      <c r="AB598" t="s">
        <v>120</v>
      </c>
      <c r="AC598" t="s">
        <v>120</v>
      </c>
      <c r="AD598" t="s">
        <v>120</v>
      </c>
      <c r="AE598" t="s">
        <v>120</v>
      </c>
      <c r="AF598" t="s">
        <v>120</v>
      </c>
      <c r="AG598" t="s">
        <v>120</v>
      </c>
      <c r="AH598" t="s">
        <v>120</v>
      </c>
      <c r="AJ598">
        <v>0</v>
      </c>
      <c r="AK598">
        <v>8</v>
      </c>
      <c r="AL598">
        <v>0</v>
      </c>
      <c r="AM598">
        <v>8</v>
      </c>
      <c r="AN598">
        <v>0</v>
      </c>
      <c r="AO598">
        <v>28.25</v>
      </c>
      <c r="AP598">
        <v>8</v>
      </c>
      <c r="AQ598">
        <v>0</v>
      </c>
      <c r="AR598">
        <v>70.2</v>
      </c>
      <c r="AS598">
        <v>452</v>
      </c>
    </row>
    <row r="599" spans="1:45" x14ac:dyDescent="0.25">
      <c r="A599" t="s">
        <v>1410</v>
      </c>
      <c r="B599" t="s">
        <v>1411</v>
      </c>
      <c r="C599" t="s">
        <v>147</v>
      </c>
      <c r="D599" t="s">
        <v>1409</v>
      </c>
      <c r="E599" t="s">
        <v>120</v>
      </c>
      <c r="F599" t="s">
        <v>120</v>
      </c>
      <c r="G599" t="s">
        <v>120</v>
      </c>
      <c r="H599" t="s">
        <v>120</v>
      </c>
      <c r="I599" t="s">
        <v>120</v>
      </c>
      <c r="J599" t="s">
        <v>120</v>
      </c>
      <c r="K599" t="s">
        <v>120</v>
      </c>
      <c r="L599" t="s">
        <v>120</v>
      </c>
      <c r="M599" t="s">
        <v>120</v>
      </c>
      <c r="N599" t="s">
        <v>120</v>
      </c>
      <c r="O599" t="s">
        <v>120</v>
      </c>
      <c r="P599" t="s">
        <v>120</v>
      </c>
      <c r="Q599" t="s">
        <v>120</v>
      </c>
      <c r="R599" t="s">
        <v>120</v>
      </c>
      <c r="S599" t="s">
        <v>120</v>
      </c>
      <c r="T599" t="s">
        <v>120</v>
      </c>
      <c r="U599" t="s">
        <v>120</v>
      </c>
      <c r="V599" t="s">
        <v>120</v>
      </c>
      <c r="W599" t="s">
        <v>120</v>
      </c>
      <c r="X599" t="s">
        <v>120</v>
      </c>
      <c r="Y599" t="s">
        <v>120</v>
      </c>
      <c r="Z599" t="s">
        <v>120</v>
      </c>
      <c r="AA599" t="s">
        <v>120</v>
      </c>
      <c r="AB599" t="s">
        <v>120</v>
      </c>
      <c r="AC599" t="s">
        <v>120</v>
      </c>
      <c r="AD599" t="s">
        <v>120</v>
      </c>
      <c r="AE599" t="s">
        <v>120</v>
      </c>
      <c r="AF599" t="s">
        <v>120</v>
      </c>
      <c r="AG599" t="s">
        <v>120</v>
      </c>
      <c r="AH599" t="s">
        <v>120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31.55</v>
      </c>
      <c r="AP599">
        <v>0</v>
      </c>
      <c r="AQ599">
        <v>0</v>
      </c>
      <c r="AR599">
        <v>70.2</v>
      </c>
      <c r="AS599">
        <v>0</v>
      </c>
    </row>
    <row r="600" spans="1:45" x14ac:dyDescent="0.25">
      <c r="A600" t="s">
        <v>1412</v>
      </c>
      <c r="B600" t="s">
        <v>1413</v>
      </c>
      <c r="C600" t="s">
        <v>147</v>
      </c>
      <c r="D600" t="s">
        <v>1409</v>
      </c>
      <c r="E600" t="s">
        <v>120</v>
      </c>
      <c r="F600" t="s">
        <v>120</v>
      </c>
      <c r="G600" t="s">
        <v>120</v>
      </c>
      <c r="H600" t="s">
        <v>120</v>
      </c>
      <c r="I600" t="s">
        <v>120</v>
      </c>
      <c r="J600" t="s">
        <v>120</v>
      </c>
      <c r="K600" t="s">
        <v>120</v>
      </c>
      <c r="L600" t="s">
        <v>120</v>
      </c>
      <c r="M600" t="s">
        <v>120</v>
      </c>
      <c r="N600" t="s">
        <v>120</v>
      </c>
      <c r="O600" t="s">
        <v>120</v>
      </c>
      <c r="P600" t="s">
        <v>120</v>
      </c>
      <c r="Q600" t="s">
        <v>120</v>
      </c>
      <c r="R600" t="s">
        <v>120</v>
      </c>
      <c r="S600" t="s">
        <v>120</v>
      </c>
      <c r="T600" t="s">
        <v>120</v>
      </c>
      <c r="U600" t="s">
        <v>120</v>
      </c>
      <c r="V600" t="s">
        <v>120</v>
      </c>
      <c r="W600" t="s">
        <v>120</v>
      </c>
      <c r="X600" t="s">
        <v>120</v>
      </c>
      <c r="Y600" t="s">
        <v>120</v>
      </c>
      <c r="Z600" t="s">
        <v>120</v>
      </c>
      <c r="AA600" t="s">
        <v>120</v>
      </c>
      <c r="AB600" t="s">
        <v>120</v>
      </c>
      <c r="AC600" t="s">
        <v>120</v>
      </c>
      <c r="AD600" t="s">
        <v>120</v>
      </c>
      <c r="AE600" t="s">
        <v>120</v>
      </c>
      <c r="AF600" t="s">
        <v>120</v>
      </c>
      <c r="AG600" t="s">
        <v>120</v>
      </c>
      <c r="AH600" t="s">
        <v>120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31.55</v>
      </c>
      <c r="AP600">
        <v>0</v>
      </c>
      <c r="AQ600">
        <v>0</v>
      </c>
      <c r="AR600">
        <v>70.2</v>
      </c>
      <c r="AS600">
        <v>0</v>
      </c>
    </row>
    <row r="601" spans="1:45" x14ac:dyDescent="0.25">
      <c r="A601" t="s">
        <v>1414</v>
      </c>
      <c r="B601" t="s">
        <v>1415</v>
      </c>
      <c r="C601" t="s">
        <v>147</v>
      </c>
      <c r="D601" t="s">
        <v>1409</v>
      </c>
      <c r="E601" t="s">
        <v>285</v>
      </c>
      <c r="F601" t="s">
        <v>120</v>
      </c>
      <c r="G601" t="s">
        <v>120</v>
      </c>
      <c r="H601" t="s">
        <v>120</v>
      </c>
      <c r="I601" t="s">
        <v>120</v>
      </c>
      <c r="J601" t="s">
        <v>135</v>
      </c>
      <c r="K601" t="s">
        <v>120</v>
      </c>
      <c r="L601" t="s">
        <v>120</v>
      </c>
      <c r="M601" t="s">
        <v>120</v>
      </c>
      <c r="N601" t="s">
        <v>120</v>
      </c>
      <c r="O601" t="s">
        <v>120</v>
      </c>
      <c r="P601" t="s">
        <v>120</v>
      </c>
      <c r="Q601" t="s">
        <v>120</v>
      </c>
      <c r="R601" t="s">
        <v>120</v>
      </c>
      <c r="S601" t="s">
        <v>120</v>
      </c>
      <c r="T601" t="s">
        <v>120</v>
      </c>
      <c r="U601" t="s">
        <v>120</v>
      </c>
      <c r="V601" t="s">
        <v>120</v>
      </c>
      <c r="W601" t="s">
        <v>120</v>
      </c>
      <c r="X601" t="s">
        <v>120</v>
      </c>
      <c r="Y601" t="s">
        <v>120</v>
      </c>
      <c r="Z601" t="s">
        <v>120</v>
      </c>
      <c r="AA601" t="s">
        <v>120</v>
      </c>
      <c r="AB601" t="s">
        <v>120</v>
      </c>
      <c r="AC601" t="s">
        <v>120</v>
      </c>
      <c r="AD601" t="s">
        <v>120</v>
      </c>
      <c r="AE601" t="s">
        <v>120</v>
      </c>
      <c r="AF601" t="s">
        <v>120</v>
      </c>
      <c r="AG601" t="s">
        <v>120</v>
      </c>
      <c r="AH601" t="s">
        <v>120</v>
      </c>
      <c r="AJ601">
        <v>0</v>
      </c>
      <c r="AK601">
        <v>15</v>
      </c>
      <c r="AL601">
        <v>0</v>
      </c>
      <c r="AM601">
        <v>8</v>
      </c>
      <c r="AN601">
        <v>7</v>
      </c>
      <c r="AO601">
        <v>31.55</v>
      </c>
      <c r="AP601">
        <v>8</v>
      </c>
      <c r="AQ601">
        <v>491.40000000000003</v>
      </c>
      <c r="AR601">
        <v>70.2</v>
      </c>
      <c r="AS601">
        <v>504.8</v>
      </c>
    </row>
    <row r="602" spans="1:45" x14ac:dyDescent="0.25">
      <c r="A602" t="s">
        <v>1416</v>
      </c>
      <c r="B602" t="s">
        <v>1417</v>
      </c>
      <c r="C602" t="s">
        <v>147</v>
      </c>
      <c r="D602" t="s">
        <v>1409</v>
      </c>
      <c r="E602" t="s">
        <v>120</v>
      </c>
      <c r="F602" t="s">
        <v>120</v>
      </c>
      <c r="G602" t="s">
        <v>120</v>
      </c>
      <c r="H602" t="s">
        <v>120</v>
      </c>
      <c r="I602" t="s">
        <v>120</v>
      </c>
      <c r="J602" t="s">
        <v>120</v>
      </c>
      <c r="K602" t="s">
        <v>120</v>
      </c>
      <c r="L602" t="s">
        <v>120</v>
      </c>
      <c r="M602" t="s">
        <v>120</v>
      </c>
      <c r="N602" t="s">
        <v>120</v>
      </c>
      <c r="O602" t="s">
        <v>120</v>
      </c>
      <c r="P602" t="s">
        <v>120</v>
      </c>
      <c r="Q602" t="s">
        <v>120</v>
      </c>
      <c r="R602" t="s">
        <v>120</v>
      </c>
      <c r="S602" t="s">
        <v>120</v>
      </c>
      <c r="T602" t="s">
        <v>120</v>
      </c>
      <c r="U602" t="s">
        <v>120</v>
      </c>
      <c r="V602" t="s">
        <v>120</v>
      </c>
      <c r="W602" t="s">
        <v>120</v>
      </c>
      <c r="X602" t="s">
        <v>120</v>
      </c>
      <c r="Y602" t="s">
        <v>120</v>
      </c>
      <c r="Z602" t="s">
        <v>120</v>
      </c>
      <c r="AA602" t="s">
        <v>120</v>
      </c>
      <c r="AB602" t="s">
        <v>120</v>
      </c>
      <c r="AC602" t="s">
        <v>120</v>
      </c>
      <c r="AD602" t="s">
        <v>120</v>
      </c>
      <c r="AE602" t="s">
        <v>120</v>
      </c>
      <c r="AF602" t="s">
        <v>120</v>
      </c>
      <c r="AG602" t="s">
        <v>120</v>
      </c>
      <c r="AH602" t="s">
        <v>120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31.55</v>
      </c>
      <c r="AP602">
        <v>0</v>
      </c>
      <c r="AQ602">
        <v>0</v>
      </c>
      <c r="AR602">
        <v>70.2</v>
      </c>
      <c r="AS602">
        <v>0</v>
      </c>
    </row>
    <row r="603" spans="1:45" x14ac:dyDescent="0.25">
      <c r="A603" t="s">
        <v>1418</v>
      </c>
      <c r="B603" t="s">
        <v>1419</v>
      </c>
      <c r="C603" t="s">
        <v>147</v>
      </c>
      <c r="D603" t="s">
        <v>1409</v>
      </c>
      <c r="E603" t="s">
        <v>120</v>
      </c>
      <c r="F603" t="s">
        <v>120</v>
      </c>
      <c r="G603" t="s">
        <v>120</v>
      </c>
      <c r="H603" t="s">
        <v>120</v>
      </c>
      <c r="I603" t="s">
        <v>120</v>
      </c>
      <c r="J603" t="s">
        <v>120</v>
      </c>
      <c r="K603" t="s">
        <v>120</v>
      </c>
      <c r="L603" t="s">
        <v>120</v>
      </c>
      <c r="M603" t="s">
        <v>120</v>
      </c>
      <c r="N603" t="s">
        <v>120</v>
      </c>
      <c r="O603" t="s">
        <v>141</v>
      </c>
      <c r="P603" t="s">
        <v>120</v>
      </c>
      <c r="Q603" t="s">
        <v>120</v>
      </c>
      <c r="R603" t="s">
        <v>120</v>
      </c>
      <c r="S603" t="s">
        <v>120</v>
      </c>
      <c r="T603" t="s">
        <v>120</v>
      </c>
      <c r="U603" t="s">
        <v>120</v>
      </c>
      <c r="V603" t="s">
        <v>120</v>
      </c>
      <c r="W603" t="s">
        <v>120</v>
      </c>
      <c r="X603" t="s">
        <v>120</v>
      </c>
      <c r="Y603" t="s">
        <v>120</v>
      </c>
      <c r="Z603" t="s">
        <v>120</v>
      </c>
      <c r="AA603" t="s">
        <v>120</v>
      </c>
      <c r="AB603" t="s">
        <v>120</v>
      </c>
      <c r="AC603" t="s">
        <v>120</v>
      </c>
      <c r="AD603" t="s">
        <v>120</v>
      </c>
      <c r="AE603" t="s">
        <v>120</v>
      </c>
      <c r="AF603" t="s">
        <v>120</v>
      </c>
      <c r="AG603" t="s">
        <v>120</v>
      </c>
      <c r="AH603" t="s">
        <v>120</v>
      </c>
      <c r="AJ603">
        <v>0</v>
      </c>
      <c r="AK603">
        <v>8</v>
      </c>
      <c r="AL603">
        <v>8</v>
      </c>
      <c r="AM603">
        <v>0</v>
      </c>
      <c r="AN603">
        <v>0</v>
      </c>
      <c r="AO603">
        <v>31.55</v>
      </c>
      <c r="AP603">
        <v>8</v>
      </c>
      <c r="AQ603">
        <v>0</v>
      </c>
      <c r="AR603">
        <v>70.2</v>
      </c>
      <c r="AS603">
        <v>504.8</v>
      </c>
    </row>
    <row r="604" spans="1:45" x14ac:dyDescent="0.25">
      <c r="A604" t="s">
        <v>1420</v>
      </c>
      <c r="B604" t="s">
        <v>1421</v>
      </c>
      <c r="C604" t="s">
        <v>147</v>
      </c>
      <c r="D604" t="s">
        <v>1409</v>
      </c>
      <c r="E604" t="s">
        <v>120</v>
      </c>
      <c r="F604" t="s">
        <v>120</v>
      </c>
      <c r="G604" t="s">
        <v>120</v>
      </c>
      <c r="H604" t="s">
        <v>120</v>
      </c>
      <c r="I604" t="s">
        <v>120</v>
      </c>
      <c r="J604" t="s">
        <v>120</v>
      </c>
      <c r="K604" t="s">
        <v>120</v>
      </c>
      <c r="L604" t="s">
        <v>120</v>
      </c>
      <c r="M604" t="s">
        <v>120</v>
      </c>
      <c r="N604" t="s">
        <v>120</v>
      </c>
      <c r="O604" t="s">
        <v>120</v>
      </c>
      <c r="P604" t="s">
        <v>120</v>
      </c>
      <c r="Q604" t="s">
        <v>341</v>
      </c>
      <c r="R604" t="s">
        <v>120</v>
      </c>
      <c r="S604" t="s">
        <v>120</v>
      </c>
      <c r="T604" t="s">
        <v>120</v>
      </c>
      <c r="U604" t="s">
        <v>120</v>
      </c>
      <c r="V604" t="s">
        <v>120</v>
      </c>
      <c r="W604" t="s">
        <v>120</v>
      </c>
      <c r="X604" t="s">
        <v>120</v>
      </c>
      <c r="Y604" t="s">
        <v>120</v>
      </c>
      <c r="Z604" t="s">
        <v>120</v>
      </c>
      <c r="AA604" t="s">
        <v>120</v>
      </c>
      <c r="AB604" t="s">
        <v>120</v>
      </c>
      <c r="AC604" t="s">
        <v>120</v>
      </c>
      <c r="AD604" t="s">
        <v>120</v>
      </c>
      <c r="AE604" t="s">
        <v>120</v>
      </c>
      <c r="AF604" t="s">
        <v>120</v>
      </c>
      <c r="AG604" t="s">
        <v>120</v>
      </c>
      <c r="AH604" t="s">
        <v>120</v>
      </c>
      <c r="AJ604">
        <v>0</v>
      </c>
      <c r="AK604">
        <v>4</v>
      </c>
      <c r="AL604">
        <v>4</v>
      </c>
      <c r="AM604">
        <v>0</v>
      </c>
      <c r="AN604">
        <v>0</v>
      </c>
      <c r="AO604">
        <v>31.55</v>
      </c>
      <c r="AP604">
        <v>4</v>
      </c>
      <c r="AQ604">
        <v>0</v>
      </c>
      <c r="AR604">
        <v>70.2</v>
      </c>
      <c r="AS604">
        <v>252.4</v>
      </c>
    </row>
    <row r="605" spans="1:45" x14ac:dyDescent="0.25">
      <c r="A605" t="s">
        <v>1422</v>
      </c>
      <c r="B605" t="s">
        <v>1423</v>
      </c>
      <c r="C605" t="s">
        <v>147</v>
      </c>
      <c r="D605" t="s">
        <v>1409</v>
      </c>
      <c r="E605" t="s">
        <v>120</v>
      </c>
      <c r="F605" t="s">
        <v>120</v>
      </c>
      <c r="G605" t="s">
        <v>120</v>
      </c>
      <c r="H605" t="s">
        <v>120</v>
      </c>
      <c r="I605" t="s">
        <v>120</v>
      </c>
      <c r="J605" t="s">
        <v>120</v>
      </c>
      <c r="K605" t="s">
        <v>120</v>
      </c>
      <c r="L605" t="s">
        <v>120</v>
      </c>
      <c r="M605" t="s">
        <v>120</v>
      </c>
      <c r="N605" t="s">
        <v>120</v>
      </c>
      <c r="O605" t="s">
        <v>120</v>
      </c>
      <c r="P605" t="s">
        <v>120</v>
      </c>
      <c r="Q605" t="s">
        <v>120</v>
      </c>
      <c r="R605" t="s">
        <v>120</v>
      </c>
      <c r="S605" t="s">
        <v>120</v>
      </c>
      <c r="T605" t="s">
        <v>120</v>
      </c>
      <c r="U605" t="s">
        <v>120</v>
      </c>
      <c r="V605" t="s">
        <v>120</v>
      </c>
      <c r="W605" t="s">
        <v>135</v>
      </c>
      <c r="X605" t="s">
        <v>120</v>
      </c>
      <c r="Y605" t="s">
        <v>120</v>
      </c>
      <c r="Z605" t="s">
        <v>120</v>
      </c>
      <c r="AA605" t="s">
        <v>120</v>
      </c>
      <c r="AB605" t="s">
        <v>120</v>
      </c>
      <c r="AC605" t="s">
        <v>120</v>
      </c>
      <c r="AD605" t="s">
        <v>120</v>
      </c>
      <c r="AE605" t="s">
        <v>120</v>
      </c>
      <c r="AF605" t="s">
        <v>120</v>
      </c>
      <c r="AG605" t="s">
        <v>120</v>
      </c>
      <c r="AH605" t="s">
        <v>120</v>
      </c>
      <c r="AJ605">
        <v>0</v>
      </c>
      <c r="AK605">
        <v>8</v>
      </c>
      <c r="AL605">
        <v>0</v>
      </c>
      <c r="AM605">
        <v>8</v>
      </c>
      <c r="AN605">
        <v>0</v>
      </c>
      <c r="AO605">
        <v>28.25</v>
      </c>
      <c r="AP605">
        <v>8</v>
      </c>
      <c r="AQ605">
        <v>0</v>
      </c>
      <c r="AR605">
        <v>70.2</v>
      </c>
      <c r="AS605">
        <v>452</v>
      </c>
    </row>
    <row r="606" spans="1:45" x14ac:dyDescent="0.25">
      <c r="A606" t="s">
        <v>1424</v>
      </c>
      <c r="B606" t="s">
        <v>1425</v>
      </c>
      <c r="C606" t="s">
        <v>147</v>
      </c>
      <c r="D606" t="s">
        <v>1409</v>
      </c>
      <c r="E606" t="s">
        <v>120</v>
      </c>
      <c r="F606" t="s">
        <v>120</v>
      </c>
      <c r="G606" t="s">
        <v>120</v>
      </c>
      <c r="H606" t="s">
        <v>120</v>
      </c>
      <c r="I606" t="s">
        <v>120</v>
      </c>
      <c r="J606" t="s">
        <v>120</v>
      </c>
      <c r="K606" t="s">
        <v>120</v>
      </c>
      <c r="L606" t="s">
        <v>120</v>
      </c>
      <c r="M606" t="s">
        <v>120</v>
      </c>
      <c r="N606" t="s">
        <v>120</v>
      </c>
      <c r="O606" t="s">
        <v>120</v>
      </c>
      <c r="P606" t="s">
        <v>120</v>
      </c>
      <c r="Q606" t="s">
        <v>120</v>
      </c>
      <c r="R606" t="s">
        <v>120</v>
      </c>
      <c r="S606" t="s">
        <v>120</v>
      </c>
      <c r="T606" t="s">
        <v>120</v>
      </c>
      <c r="U606" t="s">
        <v>120</v>
      </c>
      <c r="V606" t="s">
        <v>120</v>
      </c>
      <c r="W606" t="s">
        <v>120</v>
      </c>
      <c r="X606" t="s">
        <v>120</v>
      </c>
      <c r="Y606" t="s">
        <v>120</v>
      </c>
      <c r="Z606" t="s">
        <v>120</v>
      </c>
      <c r="AA606" t="s">
        <v>120</v>
      </c>
      <c r="AB606" t="s">
        <v>120</v>
      </c>
      <c r="AC606" t="s">
        <v>120</v>
      </c>
      <c r="AD606" t="s">
        <v>120</v>
      </c>
      <c r="AE606" t="s">
        <v>120</v>
      </c>
      <c r="AF606" t="s">
        <v>120</v>
      </c>
      <c r="AG606" t="s">
        <v>120</v>
      </c>
      <c r="AH606" t="s">
        <v>120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31.55</v>
      </c>
      <c r="AP606">
        <v>0</v>
      </c>
      <c r="AQ606">
        <v>0</v>
      </c>
      <c r="AR606">
        <v>70.2</v>
      </c>
      <c r="AS606">
        <v>0</v>
      </c>
    </row>
    <row r="607" spans="1:45" x14ac:dyDescent="0.25">
      <c r="A607" t="s">
        <v>1426</v>
      </c>
      <c r="B607" t="s">
        <v>1427</v>
      </c>
      <c r="C607" t="s">
        <v>147</v>
      </c>
      <c r="D607" t="s">
        <v>1409</v>
      </c>
      <c r="E607" t="s">
        <v>120</v>
      </c>
      <c r="F607" t="s">
        <v>120</v>
      </c>
      <c r="G607" t="s">
        <v>120</v>
      </c>
      <c r="H607" t="s">
        <v>120</v>
      </c>
      <c r="I607" t="s">
        <v>120</v>
      </c>
      <c r="J607" t="s">
        <v>120</v>
      </c>
      <c r="K607" t="s">
        <v>120</v>
      </c>
      <c r="L607" t="s">
        <v>120</v>
      </c>
      <c r="M607" t="s">
        <v>120</v>
      </c>
      <c r="N607" t="s">
        <v>120</v>
      </c>
      <c r="O607" t="s">
        <v>120</v>
      </c>
      <c r="P607" t="s">
        <v>120</v>
      </c>
      <c r="Q607" t="s">
        <v>120</v>
      </c>
      <c r="R607" t="s">
        <v>120</v>
      </c>
      <c r="S607" t="s">
        <v>120</v>
      </c>
      <c r="T607" t="s">
        <v>120</v>
      </c>
      <c r="U607" t="s">
        <v>120</v>
      </c>
      <c r="V607" t="s">
        <v>120</v>
      </c>
      <c r="W607" t="s">
        <v>120</v>
      </c>
      <c r="X607" t="s">
        <v>120</v>
      </c>
      <c r="Y607" t="s">
        <v>120</v>
      </c>
      <c r="Z607" t="s">
        <v>120</v>
      </c>
      <c r="AA607" t="s">
        <v>120</v>
      </c>
      <c r="AB607" t="s">
        <v>120</v>
      </c>
      <c r="AC607" t="s">
        <v>120</v>
      </c>
      <c r="AD607" t="s">
        <v>120</v>
      </c>
      <c r="AE607" t="s">
        <v>120</v>
      </c>
      <c r="AF607" t="s">
        <v>120</v>
      </c>
      <c r="AG607" t="s">
        <v>120</v>
      </c>
      <c r="AH607" t="s">
        <v>120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31.55</v>
      </c>
      <c r="AP607">
        <v>0</v>
      </c>
      <c r="AQ607">
        <v>0</v>
      </c>
      <c r="AR607">
        <v>70.2</v>
      </c>
      <c r="AS607">
        <v>0</v>
      </c>
    </row>
    <row r="608" spans="1:45" x14ac:dyDescent="0.25">
      <c r="A608" t="s">
        <v>1428</v>
      </c>
      <c r="B608" t="s">
        <v>1429</v>
      </c>
      <c r="C608" t="s">
        <v>147</v>
      </c>
      <c r="D608" t="s">
        <v>1409</v>
      </c>
      <c r="E608" t="s">
        <v>120</v>
      </c>
      <c r="F608" t="s">
        <v>120</v>
      </c>
      <c r="G608" t="s">
        <v>120</v>
      </c>
      <c r="H608" t="s">
        <v>120</v>
      </c>
      <c r="I608" t="s">
        <v>120</v>
      </c>
      <c r="J608" t="s">
        <v>120</v>
      </c>
      <c r="K608" t="s">
        <v>120</v>
      </c>
      <c r="L608" t="s">
        <v>120</v>
      </c>
      <c r="M608" t="s">
        <v>120</v>
      </c>
      <c r="N608" t="s">
        <v>120</v>
      </c>
      <c r="O608" t="s">
        <v>120</v>
      </c>
      <c r="P608" t="s">
        <v>120</v>
      </c>
      <c r="Q608" t="s">
        <v>120</v>
      </c>
      <c r="R608" t="s">
        <v>120</v>
      </c>
      <c r="S608" t="s">
        <v>120</v>
      </c>
      <c r="T608" t="s">
        <v>120</v>
      </c>
      <c r="U608" t="s">
        <v>120</v>
      </c>
      <c r="V608" t="s">
        <v>120</v>
      </c>
      <c r="W608" t="s">
        <v>120</v>
      </c>
      <c r="X608" t="s">
        <v>120</v>
      </c>
      <c r="Y608" t="s">
        <v>120</v>
      </c>
      <c r="Z608" t="s">
        <v>120</v>
      </c>
      <c r="AA608" t="s">
        <v>120</v>
      </c>
      <c r="AB608" t="s">
        <v>120</v>
      </c>
      <c r="AC608" t="s">
        <v>120</v>
      </c>
      <c r="AD608" t="s">
        <v>120</v>
      </c>
      <c r="AE608" t="s">
        <v>120</v>
      </c>
      <c r="AF608" t="s">
        <v>120</v>
      </c>
      <c r="AG608" t="s">
        <v>120</v>
      </c>
      <c r="AH608" t="s">
        <v>120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31.55</v>
      </c>
      <c r="AP608">
        <v>0</v>
      </c>
      <c r="AQ608">
        <v>0</v>
      </c>
      <c r="AR608">
        <v>70.2</v>
      </c>
      <c r="AS608">
        <v>0</v>
      </c>
    </row>
    <row r="609" spans="1:45" x14ac:dyDescent="0.25">
      <c r="A609" t="s">
        <v>1430</v>
      </c>
      <c r="B609" t="s">
        <v>1431</v>
      </c>
      <c r="C609" t="s">
        <v>147</v>
      </c>
      <c r="D609" t="s">
        <v>1409</v>
      </c>
      <c r="E609" t="s">
        <v>120</v>
      </c>
      <c r="F609" t="s">
        <v>120</v>
      </c>
      <c r="G609" t="s">
        <v>120</v>
      </c>
      <c r="H609" t="s">
        <v>120</v>
      </c>
      <c r="I609" t="s">
        <v>120</v>
      </c>
      <c r="J609" t="s">
        <v>120</v>
      </c>
      <c r="K609" t="s">
        <v>120</v>
      </c>
      <c r="L609" t="s">
        <v>120</v>
      </c>
      <c r="M609" t="s">
        <v>120</v>
      </c>
      <c r="N609" t="s">
        <v>120</v>
      </c>
      <c r="O609" t="s">
        <v>120</v>
      </c>
      <c r="P609" t="s">
        <v>120</v>
      </c>
      <c r="Q609" t="s">
        <v>120</v>
      </c>
      <c r="R609" t="s">
        <v>120</v>
      </c>
      <c r="S609" t="s">
        <v>120</v>
      </c>
      <c r="T609" t="s">
        <v>120</v>
      </c>
      <c r="U609" t="s">
        <v>120</v>
      </c>
      <c r="V609" t="s">
        <v>120</v>
      </c>
      <c r="W609" t="s">
        <v>120</v>
      </c>
      <c r="X609" t="s">
        <v>120</v>
      </c>
      <c r="Y609" t="s">
        <v>120</v>
      </c>
      <c r="Z609" t="s">
        <v>120</v>
      </c>
      <c r="AA609" t="s">
        <v>120</v>
      </c>
      <c r="AB609" t="s">
        <v>120</v>
      </c>
      <c r="AC609" t="s">
        <v>120</v>
      </c>
      <c r="AD609" t="s">
        <v>120</v>
      </c>
      <c r="AE609" t="s">
        <v>120</v>
      </c>
      <c r="AF609" t="s">
        <v>120</v>
      </c>
      <c r="AG609" t="s">
        <v>120</v>
      </c>
      <c r="AH609" t="s">
        <v>120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31.55</v>
      </c>
      <c r="AP609">
        <v>0</v>
      </c>
      <c r="AQ609">
        <v>0</v>
      </c>
      <c r="AR609">
        <v>70.2</v>
      </c>
      <c r="AS609">
        <v>0</v>
      </c>
    </row>
    <row r="610" spans="1:45" x14ac:dyDescent="0.25">
      <c r="A610" t="s">
        <v>1432</v>
      </c>
      <c r="B610" t="s">
        <v>1433</v>
      </c>
      <c r="C610" t="s">
        <v>147</v>
      </c>
      <c r="D610" t="s">
        <v>1409</v>
      </c>
      <c r="E610" t="s">
        <v>120</v>
      </c>
      <c r="F610" t="s">
        <v>120</v>
      </c>
      <c r="G610" t="s">
        <v>120</v>
      </c>
      <c r="H610" t="s">
        <v>120</v>
      </c>
      <c r="I610" t="s">
        <v>120</v>
      </c>
      <c r="J610" t="s">
        <v>120</v>
      </c>
      <c r="K610" t="s">
        <v>120</v>
      </c>
      <c r="L610" t="s">
        <v>120</v>
      </c>
      <c r="M610" t="s">
        <v>120</v>
      </c>
      <c r="N610" t="s">
        <v>120</v>
      </c>
      <c r="O610" t="s">
        <v>120</v>
      </c>
      <c r="P610" t="s">
        <v>120</v>
      </c>
      <c r="Q610" t="s">
        <v>120</v>
      </c>
      <c r="R610" t="s">
        <v>120</v>
      </c>
      <c r="S610" t="s">
        <v>135</v>
      </c>
      <c r="T610" t="s">
        <v>120</v>
      </c>
      <c r="U610" t="s">
        <v>120</v>
      </c>
      <c r="V610" t="s">
        <v>120</v>
      </c>
      <c r="W610" t="s">
        <v>135</v>
      </c>
      <c r="X610" t="s">
        <v>120</v>
      </c>
      <c r="Y610" t="s">
        <v>120</v>
      </c>
      <c r="Z610" t="s">
        <v>120</v>
      </c>
      <c r="AA610" t="s">
        <v>120</v>
      </c>
      <c r="AB610" t="s">
        <v>120</v>
      </c>
      <c r="AC610" t="s">
        <v>120</v>
      </c>
      <c r="AD610" t="s">
        <v>120</v>
      </c>
      <c r="AE610" t="s">
        <v>120</v>
      </c>
      <c r="AF610" t="s">
        <v>120</v>
      </c>
      <c r="AG610" t="s">
        <v>120</v>
      </c>
      <c r="AH610" t="s">
        <v>120</v>
      </c>
      <c r="AJ610">
        <v>0</v>
      </c>
      <c r="AK610">
        <v>16</v>
      </c>
      <c r="AL610">
        <v>0</v>
      </c>
      <c r="AM610">
        <v>16</v>
      </c>
      <c r="AN610">
        <v>0</v>
      </c>
      <c r="AO610">
        <v>28.25</v>
      </c>
      <c r="AP610">
        <v>16</v>
      </c>
      <c r="AQ610">
        <v>0</v>
      </c>
      <c r="AR610">
        <v>70.2</v>
      </c>
      <c r="AS610">
        <v>904</v>
      </c>
    </row>
    <row r="611" spans="1:45" x14ac:dyDescent="0.25">
      <c r="A611" t="s">
        <v>1434</v>
      </c>
      <c r="B611" t="s">
        <v>1435</v>
      </c>
      <c r="C611" t="s">
        <v>147</v>
      </c>
      <c r="D611" t="s">
        <v>1409</v>
      </c>
      <c r="E611" t="s">
        <v>120</v>
      </c>
      <c r="F611" t="s">
        <v>120</v>
      </c>
      <c r="G611" t="s">
        <v>120</v>
      </c>
      <c r="H611" t="s">
        <v>120</v>
      </c>
      <c r="I611" t="s">
        <v>120</v>
      </c>
      <c r="J611" t="s">
        <v>120</v>
      </c>
      <c r="K611" t="s">
        <v>120</v>
      </c>
      <c r="L611" t="s">
        <v>120</v>
      </c>
      <c r="M611" t="s">
        <v>120</v>
      </c>
      <c r="N611" t="s">
        <v>120</v>
      </c>
      <c r="O611" t="s">
        <v>120</v>
      </c>
      <c r="P611" t="s">
        <v>120</v>
      </c>
      <c r="Q611" t="s">
        <v>120</v>
      </c>
      <c r="R611" t="s">
        <v>120</v>
      </c>
      <c r="S611" t="s">
        <v>120</v>
      </c>
      <c r="T611" t="s">
        <v>120</v>
      </c>
      <c r="U611" t="s">
        <v>120</v>
      </c>
      <c r="V611" t="s">
        <v>120</v>
      </c>
      <c r="W611" t="s">
        <v>120</v>
      </c>
      <c r="X611" t="s">
        <v>120</v>
      </c>
      <c r="Y611" t="s">
        <v>120</v>
      </c>
      <c r="Z611" t="s">
        <v>120</v>
      </c>
      <c r="AA611" t="s">
        <v>120</v>
      </c>
      <c r="AB611" t="s">
        <v>120</v>
      </c>
      <c r="AC611" t="s">
        <v>120</v>
      </c>
      <c r="AD611" t="s">
        <v>120</v>
      </c>
      <c r="AE611" t="s">
        <v>120</v>
      </c>
      <c r="AF611" t="s">
        <v>120</v>
      </c>
      <c r="AG611" t="s">
        <v>120</v>
      </c>
      <c r="AH611" t="s">
        <v>120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31.55</v>
      </c>
      <c r="AP611">
        <v>0</v>
      </c>
      <c r="AQ611">
        <v>0</v>
      </c>
      <c r="AR611">
        <v>70.2</v>
      </c>
      <c r="AS611">
        <v>0</v>
      </c>
    </row>
    <row r="612" spans="1:45" x14ac:dyDescent="0.25">
      <c r="A612" t="s">
        <v>1436</v>
      </c>
      <c r="B612" t="s">
        <v>1437</v>
      </c>
      <c r="C612" t="s">
        <v>127</v>
      </c>
      <c r="D612" t="s">
        <v>1409</v>
      </c>
      <c r="E612" t="s">
        <v>141</v>
      </c>
      <c r="F612" t="s">
        <v>120</v>
      </c>
      <c r="G612" t="s">
        <v>120</v>
      </c>
      <c r="H612" t="s">
        <v>120</v>
      </c>
      <c r="I612" t="s">
        <v>120</v>
      </c>
      <c r="J612" t="s">
        <v>135</v>
      </c>
      <c r="K612" t="s">
        <v>135</v>
      </c>
      <c r="L612" t="s">
        <v>285</v>
      </c>
      <c r="M612" t="s">
        <v>120</v>
      </c>
      <c r="N612" t="s">
        <v>120</v>
      </c>
      <c r="O612" t="s">
        <v>120</v>
      </c>
      <c r="P612" t="s">
        <v>120</v>
      </c>
      <c r="Q612" t="s">
        <v>120</v>
      </c>
      <c r="R612" t="s">
        <v>120</v>
      </c>
      <c r="S612" t="s">
        <v>120</v>
      </c>
      <c r="T612" t="s">
        <v>120</v>
      </c>
      <c r="U612" t="s">
        <v>120</v>
      </c>
      <c r="V612" t="s">
        <v>120</v>
      </c>
      <c r="W612" t="s">
        <v>120</v>
      </c>
      <c r="X612" t="s">
        <v>120</v>
      </c>
      <c r="Y612" t="s">
        <v>120</v>
      </c>
      <c r="Z612" t="s">
        <v>120</v>
      </c>
      <c r="AA612" t="s">
        <v>120</v>
      </c>
      <c r="AB612" t="s">
        <v>120</v>
      </c>
      <c r="AC612" t="s">
        <v>120</v>
      </c>
      <c r="AD612" t="s">
        <v>120</v>
      </c>
      <c r="AE612" t="s">
        <v>120</v>
      </c>
      <c r="AF612" t="s">
        <v>120</v>
      </c>
      <c r="AG612" t="s">
        <v>120</v>
      </c>
      <c r="AH612" t="s">
        <v>120</v>
      </c>
      <c r="AJ612">
        <v>0</v>
      </c>
      <c r="AK612">
        <v>31</v>
      </c>
      <c r="AL612">
        <v>8</v>
      </c>
      <c r="AM612">
        <v>16</v>
      </c>
      <c r="AN612">
        <v>7</v>
      </c>
      <c r="AO612">
        <v>33.43</v>
      </c>
      <c r="AP612">
        <v>24</v>
      </c>
      <c r="AQ612">
        <v>525.42000000000007</v>
      </c>
      <c r="AR612">
        <v>75.06</v>
      </c>
      <c r="AS612">
        <v>1604.6399999999999</v>
      </c>
    </row>
    <row r="613" spans="1:45" x14ac:dyDescent="0.25">
      <c r="A613" t="s">
        <v>1438</v>
      </c>
      <c r="B613" t="s">
        <v>1439</v>
      </c>
      <c r="C613" t="s">
        <v>147</v>
      </c>
      <c r="D613" t="s">
        <v>1409</v>
      </c>
      <c r="E613" t="s">
        <v>120</v>
      </c>
      <c r="F613" t="s">
        <v>120</v>
      </c>
      <c r="G613" t="s">
        <v>120</v>
      </c>
      <c r="H613" t="s">
        <v>120</v>
      </c>
      <c r="I613" t="s">
        <v>120</v>
      </c>
      <c r="J613" t="s">
        <v>120</v>
      </c>
      <c r="K613" t="s">
        <v>120</v>
      </c>
      <c r="L613" t="s">
        <v>120</v>
      </c>
      <c r="M613" t="s">
        <v>120</v>
      </c>
      <c r="N613" t="s">
        <v>120</v>
      </c>
      <c r="O613" t="s">
        <v>120</v>
      </c>
      <c r="P613" t="s">
        <v>120</v>
      </c>
      <c r="Q613" t="s">
        <v>120</v>
      </c>
      <c r="R613" t="s">
        <v>120</v>
      </c>
      <c r="S613" t="s">
        <v>120</v>
      </c>
      <c r="T613" t="s">
        <v>120</v>
      </c>
      <c r="U613" t="s">
        <v>120</v>
      </c>
      <c r="V613" t="s">
        <v>120</v>
      </c>
      <c r="W613" t="s">
        <v>120</v>
      </c>
      <c r="X613" t="s">
        <v>120</v>
      </c>
      <c r="Y613" t="s">
        <v>120</v>
      </c>
      <c r="Z613" t="s">
        <v>120</v>
      </c>
      <c r="AA613" t="s">
        <v>120</v>
      </c>
      <c r="AB613" t="s">
        <v>120</v>
      </c>
      <c r="AC613" t="s">
        <v>120</v>
      </c>
      <c r="AD613" t="s">
        <v>120</v>
      </c>
      <c r="AE613" t="s">
        <v>120</v>
      </c>
      <c r="AF613" t="s">
        <v>120</v>
      </c>
      <c r="AG613" t="s">
        <v>120</v>
      </c>
      <c r="AH613" t="s">
        <v>120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31.55</v>
      </c>
      <c r="AP613">
        <v>0</v>
      </c>
      <c r="AQ613">
        <v>0</v>
      </c>
      <c r="AR613">
        <v>70.2</v>
      </c>
      <c r="AS613">
        <v>0</v>
      </c>
    </row>
    <row r="614" spans="1:45" x14ac:dyDescent="0.25">
      <c r="A614" t="s">
        <v>1440</v>
      </c>
      <c r="B614" t="s">
        <v>1441</v>
      </c>
      <c r="C614" t="s">
        <v>147</v>
      </c>
      <c r="D614" t="s">
        <v>1409</v>
      </c>
      <c r="E614" t="s">
        <v>120</v>
      </c>
      <c r="F614" t="s">
        <v>120</v>
      </c>
      <c r="G614" t="s">
        <v>120</v>
      </c>
      <c r="H614" t="s">
        <v>120</v>
      </c>
      <c r="I614" t="s">
        <v>120</v>
      </c>
      <c r="J614" t="s">
        <v>120</v>
      </c>
      <c r="K614" t="s">
        <v>120</v>
      </c>
      <c r="L614" t="s">
        <v>120</v>
      </c>
      <c r="M614" t="s">
        <v>120</v>
      </c>
      <c r="N614" t="s">
        <v>120</v>
      </c>
      <c r="O614" t="s">
        <v>120</v>
      </c>
      <c r="P614" t="s">
        <v>120</v>
      </c>
      <c r="Q614" t="s">
        <v>120</v>
      </c>
      <c r="R614" t="s">
        <v>120</v>
      </c>
      <c r="S614" t="s">
        <v>120</v>
      </c>
      <c r="T614" t="s">
        <v>120</v>
      </c>
      <c r="U614" t="s">
        <v>120</v>
      </c>
      <c r="V614" t="s">
        <v>120</v>
      </c>
      <c r="W614" t="s">
        <v>120</v>
      </c>
      <c r="X614" t="s">
        <v>120</v>
      </c>
      <c r="Y614" t="s">
        <v>120</v>
      </c>
      <c r="Z614" t="s">
        <v>120</v>
      </c>
      <c r="AA614" t="s">
        <v>120</v>
      </c>
      <c r="AB614" t="s">
        <v>120</v>
      </c>
      <c r="AC614" t="s">
        <v>120</v>
      </c>
      <c r="AD614" t="s">
        <v>120</v>
      </c>
      <c r="AE614" t="s">
        <v>120</v>
      </c>
      <c r="AF614" t="s">
        <v>120</v>
      </c>
      <c r="AG614" t="s">
        <v>120</v>
      </c>
      <c r="AH614" t="s">
        <v>120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31.55</v>
      </c>
      <c r="AP614">
        <v>0</v>
      </c>
      <c r="AQ614">
        <v>0</v>
      </c>
      <c r="AR614">
        <v>70.2</v>
      </c>
      <c r="AS614">
        <v>0</v>
      </c>
    </row>
    <row r="615" spans="1:45" x14ac:dyDescent="0.25">
      <c r="A615" t="s">
        <v>1442</v>
      </c>
      <c r="B615" t="s">
        <v>1443</v>
      </c>
      <c r="C615" t="s">
        <v>147</v>
      </c>
      <c r="D615" t="s">
        <v>1409</v>
      </c>
      <c r="E615" t="s">
        <v>120</v>
      </c>
      <c r="F615" t="s">
        <v>120</v>
      </c>
      <c r="G615" t="s">
        <v>120</v>
      </c>
      <c r="H615" t="s">
        <v>120</v>
      </c>
      <c r="I615" t="s">
        <v>120</v>
      </c>
      <c r="J615" t="s">
        <v>120</v>
      </c>
      <c r="K615" t="s">
        <v>120</v>
      </c>
      <c r="L615" t="s">
        <v>120</v>
      </c>
      <c r="M615" t="s">
        <v>120</v>
      </c>
      <c r="N615" t="s">
        <v>120</v>
      </c>
      <c r="O615" t="s">
        <v>120</v>
      </c>
      <c r="P615" t="s">
        <v>120</v>
      </c>
      <c r="Q615" t="s">
        <v>120</v>
      </c>
      <c r="R615" t="s">
        <v>120</v>
      </c>
      <c r="S615" t="s">
        <v>120</v>
      </c>
      <c r="T615" t="s">
        <v>120</v>
      </c>
      <c r="U615" t="s">
        <v>120</v>
      </c>
      <c r="V615" t="s">
        <v>120</v>
      </c>
      <c r="W615" t="s">
        <v>120</v>
      </c>
      <c r="X615" t="s">
        <v>120</v>
      </c>
      <c r="Y615" t="s">
        <v>120</v>
      </c>
      <c r="Z615" t="s">
        <v>120</v>
      </c>
      <c r="AA615" t="s">
        <v>120</v>
      </c>
      <c r="AB615" t="s">
        <v>120</v>
      </c>
      <c r="AC615" t="s">
        <v>120</v>
      </c>
      <c r="AD615" t="s">
        <v>120</v>
      </c>
      <c r="AE615" t="s">
        <v>120</v>
      </c>
      <c r="AF615" t="s">
        <v>120</v>
      </c>
      <c r="AG615" t="s">
        <v>120</v>
      </c>
      <c r="AH615" t="s">
        <v>120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31.55</v>
      </c>
      <c r="AP615">
        <v>0</v>
      </c>
      <c r="AQ615">
        <v>0</v>
      </c>
      <c r="AR615">
        <v>70.2</v>
      </c>
      <c r="AS615">
        <v>0</v>
      </c>
    </row>
    <row r="616" spans="1:45" x14ac:dyDescent="0.25">
      <c r="A616" t="s">
        <v>1444</v>
      </c>
      <c r="B616" t="s">
        <v>1445</v>
      </c>
      <c r="C616" t="s">
        <v>147</v>
      </c>
      <c r="D616" t="s">
        <v>1409</v>
      </c>
      <c r="E616" t="s">
        <v>120</v>
      </c>
      <c r="F616" t="s">
        <v>120</v>
      </c>
      <c r="G616" t="s">
        <v>120</v>
      </c>
      <c r="H616" t="s">
        <v>120</v>
      </c>
      <c r="I616" t="s">
        <v>120</v>
      </c>
      <c r="J616" t="s">
        <v>120</v>
      </c>
      <c r="K616" t="s">
        <v>120</v>
      </c>
      <c r="L616" t="s">
        <v>120</v>
      </c>
      <c r="M616" t="s">
        <v>120</v>
      </c>
      <c r="N616" t="s">
        <v>120</v>
      </c>
      <c r="O616" t="s">
        <v>120</v>
      </c>
      <c r="P616" t="s">
        <v>120</v>
      </c>
      <c r="Q616" t="s">
        <v>120</v>
      </c>
      <c r="R616" t="s">
        <v>120</v>
      </c>
      <c r="S616" t="s">
        <v>120</v>
      </c>
      <c r="T616" t="s">
        <v>120</v>
      </c>
      <c r="U616" t="s">
        <v>120</v>
      </c>
      <c r="V616" t="s">
        <v>120</v>
      </c>
      <c r="W616" t="s">
        <v>120</v>
      </c>
      <c r="X616" t="s">
        <v>120</v>
      </c>
      <c r="Y616" t="s">
        <v>120</v>
      </c>
      <c r="Z616" t="s">
        <v>120</v>
      </c>
      <c r="AA616" t="s">
        <v>120</v>
      </c>
      <c r="AB616" t="s">
        <v>120</v>
      </c>
      <c r="AC616" t="s">
        <v>120</v>
      </c>
      <c r="AD616" t="s">
        <v>120</v>
      </c>
      <c r="AE616" t="s">
        <v>120</v>
      </c>
      <c r="AF616" t="s">
        <v>120</v>
      </c>
      <c r="AG616" t="s">
        <v>120</v>
      </c>
      <c r="AH616" t="s">
        <v>120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31.55</v>
      </c>
      <c r="AP616">
        <v>0</v>
      </c>
      <c r="AQ616">
        <v>0</v>
      </c>
      <c r="AR616">
        <v>70.2</v>
      </c>
      <c r="AS616">
        <v>0</v>
      </c>
    </row>
    <row r="617" spans="1:45" x14ac:dyDescent="0.25">
      <c r="A617" t="s">
        <v>1446</v>
      </c>
      <c r="B617" t="s">
        <v>1447</v>
      </c>
      <c r="C617" t="s">
        <v>147</v>
      </c>
      <c r="D617" t="s">
        <v>1409</v>
      </c>
      <c r="E617" t="s">
        <v>141</v>
      </c>
      <c r="F617" t="s">
        <v>120</v>
      </c>
      <c r="G617" t="s">
        <v>120</v>
      </c>
      <c r="H617" t="s">
        <v>135</v>
      </c>
      <c r="I617" t="s">
        <v>120</v>
      </c>
      <c r="J617" t="s">
        <v>120</v>
      </c>
      <c r="K617" t="s">
        <v>135</v>
      </c>
      <c r="L617" t="s">
        <v>120</v>
      </c>
      <c r="M617" t="s">
        <v>120</v>
      </c>
      <c r="N617" t="s">
        <v>120</v>
      </c>
      <c r="O617" t="s">
        <v>120</v>
      </c>
      <c r="P617" t="s">
        <v>120</v>
      </c>
      <c r="Q617" t="s">
        <v>325</v>
      </c>
      <c r="R617" t="s">
        <v>120</v>
      </c>
      <c r="S617" t="s">
        <v>120</v>
      </c>
      <c r="T617" t="s">
        <v>120</v>
      </c>
      <c r="U617" t="s">
        <v>120</v>
      </c>
      <c r="V617" t="s">
        <v>120</v>
      </c>
      <c r="W617" t="s">
        <v>120</v>
      </c>
      <c r="X617" t="s">
        <v>120</v>
      </c>
      <c r="Y617" t="s">
        <v>120</v>
      </c>
      <c r="Z617" t="s">
        <v>120</v>
      </c>
      <c r="AA617" t="s">
        <v>120</v>
      </c>
      <c r="AB617" t="s">
        <v>120</v>
      </c>
      <c r="AC617" t="s">
        <v>120</v>
      </c>
      <c r="AD617" t="s">
        <v>120</v>
      </c>
      <c r="AE617" t="s">
        <v>120</v>
      </c>
      <c r="AF617" t="s">
        <v>120</v>
      </c>
      <c r="AG617" t="s">
        <v>120</v>
      </c>
      <c r="AH617" t="s">
        <v>120</v>
      </c>
      <c r="AJ617">
        <v>0</v>
      </c>
      <c r="AK617">
        <v>30</v>
      </c>
      <c r="AL617">
        <v>13.999999999999998</v>
      </c>
      <c r="AM617">
        <v>16</v>
      </c>
      <c r="AN617">
        <v>0</v>
      </c>
      <c r="AO617">
        <v>31.55</v>
      </c>
      <c r="AP617">
        <v>30</v>
      </c>
      <c r="AQ617">
        <v>0</v>
      </c>
      <c r="AR617">
        <v>70.2</v>
      </c>
      <c r="AS617">
        <v>1893</v>
      </c>
    </row>
    <row r="618" spans="1:45" x14ac:dyDescent="0.25">
      <c r="A618" t="s">
        <v>1448</v>
      </c>
      <c r="B618" t="s">
        <v>1449</v>
      </c>
      <c r="C618" t="s">
        <v>147</v>
      </c>
      <c r="D618" t="s">
        <v>1409</v>
      </c>
      <c r="E618" t="s">
        <v>120</v>
      </c>
      <c r="F618" t="s">
        <v>120</v>
      </c>
      <c r="G618" t="s">
        <v>120</v>
      </c>
      <c r="H618" t="s">
        <v>120</v>
      </c>
      <c r="I618" t="s">
        <v>120</v>
      </c>
      <c r="J618" t="s">
        <v>120</v>
      </c>
      <c r="K618" t="s">
        <v>120</v>
      </c>
      <c r="L618" t="s">
        <v>120</v>
      </c>
      <c r="M618" t="s">
        <v>120</v>
      </c>
      <c r="N618" t="s">
        <v>120</v>
      </c>
      <c r="O618" t="s">
        <v>120</v>
      </c>
      <c r="P618" t="s">
        <v>120</v>
      </c>
      <c r="Q618" t="s">
        <v>120</v>
      </c>
      <c r="R618" t="s">
        <v>120</v>
      </c>
      <c r="S618" t="s">
        <v>120</v>
      </c>
      <c r="T618" t="s">
        <v>120</v>
      </c>
      <c r="U618" t="s">
        <v>120</v>
      </c>
      <c r="V618" t="s">
        <v>120</v>
      </c>
      <c r="W618" t="s">
        <v>120</v>
      </c>
      <c r="X618" t="s">
        <v>120</v>
      </c>
      <c r="Y618" t="s">
        <v>120</v>
      </c>
      <c r="Z618" t="s">
        <v>120</v>
      </c>
      <c r="AA618" t="s">
        <v>120</v>
      </c>
      <c r="AB618" t="s">
        <v>120</v>
      </c>
      <c r="AC618" t="s">
        <v>120</v>
      </c>
      <c r="AD618" t="s">
        <v>120</v>
      </c>
      <c r="AE618" t="s">
        <v>120</v>
      </c>
      <c r="AF618" t="s">
        <v>120</v>
      </c>
      <c r="AG618" t="s">
        <v>120</v>
      </c>
      <c r="AH618" t="s">
        <v>120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31.55</v>
      </c>
      <c r="AP618">
        <v>0</v>
      </c>
      <c r="AQ618">
        <v>0</v>
      </c>
      <c r="AR618">
        <v>70.2</v>
      </c>
      <c r="AS618">
        <v>0</v>
      </c>
    </row>
    <row r="619" spans="1:45" x14ac:dyDescent="0.25">
      <c r="A619" t="s">
        <v>1450</v>
      </c>
      <c r="B619" t="s">
        <v>1451</v>
      </c>
      <c r="C619" t="s">
        <v>147</v>
      </c>
      <c r="D619" t="s">
        <v>1409</v>
      </c>
      <c r="E619" t="s">
        <v>120</v>
      </c>
      <c r="F619" t="s">
        <v>120</v>
      </c>
      <c r="G619" t="s">
        <v>120</v>
      </c>
      <c r="H619" t="s">
        <v>120</v>
      </c>
      <c r="I619" t="s">
        <v>120</v>
      </c>
      <c r="J619" t="s">
        <v>120</v>
      </c>
      <c r="K619" t="s">
        <v>120</v>
      </c>
      <c r="L619" t="s">
        <v>120</v>
      </c>
      <c r="M619" t="s">
        <v>120</v>
      </c>
      <c r="N619" t="s">
        <v>120</v>
      </c>
      <c r="O619" t="s">
        <v>120</v>
      </c>
      <c r="P619" t="s">
        <v>120</v>
      </c>
      <c r="Q619" t="s">
        <v>120</v>
      </c>
      <c r="R619" t="s">
        <v>120</v>
      </c>
      <c r="S619" t="s">
        <v>120</v>
      </c>
      <c r="T619" t="s">
        <v>120</v>
      </c>
      <c r="U619" t="s">
        <v>120</v>
      </c>
      <c r="V619" t="s">
        <v>120</v>
      </c>
      <c r="W619" t="s">
        <v>120</v>
      </c>
      <c r="X619" t="s">
        <v>120</v>
      </c>
      <c r="Y619" t="s">
        <v>120</v>
      </c>
      <c r="Z619" t="s">
        <v>120</v>
      </c>
      <c r="AA619" t="s">
        <v>120</v>
      </c>
      <c r="AB619" t="s">
        <v>120</v>
      </c>
      <c r="AC619" t="s">
        <v>120</v>
      </c>
      <c r="AD619" t="s">
        <v>120</v>
      </c>
      <c r="AE619" t="s">
        <v>120</v>
      </c>
      <c r="AF619" t="s">
        <v>120</v>
      </c>
      <c r="AG619" t="s">
        <v>120</v>
      </c>
      <c r="AH619" t="s">
        <v>120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28.25</v>
      </c>
      <c r="AP619">
        <v>0</v>
      </c>
      <c r="AQ619">
        <v>0</v>
      </c>
      <c r="AR619">
        <v>70.2</v>
      </c>
      <c r="AS619">
        <v>0</v>
      </c>
    </row>
    <row r="620" spans="1:45" x14ac:dyDescent="0.25">
      <c r="A620" t="s">
        <v>1452</v>
      </c>
      <c r="B620" t="s">
        <v>1453</v>
      </c>
      <c r="C620" t="s">
        <v>147</v>
      </c>
      <c r="D620" t="s">
        <v>1409</v>
      </c>
      <c r="E620" t="s">
        <v>120</v>
      </c>
      <c r="F620" t="s">
        <v>120</v>
      </c>
      <c r="G620" t="s">
        <v>120</v>
      </c>
      <c r="H620" t="s">
        <v>120</v>
      </c>
      <c r="I620" t="s">
        <v>120</v>
      </c>
      <c r="J620" t="s">
        <v>120</v>
      </c>
      <c r="K620" t="s">
        <v>120</v>
      </c>
      <c r="L620" t="s">
        <v>120</v>
      </c>
      <c r="M620" t="s">
        <v>120</v>
      </c>
      <c r="N620" t="s">
        <v>120</v>
      </c>
      <c r="O620" t="s">
        <v>120</v>
      </c>
      <c r="P620" t="s">
        <v>120</v>
      </c>
      <c r="Q620" t="s">
        <v>120</v>
      </c>
      <c r="R620" t="s">
        <v>120</v>
      </c>
      <c r="S620" t="s">
        <v>120</v>
      </c>
      <c r="T620" t="s">
        <v>120</v>
      </c>
      <c r="U620" t="s">
        <v>120</v>
      </c>
      <c r="V620" t="s">
        <v>120</v>
      </c>
      <c r="W620" t="s">
        <v>120</v>
      </c>
      <c r="X620" t="s">
        <v>120</v>
      </c>
      <c r="Y620" t="s">
        <v>120</v>
      </c>
      <c r="Z620" t="s">
        <v>120</v>
      </c>
      <c r="AA620" t="s">
        <v>120</v>
      </c>
      <c r="AB620" t="s">
        <v>120</v>
      </c>
      <c r="AC620" t="s">
        <v>120</v>
      </c>
      <c r="AD620" t="s">
        <v>120</v>
      </c>
      <c r="AE620" t="s">
        <v>120</v>
      </c>
      <c r="AF620" t="s">
        <v>120</v>
      </c>
      <c r="AG620" t="s">
        <v>120</v>
      </c>
      <c r="AH620" t="s">
        <v>120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28.25</v>
      </c>
      <c r="AP620">
        <v>0</v>
      </c>
      <c r="AQ620">
        <v>0</v>
      </c>
      <c r="AR620">
        <v>70.2</v>
      </c>
      <c r="AS620">
        <v>0</v>
      </c>
    </row>
    <row r="621" spans="1:45" x14ac:dyDescent="0.25">
      <c r="A621" t="s">
        <v>1454</v>
      </c>
      <c r="B621" t="s">
        <v>1455</v>
      </c>
      <c r="C621" t="s">
        <v>147</v>
      </c>
      <c r="D621" t="s">
        <v>1409</v>
      </c>
      <c r="E621" t="s">
        <v>120</v>
      </c>
      <c r="F621" t="s">
        <v>120</v>
      </c>
      <c r="G621" t="s">
        <v>120</v>
      </c>
      <c r="H621" t="s">
        <v>120</v>
      </c>
      <c r="I621" t="s">
        <v>120</v>
      </c>
      <c r="J621" t="s">
        <v>120</v>
      </c>
      <c r="K621" t="s">
        <v>120</v>
      </c>
      <c r="L621" t="s">
        <v>120</v>
      </c>
      <c r="M621" t="s">
        <v>120</v>
      </c>
      <c r="N621" t="s">
        <v>120</v>
      </c>
      <c r="O621" t="s">
        <v>120</v>
      </c>
      <c r="P621" t="s">
        <v>120</v>
      </c>
      <c r="Q621" t="s">
        <v>120</v>
      </c>
      <c r="R621" t="s">
        <v>120</v>
      </c>
      <c r="S621" t="s">
        <v>120</v>
      </c>
      <c r="T621" t="s">
        <v>120</v>
      </c>
      <c r="U621" t="s">
        <v>120</v>
      </c>
      <c r="V621" t="s">
        <v>120</v>
      </c>
      <c r="W621" t="s">
        <v>120</v>
      </c>
      <c r="X621" t="s">
        <v>120</v>
      </c>
      <c r="Y621" t="s">
        <v>120</v>
      </c>
      <c r="Z621" t="s">
        <v>120</v>
      </c>
      <c r="AA621" t="s">
        <v>120</v>
      </c>
      <c r="AB621" t="s">
        <v>120</v>
      </c>
      <c r="AC621" t="s">
        <v>120</v>
      </c>
      <c r="AD621" t="s">
        <v>120</v>
      </c>
      <c r="AE621" t="s">
        <v>120</v>
      </c>
      <c r="AF621" t="s">
        <v>120</v>
      </c>
      <c r="AG621" t="s">
        <v>120</v>
      </c>
      <c r="AH621" t="s">
        <v>120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31.55</v>
      </c>
      <c r="AP621">
        <v>0</v>
      </c>
      <c r="AQ621">
        <v>0</v>
      </c>
      <c r="AR621">
        <v>70.2</v>
      </c>
      <c r="AS621">
        <v>0</v>
      </c>
    </row>
    <row r="622" spans="1:45" x14ac:dyDescent="0.25">
      <c r="A622" t="s">
        <v>1456</v>
      </c>
      <c r="B622" t="s">
        <v>1457</v>
      </c>
      <c r="C622" t="s">
        <v>127</v>
      </c>
      <c r="D622" t="s">
        <v>1409</v>
      </c>
      <c r="E622" t="s">
        <v>120</v>
      </c>
      <c r="F622" t="s">
        <v>120</v>
      </c>
      <c r="G622" t="s">
        <v>120</v>
      </c>
      <c r="H622" t="s">
        <v>120</v>
      </c>
      <c r="I622" t="s">
        <v>120</v>
      </c>
      <c r="J622" t="s">
        <v>120</v>
      </c>
      <c r="K622" t="s">
        <v>120</v>
      </c>
      <c r="L622" t="s">
        <v>120</v>
      </c>
      <c r="M622" t="s">
        <v>120</v>
      </c>
      <c r="N622" t="s">
        <v>120</v>
      </c>
      <c r="O622" t="s">
        <v>120</v>
      </c>
      <c r="P622" t="s">
        <v>120</v>
      </c>
      <c r="Q622" t="s">
        <v>120</v>
      </c>
      <c r="R622" t="s">
        <v>120</v>
      </c>
      <c r="S622" t="s">
        <v>120</v>
      </c>
      <c r="T622" t="s">
        <v>120</v>
      </c>
      <c r="U622" t="s">
        <v>120</v>
      </c>
      <c r="V622" t="s">
        <v>120</v>
      </c>
      <c r="W622" t="s">
        <v>120</v>
      </c>
      <c r="X622" t="s">
        <v>120</v>
      </c>
      <c r="Y622" t="s">
        <v>120</v>
      </c>
      <c r="Z622" t="s">
        <v>120</v>
      </c>
      <c r="AA622" t="s">
        <v>120</v>
      </c>
      <c r="AB622" t="s">
        <v>120</v>
      </c>
      <c r="AC622" t="s">
        <v>120</v>
      </c>
      <c r="AD622" t="s">
        <v>120</v>
      </c>
      <c r="AE622" t="s">
        <v>120</v>
      </c>
      <c r="AF622" t="s">
        <v>120</v>
      </c>
      <c r="AG622" t="s">
        <v>120</v>
      </c>
      <c r="AH622" t="s">
        <v>120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33.43</v>
      </c>
      <c r="AP622">
        <v>0</v>
      </c>
      <c r="AQ622">
        <v>0</v>
      </c>
      <c r="AR622">
        <v>75.06</v>
      </c>
      <c r="AS622">
        <v>0</v>
      </c>
    </row>
    <row r="623" spans="1:45" x14ac:dyDescent="0.25">
      <c r="A623" t="s">
        <v>1458</v>
      </c>
      <c r="B623" t="s">
        <v>1459</v>
      </c>
      <c r="C623" t="s">
        <v>147</v>
      </c>
      <c r="D623" t="s">
        <v>1409</v>
      </c>
      <c r="E623" t="s">
        <v>120</v>
      </c>
      <c r="F623" t="s">
        <v>120</v>
      </c>
      <c r="G623" t="s">
        <v>120</v>
      </c>
      <c r="H623" t="s">
        <v>120</v>
      </c>
      <c r="I623" t="s">
        <v>120</v>
      </c>
      <c r="J623" t="s">
        <v>120</v>
      </c>
      <c r="K623" t="s">
        <v>120</v>
      </c>
      <c r="L623" t="s">
        <v>120</v>
      </c>
      <c r="M623" t="s">
        <v>120</v>
      </c>
      <c r="N623" t="s">
        <v>120</v>
      </c>
      <c r="O623" t="s">
        <v>120</v>
      </c>
      <c r="P623" t="s">
        <v>120</v>
      </c>
      <c r="Q623" t="s">
        <v>120</v>
      </c>
      <c r="R623" t="s">
        <v>120</v>
      </c>
      <c r="S623" t="s">
        <v>120</v>
      </c>
      <c r="T623" t="s">
        <v>120</v>
      </c>
      <c r="U623" t="s">
        <v>120</v>
      </c>
      <c r="V623" t="s">
        <v>120</v>
      </c>
      <c r="W623" t="s">
        <v>120</v>
      </c>
      <c r="X623" t="s">
        <v>120</v>
      </c>
      <c r="Y623" t="s">
        <v>120</v>
      </c>
      <c r="Z623" t="s">
        <v>120</v>
      </c>
      <c r="AA623" t="s">
        <v>120</v>
      </c>
      <c r="AB623" t="s">
        <v>120</v>
      </c>
      <c r="AC623" t="s">
        <v>120</v>
      </c>
      <c r="AD623" t="s">
        <v>120</v>
      </c>
      <c r="AE623" t="s">
        <v>120</v>
      </c>
      <c r="AF623" t="s">
        <v>120</v>
      </c>
      <c r="AG623" t="s">
        <v>120</v>
      </c>
      <c r="AH623" t="s">
        <v>120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31.55</v>
      </c>
      <c r="AP623">
        <v>0</v>
      </c>
      <c r="AQ623">
        <v>0</v>
      </c>
      <c r="AR623">
        <v>70.2</v>
      </c>
      <c r="AS623">
        <v>0</v>
      </c>
    </row>
    <row r="624" spans="1:45" x14ac:dyDescent="0.25">
      <c r="A624" t="s">
        <v>1460</v>
      </c>
      <c r="B624" t="s">
        <v>1461</v>
      </c>
      <c r="C624" t="s">
        <v>147</v>
      </c>
      <c r="D624" t="s">
        <v>1462</v>
      </c>
      <c r="E624" t="s">
        <v>120</v>
      </c>
      <c r="F624" t="s">
        <v>120</v>
      </c>
      <c r="G624" t="s">
        <v>120</v>
      </c>
      <c r="H624" t="s">
        <v>120</v>
      </c>
      <c r="I624" t="s">
        <v>120</v>
      </c>
      <c r="J624" t="s">
        <v>120</v>
      </c>
      <c r="K624" t="s">
        <v>120</v>
      </c>
      <c r="L624" t="s">
        <v>120</v>
      </c>
      <c r="M624" t="s">
        <v>120</v>
      </c>
      <c r="N624" t="s">
        <v>120</v>
      </c>
      <c r="O624" t="s">
        <v>120</v>
      </c>
      <c r="P624" t="s">
        <v>120</v>
      </c>
      <c r="Q624" t="s">
        <v>120</v>
      </c>
      <c r="R624" t="s">
        <v>120</v>
      </c>
      <c r="S624" t="s">
        <v>120</v>
      </c>
      <c r="T624" t="s">
        <v>120</v>
      </c>
      <c r="U624" t="s">
        <v>120</v>
      </c>
      <c r="V624" t="s">
        <v>120</v>
      </c>
      <c r="W624" t="s">
        <v>120</v>
      </c>
      <c r="X624" t="s">
        <v>120</v>
      </c>
      <c r="Y624" t="s">
        <v>120</v>
      </c>
      <c r="Z624" t="s">
        <v>120</v>
      </c>
      <c r="AA624" t="s">
        <v>120</v>
      </c>
      <c r="AB624" t="s">
        <v>120</v>
      </c>
      <c r="AC624" t="s">
        <v>120</v>
      </c>
      <c r="AD624" t="s">
        <v>120</v>
      </c>
      <c r="AE624" t="s">
        <v>120</v>
      </c>
      <c r="AF624" t="s">
        <v>120</v>
      </c>
      <c r="AG624" t="s">
        <v>120</v>
      </c>
      <c r="AH624" t="s">
        <v>120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31.55</v>
      </c>
      <c r="AP624">
        <v>0</v>
      </c>
      <c r="AQ624">
        <v>0</v>
      </c>
      <c r="AR624">
        <v>70.2</v>
      </c>
      <c r="AS624">
        <v>0</v>
      </c>
    </row>
    <row r="625" spans="1:45" x14ac:dyDescent="0.25">
      <c r="A625" t="s">
        <v>1463</v>
      </c>
      <c r="B625" t="s">
        <v>1464</v>
      </c>
      <c r="C625" t="s">
        <v>147</v>
      </c>
      <c r="D625" t="s">
        <v>1462</v>
      </c>
      <c r="E625" t="s">
        <v>120</v>
      </c>
      <c r="F625" t="s">
        <v>120</v>
      </c>
      <c r="G625" t="s">
        <v>120</v>
      </c>
      <c r="H625" t="s">
        <v>120</v>
      </c>
      <c r="I625" t="s">
        <v>120</v>
      </c>
      <c r="J625" t="s">
        <v>120</v>
      </c>
      <c r="K625" t="s">
        <v>120</v>
      </c>
      <c r="L625" t="s">
        <v>120</v>
      </c>
      <c r="M625" t="s">
        <v>120</v>
      </c>
      <c r="N625" t="s">
        <v>120</v>
      </c>
      <c r="O625" t="s">
        <v>120</v>
      </c>
      <c r="P625" t="s">
        <v>120</v>
      </c>
      <c r="Q625" t="s">
        <v>120</v>
      </c>
      <c r="R625" t="s">
        <v>120</v>
      </c>
      <c r="S625" t="s">
        <v>120</v>
      </c>
      <c r="T625" t="s">
        <v>120</v>
      </c>
      <c r="U625" t="s">
        <v>120</v>
      </c>
      <c r="V625" t="s">
        <v>120</v>
      </c>
      <c r="W625" t="s">
        <v>120</v>
      </c>
      <c r="X625" t="s">
        <v>120</v>
      </c>
      <c r="Y625" t="s">
        <v>120</v>
      </c>
      <c r="Z625" t="s">
        <v>120</v>
      </c>
      <c r="AA625" t="s">
        <v>120</v>
      </c>
      <c r="AB625" t="s">
        <v>120</v>
      </c>
      <c r="AC625" t="s">
        <v>120</v>
      </c>
      <c r="AD625" t="s">
        <v>120</v>
      </c>
      <c r="AE625" t="s">
        <v>120</v>
      </c>
      <c r="AF625" t="s">
        <v>120</v>
      </c>
      <c r="AG625" t="s">
        <v>120</v>
      </c>
      <c r="AH625" t="s">
        <v>120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31.55</v>
      </c>
      <c r="AP625">
        <v>0</v>
      </c>
      <c r="AQ625">
        <v>0</v>
      </c>
      <c r="AR625">
        <v>70.2</v>
      </c>
      <c r="AS625">
        <v>0</v>
      </c>
    </row>
    <row r="626" spans="1:45" x14ac:dyDescent="0.25">
      <c r="A626" t="s">
        <v>1465</v>
      </c>
      <c r="B626" t="s">
        <v>1466</v>
      </c>
      <c r="C626" t="s">
        <v>147</v>
      </c>
      <c r="D626" t="s">
        <v>1462</v>
      </c>
      <c r="E626" t="s">
        <v>120</v>
      </c>
      <c r="F626" t="s">
        <v>120</v>
      </c>
      <c r="G626" t="s">
        <v>120</v>
      </c>
      <c r="H626" t="s">
        <v>120</v>
      </c>
      <c r="I626" t="s">
        <v>120</v>
      </c>
      <c r="J626" t="s">
        <v>120</v>
      </c>
      <c r="K626" t="s">
        <v>120</v>
      </c>
      <c r="L626" t="s">
        <v>120</v>
      </c>
      <c r="M626" t="s">
        <v>120</v>
      </c>
      <c r="N626" t="s">
        <v>120</v>
      </c>
      <c r="O626" t="s">
        <v>120</v>
      </c>
      <c r="P626" t="s">
        <v>120</v>
      </c>
      <c r="Q626" t="s">
        <v>120</v>
      </c>
      <c r="R626" t="s">
        <v>120</v>
      </c>
      <c r="S626" t="s">
        <v>120</v>
      </c>
      <c r="T626" t="s">
        <v>120</v>
      </c>
      <c r="U626" t="s">
        <v>120</v>
      </c>
      <c r="V626" t="s">
        <v>120</v>
      </c>
      <c r="W626" t="s">
        <v>120</v>
      </c>
      <c r="X626" t="s">
        <v>120</v>
      </c>
      <c r="Y626" t="s">
        <v>120</v>
      </c>
      <c r="Z626" t="s">
        <v>120</v>
      </c>
      <c r="AA626" t="s">
        <v>120</v>
      </c>
      <c r="AB626" t="s">
        <v>120</v>
      </c>
      <c r="AC626" t="s">
        <v>120</v>
      </c>
      <c r="AD626" t="s">
        <v>120</v>
      </c>
      <c r="AE626" t="s">
        <v>120</v>
      </c>
      <c r="AF626" t="s">
        <v>120</v>
      </c>
      <c r="AG626" t="s">
        <v>120</v>
      </c>
      <c r="AH626" t="s">
        <v>120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31.55</v>
      </c>
      <c r="AP626">
        <v>0</v>
      </c>
      <c r="AQ626">
        <v>0</v>
      </c>
      <c r="AR626">
        <v>70.2</v>
      </c>
      <c r="AS626">
        <v>0</v>
      </c>
    </row>
    <row r="627" spans="1:45" x14ac:dyDescent="0.25">
      <c r="A627" t="s">
        <v>1467</v>
      </c>
      <c r="B627" t="s">
        <v>1468</v>
      </c>
      <c r="C627" t="s">
        <v>130</v>
      </c>
      <c r="D627" t="s">
        <v>1462</v>
      </c>
      <c r="E627" t="s">
        <v>120</v>
      </c>
      <c r="F627" t="s">
        <v>120</v>
      </c>
      <c r="G627" t="s">
        <v>120</v>
      </c>
      <c r="H627" t="s">
        <v>120</v>
      </c>
      <c r="I627" t="s">
        <v>120</v>
      </c>
      <c r="J627" t="s">
        <v>120</v>
      </c>
      <c r="K627" t="s">
        <v>120</v>
      </c>
      <c r="L627" t="s">
        <v>120</v>
      </c>
      <c r="M627" t="s">
        <v>120</v>
      </c>
      <c r="N627" t="s">
        <v>120</v>
      </c>
      <c r="O627" t="s">
        <v>120</v>
      </c>
      <c r="P627" t="s">
        <v>120</v>
      </c>
      <c r="Q627" t="s">
        <v>120</v>
      </c>
      <c r="R627" t="s">
        <v>120</v>
      </c>
      <c r="S627" t="s">
        <v>120</v>
      </c>
      <c r="T627" t="s">
        <v>120</v>
      </c>
      <c r="U627" t="s">
        <v>120</v>
      </c>
      <c r="V627" t="s">
        <v>120</v>
      </c>
      <c r="W627" t="s">
        <v>124</v>
      </c>
      <c r="X627" t="s">
        <v>120</v>
      </c>
      <c r="Y627" t="s">
        <v>341</v>
      </c>
      <c r="Z627" t="s">
        <v>120</v>
      </c>
      <c r="AA627" t="s">
        <v>120</v>
      </c>
      <c r="AB627" t="s">
        <v>120</v>
      </c>
      <c r="AC627" t="s">
        <v>120</v>
      </c>
      <c r="AD627" t="s">
        <v>120</v>
      </c>
      <c r="AE627" t="s">
        <v>120</v>
      </c>
      <c r="AF627" t="s">
        <v>120</v>
      </c>
      <c r="AG627" t="s">
        <v>120</v>
      </c>
      <c r="AH627" t="s">
        <v>120</v>
      </c>
      <c r="AJ627">
        <v>0</v>
      </c>
      <c r="AK627">
        <v>8</v>
      </c>
      <c r="AL627">
        <v>4</v>
      </c>
      <c r="AM627">
        <v>4</v>
      </c>
      <c r="AN627">
        <v>0</v>
      </c>
      <c r="AO627">
        <v>7500</v>
      </c>
      <c r="AP627">
        <v>8</v>
      </c>
      <c r="AQ627">
        <v>0</v>
      </c>
      <c r="AR627">
        <v>126.56250000000001</v>
      </c>
      <c r="AS627">
        <v>750</v>
      </c>
    </row>
    <row r="628" spans="1:45" x14ac:dyDescent="0.25">
      <c r="A628" t="s">
        <v>1469</v>
      </c>
      <c r="B628" t="s">
        <v>1470</v>
      </c>
      <c r="C628" t="s">
        <v>147</v>
      </c>
      <c r="D628" t="s">
        <v>1462</v>
      </c>
      <c r="E628" t="s">
        <v>120</v>
      </c>
      <c r="F628" t="s">
        <v>120</v>
      </c>
      <c r="G628" t="s">
        <v>120</v>
      </c>
      <c r="H628" t="s">
        <v>120</v>
      </c>
      <c r="I628" t="s">
        <v>120</v>
      </c>
      <c r="J628" t="s">
        <v>120</v>
      </c>
      <c r="K628" t="s">
        <v>120</v>
      </c>
      <c r="L628" t="s">
        <v>120</v>
      </c>
      <c r="M628" t="s">
        <v>120</v>
      </c>
      <c r="N628" t="s">
        <v>120</v>
      </c>
      <c r="O628" t="s">
        <v>120</v>
      </c>
      <c r="P628" t="s">
        <v>120</v>
      </c>
      <c r="Q628" t="s">
        <v>120</v>
      </c>
      <c r="R628" t="s">
        <v>120</v>
      </c>
      <c r="S628" t="s">
        <v>120</v>
      </c>
      <c r="T628" t="s">
        <v>120</v>
      </c>
      <c r="U628" t="s">
        <v>120</v>
      </c>
      <c r="V628" t="s">
        <v>120</v>
      </c>
      <c r="W628" t="s">
        <v>120</v>
      </c>
      <c r="X628" t="s">
        <v>120</v>
      </c>
      <c r="Y628" t="s">
        <v>120</v>
      </c>
      <c r="Z628" t="s">
        <v>120</v>
      </c>
      <c r="AA628" t="s">
        <v>120</v>
      </c>
      <c r="AB628" t="s">
        <v>120</v>
      </c>
      <c r="AC628" t="s">
        <v>120</v>
      </c>
      <c r="AD628" t="s">
        <v>120</v>
      </c>
      <c r="AE628" t="s">
        <v>120</v>
      </c>
      <c r="AF628" t="s">
        <v>120</v>
      </c>
      <c r="AG628" t="s">
        <v>120</v>
      </c>
      <c r="AH628" t="s">
        <v>120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31.55</v>
      </c>
      <c r="AP628">
        <v>0</v>
      </c>
      <c r="AQ628">
        <v>0</v>
      </c>
      <c r="AR628">
        <v>70.2</v>
      </c>
      <c r="AS628">
        <v>0</v>
      </c>
    </row>
    <row r="629" spans="1:45" x14ac:dyDescent="0.25">
      <c r="A629" t="s">
        <v>1471</v>
      </c>
      <c r="B629" t="s">
        <v>1472</v>
      </c>
      <c r="C629" t="s">
        <v>147</v>
      </c>
      <c r="D629" t="s">
        <v>1462</v>
      </c>
      <c r="E629" t="s">
        <v>120</v>
      </c>
      <c r="F629" t="s">
        <v>120</v>
      </c>
      <c r="G629" t="s">
        <v>120</v>
      </c>
      <c r="H629" t="s">
        <v>120</v>
      </c>
      <c r="I629" t="s">
        <v>120</v>
      </c>
      <c r="J629" t="s">
        <v>120</v>
      </c>
      <c r="K629" t="s">
        <v>120</v>
      </c>
      <c r="L629" t="s">
        <v>120</v>
      </c>
      <c r="M629" t="s">
        <v>120</v>
      </c>
      <c r="N629" t="s">
        <v>120</v>
      </c>
      <c r="O629" t="s">
        <v>120</v>
      </c>
      <c r="P629" t="s">
        <v>120</v>
      </c>
      <c r="Q629" t="s">
        <v>120</v>
      </c>
      <c r="R629" t="s">
        <v>120</v>
      </c>
      <c r="S629" t="s">
        <v>120</v>
      </c>
      <c r="T629" t="s">
        <v>120</v>
      </c>
      <c r="U629" t="s">
        <v>120</v>
      </c>
      <c r="V629" t="s">
        <v>120</v>
      </c>
      <c r="W629" t="s">
        <v>120</v>
      </c>
      <c r="X629" t="s">
        <v>120</v>
      </c>
      <c r="Y629" t="s">
        <v>120</v>
      </c>
      <c r="Z629" t="s">
        <v>120</v>
      </c>
      <c r="AA629" t="s">
        <v>120</v>
      </c>
      <c r="AB629" t="s">
        <v>120</v>
      </c>
      <c r="AC629" t="s">
        <v>120</v>
      </c>
      <c r="AD629" t="s">
        <v>120</v>
      </c>
      <c r="AE629" t="s">
        <v>120</v>
      </c>
      <c r="AF629" t="s">
        <v>120</v>
      </c>
      <c r="AG629" t="s">
        <v>120</v>
      </c>
      <c r="AH629" t="s">
        <v>120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31.55</v>
      </c>
      <c r="AP629">
        <v>0</v>
      </c>
      <c r="AQ629">
        <v>0</v>
      </c>
      <c r="AR629">
        <v>70.2</v>
      </c>
      <c r="AS629">
        <v>0</v>
      </c>
    </row>
    <row r="630" spans="1:45" x14ac:dyDescent="0.25">
      <c r="A630" t="s">
        <v>1473</v>
      </c>
      <c r="B630" t="s">
        <v>1474</v>
      </c>
      <c r="C630" t="s">
        <v>147</v>
      </c>
      <c r="D630" t="s">
        <v>1462</v>
      </c>
      <c r="E630" t="s">
        <v>120</v>
      </c>
      <c r="F630" t="s">
        <v>120</v>
      </c>
      <c r="G630" t="s">
        <v>120</v>
      </c>
      <c r="H630" t="s">
        <v>120</v>
      </c>
      <c r="I630" t="s">
        <v>120</v>
      </c>
      <c r="J630" t="s">
        <v>120</v>
      </c>
      <c r="K630" t="s">
        <v>120</v>
      </c>
      <c r="L630" t="s">
        <v>120</v>
      </c>
      <c r="M630" t="s">
        <v>120</v>
      </c>
      <c r="N630" t="s">
        <v>120</v>
      </c>
      <c r="O630" t="s">
        <v>120</v>
      </c>
      <c r="P630" t="s">
        <v>120</v>
      </c>
      <c r="Q630" t="s">
        <v>120</v>
      </c>
      <c r="R630" t="s">
        <v>120</v>
      </c>
      <c r="S630" t="s">
        <v>120</v>
      </c>
      <c r="T630" t="s">
        <v>120</v>
      </c>
      <c r="U630" t="s">
        <v>120</v>
      </c>
      <c r="V630" t="s">
        <v>120</v>
      </c>
      <c r="W630" t="s">
        <v>120</v>
      </c>
      <c r="X630" t="s">
        <v>120</v>
      </c>
      <c r="Y630" t="s">
        <v>120</v>
      </c>
      <c r="Z630" t="s">
        <v>120</v>
      </c>
      <c r="AA630" t="s">
        <v>120</v>
      </c>
      <c r="AB630" t="s">
        <v>120</v>
      </c>
      <c r="AC630" t="s">
        <v>120</v>
      </c>
      <c r="AD630" t="s">
        <v>120</v>
      </c>
      <c r="AE630" t="s">
        <v>120</v>
      </c>
      <c r="AF630" t="s">
        <v>120</v>
      </c>
      <c r="AG630" t="s">
        <v>120</v>
      </c>
      <c r="AH630" t="s">
        <v>120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31.55</v>
      </c>
      <c r="AP630">
        <v>0</v>
      </c>
      <c r="AQ630">
        <v>0</v>
      </c>
      <c r="AR630">
        <v>70.2</v>
      </c>
      <c r="AS630">
        <v>0</v>
      </c>
    </row>
    <row r="631" spans="1:45" x14ac:dyDescent="0.25">
      <c r="A631" t="s">
        <v>1475</v>
      </c>
      <c r="B631" t="s">
        <v>1476</v>
      </c>
      <c r="C631" t="s">
        <v>147</v>
      </c>
      <c r="D631" t="s">
        <v>1462</v>
      </c>
      <c r="E631" t="s">
        <v>120</v>
      </c>
      <c r="F631" t="s">
        <v>120</v>
      </c>
      <c r="G631" t="s">
        <v>120</v>
      </c>
      <c r="H631" t="s">
        <v>120</v>
      </c>
      <c r="I631" t="s">
        <v>120</v>
      </c>
      <c r="J631" t="s">
        <v>120</v>
      </c>
      <c r="K631" t="s">
        <v>120</v>
      </c>
      <c r="L631" t="s">
        <v>120</v>
      </c>
      <c r="M631" t="s">
        <v>120</v>
      </c>
      <c r="N631" t="s">
        <v>120</v>
      </c>
      <c r="O631" t="s">
        <v>120</v>
      </c>
      <c r="P631" t="s">
        <v>120</v>
      </c>
      <c r="Q631" t="s">
        <v>120</v>
      </c>
      <c r="R631" t="s">
        <v>120</v>
      </c>
      <c r="S631" t="s">
        <v>120</v>
      </c>
      <c r="T631" t="s">
        <v>120</v>
      </c>
      <c r="U631" t="s">
        <v>120</v>
      </c>
      <c r="V631" t="s">
        <v>120</v>
      </c>
      <c r="W631" t="s">
        <v>120</v>
      </c>
      <c r="X631" t="s">
        <v>120</v>
      </c>
      <c r="Y631" t="s">
        <v>141</v>
      </c>
      <c r="Z631" t="s">
        <v>120</v>
      </c>
      <c r="AA631" t="s">
        <v>120</v>
      </c>
      <c r="AB631" t="s">
        <v>120</v>
      </c>
      <c r="AC631" t="s">
        <v>120</v>
      </c>
      <c r="AD631" t="s">
        <v>120</v>
      </c>
      <c r="AE631" t="s">
        <v>120</v>
      </c>
      <c r="AF631" t="s">
        <v>120</v>
      </c>
      <c r="AG631" t="s">
        <v>120</v>
      </c>
      <c r="AH631" t="s">
        <v>120</v>
      </c>
      <c r="AJ631">
        <v>0</v>
      </c>
      <c r="AK631">
        <v>8</v>
      </c>
      <c r="AL631">
        <v>8</v>
      </c>
      <c r="AM631">
        <v>0</v>
      </c>
      <c r="AN631">
        <v>0</v>
      </c>
      <c r="AO631">
        <v>31.55</v>
      </c>
      <c r="AP631">
        <v>8</v>
      </c>
      <c r="AQ631">
        <v>0</v>
      </c>
      <c r="AR631">
        <v>70.2</v>
      </c>
      <c r="AS631">
        <v>504.8</v>
      </c>
    </row>
    <row r="632" spans="1:45" x14ac:dyDescent="0.25">
      <c r="A632" t="s">
        <v>1477</v>
      </c>
      <c r="B632" t="s">
        <v>1478</v>
      </c>
      <c r="C632" t="s">
        <v>147</v>
      </c>
      <c r="D632" t="s">
        <v>1462</v>
      </c>
      <c r="E632" t="s">
        <v>120</v>
      </c>
      <c r="F632" t="s">
        <v>120</v>
      </c>
      <c r="G632" t="s">
        <v>120</v>
      </c>
      <c r="H632" t="s">
        <v>120</v>
      </c>
      <c r="I632" t="s">
        <v>120</v>
      </c>
      <c r="J632" t="s">
        <v>120</v>
      </c>
      <c r="K632" t="s">
        <v>120</v>
      </c>
      <c r="L632" t="s">
        <v>120</v>
      </c>
      <c r="M632" t="s">
        <v>120</v>
      </c>
      <c r="N632" t="s">
        <v>120</v>
      </c>
      <c r="O632" t="s">
        <v>120</v>
      </c>
      <c r="P632" t="s">
        <v>120</v>
      </c>
      <c r="Q632" t="s">
        <v>120</v>
      </c>
      <c r="R632" t="s">
        <v>120</v>
      </c>
      <c r="S632" t="s">
        <v>120</v>
      </c>
      <c r="T632" t="s">
        <v>120</v>
      </c>
      <c r="U632" t="s">
        <v>120</v>
      </c>
      <c r="V632" t="s">
        <v>120</v>
      </c>
      <c r="W632" t="s">
        <v>124</v>
      </c>
      <c r="X632" t="s">
        <v>120</v>
      </c>
      <c r="Y632" t="s">
        <v>141</v>
      </c>
      <c r="Z632" t="s">
        <v>120</v>
      </c>
      <c r="AA632" t="s">
        <v>120</v>
      </c>
      <c r="AB632" t="s">
        <v>120</v>
      </c>
      <c r="AC632" t="s">
        <v>120</v>
      </c>
      <c r="AD632" t="s">
        <v>120</v>
      </c>
      <c r="AE632" t="s">
        <v>120</v>
      </c>
      <c r="AF632" t="s">
        <v>120</v>
      </c>
      <c r="AG632" t="s">
        <v>120</v>
      </c>
      <c r="AH632" t="s">
        <v>120</v>
      </c>
      <c r="AJ632">
        <v>0</v>
      </c>
      <c r="AK632">
        <v>12</v>
      </c>
      <c r="AL632">
        <v>8</v>
      </c>
      <c r="AM632">
        <v>4</v>
      </c>
      <c r="AN632">
        <v>0</v>
      </c>
      <c r="AO632">
        <v>31.55</v>
      </c>
      <c r="AP632">
        <v>12</v>
      </c>
      <c r="AQ632">
        <v>0</v>
      </c>
      <c r="AR632">
        <v>70.2</v>
      </c>
      <c r="AS632">
        <v>757.2</v>
      </c>
    </row>
    <row r="633" spans="1:45" x14ac:dyDescent="0.25">
      <c r="A633" t="s">
        <v>1479</v>
      </c>
      <c r="B633" t="s">
        <v>1480</v>
      </c>
      <c r="C633" t="s">
        <v>147</v>
      </c>
      <c r="D633" t="s">
        <v>1462</v>
      </c>
      <c r="E633" t="s">
        <v>120</v>
      </c>
      <c r="F633" t="s">
        <v>120</v>
      </c>
      <c r="G633" t="s">
        <v>120</v>
      </c>
      <c r="H633" t="s">
        <v>120</v>
      </c>
      <c r="I633" t="s">
        <v>120</v>
      </c>
      <c r="J633" t="s">
        <v>120</v>
      </c>
      <c r="K633" t="s">
        <v>120</v>
      </c>
      <c r="L633" t="s">
        <v>120</v>
      </c>
      <c r="M633" t="s">
        <v>120</v>
      </c>
      <c r="N633" t="s">
        <v>120</v>
      </c>
      <c r="O633" t="s">
        <v>120</v>
      </c>
      <c r="P633" t="s">
        <v>120</v>
      </c>
      <c r="Q633" t="s">
        <v>120</v>
      </c>
      <c r="R633" t="s">
        <v>120</v>
      </c>
      <c r="S633" t="s">
        <v>120</v>
      </c>
      <c r="T633" t="s">
        <v>120</v>
      </c>
      <c r="U633" t="s">
        <v>120</v>
      </c>
      <c r="V633" t="s">
        <v>120</v>
      </c>
      <c r="W633" t="s">
        <v>120</v>
      </c>
      <c r="X633" t="s">
        <v>120</v>
      </c>
      <c r="Y633" t="s">
        <v>120</v>
      </c>
      <c r="Z633" t="s">
        <v>120</v>
      </c>
      <c r="AA633" t="s">
        <v>120</v>
      </c>
      <c r="AB633" t="s">
        <v>120</v>
      </c>
      <c r="AC633" t="s">
        <v>120</v>
      </c>
      <c r="AD633" t="s">
        <v>120</v>
      </c>
      <c r="AE633" t="s">
        <v>120</v>
      </c>
      <c r="AF633" t="s">
        <v>120</v>
      </c>
      <c r="AG633" t="s">
        <v>120</v>
      </c>
      <c r="AH633" t="s">
        <v>120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31.55</v>
      </c>
      <c r="AP633">
        <v>0</v>
      </c>
      <c r="AQ633">
        <v>0</v>
      </c>
      <c r="AR633">
        <v>70.2</v>
      </c>
      <c r="AS633">
        <v>0</v>
      </c>
    </row>
    <row r="634" spans="1:45" x14ac:dyDescent="0.25">
      <c r="A634" t="s">
        <v>1481</v>
      </c>
      <c r="B634" t="s">
        <v>1482</v>
      </c>
      <c r="C634" t="s">
        <v>147</v>
      </c>
      <c r="D634" t="s">
        <v>1462</v>
      </c>
      <c r="E634" t="s">
        <v>120</v>
      </c>
      <c r="F634" t="s">
        <v>120</v>
      </c>
      <c r="G634" t="s">
        <v>120</v>
      </c>
      <c r="H634" t="s">
        <v>120</v>
      </c>
      <c r="I634" t="s">
        <v>120</v>
      </c>
      <c r="J634" t="s">
        <v>120</v>
      </c>
      <c r="K634" t="s">
        <v>120</v>
      </c>
      <c r="L634" t="s">
        <v>120</v>
      </c>
      <c r="M634" t="s">
        <v>120</v>
      </c>
      <c r="N634" t="s">
        <v>120</v>
      </c>
      <c r="O634" t="s">
        <v>120</v>
      </c>
      <c r="P634" t="s">
        <v>120</v>
      </c>
      <c r="Q634" t="s">
        <v>120</v>
      </c>
      <c r="R634" t="s">
        <v>120</v>
      </c>
      <c r="S634" t="s">
        <v>120</v>
      </c>
      <c r="T634" t="s">
        <v>120</v>
      </c>
      <c r="U634" t="s">
        <v>120</v>
      </c>
      <c r="V634" t="s">
        <v>120</v>
      </c>
      <c r="W634" t="s">
        <v>120</v>
      </c>
      <c r="X634" t="s">
        <v>120</v>
      </c>
      <c r="Y634" t="s">
        <v>120</v>
      </c>
      <c r="Z634" t="s">
        <v>120</v>
      </c>
      <c r="AA634" t="s">
        <v>120</v>
      </c>
      <c r="AB634" t="s">
        <v>120</v>
      </c>
      <c r="AC634" t="s">
        <v>120</v>
      </c>
      <c r="AD634" t="s">
        <v>120</v>
      </c>
      <c r="AE634" t="s">
        <v>120</v>
      </c>
      <c r="AF634" t="s">
        <v>120</v>
      </c>
      <c r="AG634" t="s">
        <v>120</v>
      </c>
      <c r="AH634" t="s">
        <v>120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31.55</v>
      </c>
      <c r="AP634">
        <v>0</v>
      </c>
      <c r="AQ634">
        <v>0</v>
      </c>
      <c r="AR634">
        <v>70.2</v>
      </c>
      <c r="AS634">
        <v>0</v>
      </c>
    </row>
    <row r="635" spans="1:45" x14ac:dyDescent="0.25">
      <c r="A635" t="s">
        <v>1483</v>
      </c>
      <c r="B635" t="s">
        <v>1484</v>
      </c>
      <c r="C635" t="s">
        <v>147</v>
      </c>
      <c r="D635" t="s">
        <v>1462</v>
      </c>
      <c r="E635" t="s">
        <v>120</v>
      </c>
      <c r="F635" t="s">
        <v>120</v>
      </c>
      <c r="G635" t="s">
        <v>120</v>
      </c>
      <c r="H635" t="s">
        <v>120</v>
      </c>
      <c r="I635" t="s">
        <v>120</v>
      </c>
      <c r="J635" t="s">
        <v>120</v>
      </c>
      <c r="K635" t="s">
        <v>120</v>
      </c>
      <c r="L635" t="s">
        <v>120</v>
      </c>
      <c r="M635" t="s">
        <v>120</v>
      </c>
      <c r="N635" t="s">
        <v>120</v>
      </c>
      <c r="O635" t="s">
        <v>120</v>
      </c>
      <c r="P635" t="s">
        <v>120</v>
      </c>
      <c r="Q635" t="s">
        <v>120</v>
      </c>
      <c r="R635" t="s">
        <v>120</v>
      </c>
      <c r="S635" t="s">
        <v>120</v>
      </c>
      <c r="T635" t="s">
        <v>120</v>
      </c>
      <c r="U635" t="s">
        <v>120</v>
      </c>
      <c r="V635" t="s">
        <v>120</v>
      </c>
      <c r="W635" t="s">
        <v>120</v>
      </c>
      <c r="X635" t="s">
        <v>120</v>
      </c>
      <c r="Y635" t="s">
        <v>120</v>
      </c>
      <c r="Z635" t="s">
        <v>120</v>
      </c>
      <c r="AA635" t="s">
        <v>120</v>
      </c>
      <c r="AB635" t="s">
        <v>120</v>
      </c>
      <c r="AC635" t="s">
        <v>120</v>
      </c>
      <c r="AD635" t="s">
        <v>120</v>
      </c>
      <c r="AE635" t="s">
        <v>120</v>
      </c>
      <c r="AF635" t="s">
        <v>120</v>
      </c>
      <c r="AG635" t="s">
        <v>120</v>
      </c>
      <c r="AH635" t="s">
        <v>120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31.55</v>
      </c>
      <c r="AP635">
        <v>0</v>
      </c>
      <c r="AQ635">
        <v>0</v>
      </c>
      <c r="AR635">
        <v>70.2</v>
      </c>
      <c r="AS635">
        <v>0</v>
      </c>
    </row>
    <row r="636" spans="1:45" x14ac:dyDescent="0.25">
      <c r="A636" t="s">
        <v>1485</v>
      </c>
      <c r="B636" t="s">
        <v>1486</v>
      </c>
      <c r="C636" t="s">
        <v>147</v>
      </c>
      <c r="D636" t="s">
        <v>1462</v>
      </c>
      <c r="E636" t="s">
        <v>120</v>
      </c>
      <c r="F636" t="s">
        <v>120</v>
      </c>
      <c r="G636" t="s">
        <v>120</v>
      </c>
      <c r="H636" t="s">
        <v>120</v>
      </c>
      <c r="I636" t="s">
        <v>120</v>
      </c>
      <c r="J636" t="s">
        <v>120</v>
      </c>
      <c r="K636" t="s">
        <v>120</v>
      </c>
      <c r="L636" t="s">
        <v>120</v>
      </c>
      <c r="M636" t="s">
        <v>120</v>
      </c>
      <c r="N636" t="s">
        <v>120</v>
      </c>
      <c r="O636" t="s">
        <v>120</v>
      </c>
      <c r="P636" t="s">
        <v>120</v>
      </c>
      <c r="Q636" t="s">
        <v>120</v>
      </c>
      <c r="R636" t="s">
        <v>120</v>
      </c>
      <c r="S636" t="s">
        <v>120</v>
      </c>
      <c r="T636" t="s">
        <v>120</v>
      </c>
      <c r="U636" t="s">
        <v>120</v>
      </c>
      <c r="V636" t="s">
        <v>120</v>
      </c>
      <c r="W636" t="s">
        <v>120</v>
      </c>
      <c r="X636" t="s">
        <v>120</v>
      </c>
      <c r="Y636" t="s">
        <v>120</v>
      </c>
      <c r="Z636" t="s">
        <v>120</v>
      </c>
      <c r="AA636" t="s">
        <v>120</v>
      </c>
      <c r="AB636" t="s">
        <v>120</v>
      </c>
      <c r="AC636" t="s">
        <v>120</v>
      </c>
      <c r="AD636" t="s">
        <v>120</v>
      </c>
      <c r="AE636" t="s">
        <v>120</v>
      </c>
      <c r="AF636" t="s">
        <v>120</v>
      </c>
      <c r="AG636" t="s">
        <v>120</v>
      </c>
      <c r="AH636" t="s">
        <v>120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31.55</v>
      </c>
      <c r="AP636">
        <v>0</v>
      </c>
      <c r="AQ636">
        <v>0</v>
      </c>
      <c r="AR636">
        <v>70.2</v>
      </c>
      <c r="AS636">
        <v>0</v>
      </c>
    </row>
    <row r="637" spans="1:45" x14ac:dyDescent="0.25">
      <c r="A637" t="s">
        <v>1487</v>
      </c>
      <c r="B637" t="s">
        <v>1488</v>
      </c>
      <c r="C637" t="s">
        <v>127</v>
      </c>
      <c r="D637" t="s">
        <v>1462</v>
      </c>
      <c r="E637" t="s">
        <v>120</v>
      </c>
      <c r="F637" t="s">
        <v>120</v>
      </c>
      <c r="G637" t="s">
        <v>120</v>
      </c>
      <c r="H637" t="s">
        <v>120</v>
      </c>
      <c r="I637" t="s">
        <v>120</v>
      </c>
      <c r="J637" t="s">
        <v>120</v>
      </c>
      <c r="K637" t="s">
        <v>120</v>
      </c>
      <c r="L637" t="s">
        <v>120</v>
      </c>
      <c r="M637" t="s">
        <v>120</v>
      </c>
      <c r="N637" t="s">
        <v>120</v>
      </c>
      <c r="O637" t="s">
        <v>120</v>
      </c>
      <c r="P637" t="s">
        <v>120</v>
      </c>
      <c r="Q637" t="s">
        <v>120</v>
      </c>
      <c r="R637" t="s">
        <v>120</v>
      </c>
      <c r="S637" t="s">
        <v>120</v>
      </c>
      <c r="T637" t="s">
        <v>120</v>
      </c>
      <c r="U637" t="s">
        <v>120</v>
      </c>
      <c r="V637" t="s">
        <v>120</v>
      </c>
      <c r="W637" t="s">
        <v>120</v>
      </c>
      <c r="X637" t="s">
        <v>120</v>
      </c>
      <c r="Y637" t="s">
        <v>120</v>
      </c>
      <c r="Z637" t="s">
        <v>120</v>
      </c>
      <c r="AA637" t="s">
        <v>120</v>
      </c>
      <c r="AB637" t="s">
        <v>120</v>
      </c>
      <c r="AC637" t="s">
        <v>120</v>
      </c>
      <c r="AD637" t="s">
        <v>120</v>
      </c>
      <c r="AE637" t="s">
        <v>120</v>
      </c>
      <c r="AF637" t="s">
        <v>120</v>
      </c>
      <c r="AG637" t="s">
        <v>120</v>
      </c>
      <c r="AH637" t="s">
        <v>120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33.43</v>
      </c>
      <c r="AP637">
        <v>0</v>
      </c>
      <c r="AQ637">
        <v>0</v>
      </c>
      <c r="AR637">
        <v>75.06</v>
      </c>
      <c r="AS637">
        <v>0</v>
      </c>
    </row>
    <row r="638" spans="1:45" x14ac:dyDescent="0.25">
      <c r="A638" t="s">
        <v>1489</v>
      </c>
      <c r="B638" t="s">
        <v>1490</v>
      </c>
      <c r="C638" t="s">
        <v>147</v>
      </c>
      <c r="D638" t="s">
        <v>1462</v>
      </c>
      <c r="E638" t="s">
        <v>120</v>
      </c>
      <c r="F638" t="s">
        <v>120</v>
      </c>
      <c r="G638" t="s">
        <v>120</v>
      </c>
      <c r="H638" t="s">
        <v>120</v>
      </c>
      <c r="I638" t="s">
        <v>120</v>
      </c>
      <c r="J638" t="s">
        <v>120</v>
      </c>
      <c r="K638" t="s">
        <v>120</v>
      </c>
      <c r="L638" t="s">
        <v>120</v>
      </c>
      <c r="M638" t="s">
        <v>120</v>
      </c>
      <c r="N638" t="s">
        <v>120</v>
      </c>
      <c r="O638" t="s">
        <v>120</v>
      </c>
      <c r="P638" t="s">
        <v>120</v>
      </c>
      <c r="Q638" t="s">
        <v>120</v>
      </c>
      <c r="R638" t="s">
        <v>120</v>
      </c>
      <c r="S638" t="s">
        <v>120</v>
      </c>
      <c r="T638" t="s">
        <v>120</v>
      </c>
      <c r="U638" t="s">
        <v>120</v>
      </c>
      <c r="V638" t="s">
        <v>120</v>
      </c>
      <c r="W638" t="s">
        <v>120</v>
      </c>
      <c r="X638" t="s">
        <v>120</v>
      </c>
      <c r="Y638" t="s">
        <v>120</v>
      </c>
      <c r="Z638" t="s">
        <v>120</v>
      </c>
      <c r="AA638" t="s">
        <v>120</v>
      </c>
      <c r="AB638" t="s">
        <v>120</v>
      </c>
      <c r="AC638" t="s">
        <v>120</v>
      </c>
      <c r="AD638" t="s">
        <v>120</v>
      </c>
      <c r="AE638" t="s">
        <v>120</v>
      </c>
      <c r="AF638" t="s">
        <v>120</v>
      </c>
      <c r="AG638" t="s">
        <v>120</v>
      </c>
      <c r="AH638" t="s">
        <v>120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31.55</v>
      </c>
      <c r="AP638">
        <v>0</v>
      </c>
      <c r="AQ638">
        <v>0</v>
      </c>
      <c r="AR638">
        <v>70.2</v>
      </c>
      <c r="AS638">
        <v>0</v>
      </c>
    </row>
    <row r="639" spans="1:45" x14ac:dyDescent="0.25">
      <c r="A639" t="s">
        <v>1491</v>
      </c>
      <c r="B639" t="s">
        <v>1492</v>
      </c>
      <c r="C639" t="s">
        <v>147</v>
      </c>
      <c r="D639" t="s">
        <v>1462</v>
      </c>
      <c r="E639" t="s">
        <v>120</v>
      </c>
      <c r="F639" t="s">
        <v>120</v>
      </c>
      <c r="G639" t="s">
        <v>120</v>
      </c>
      <c r="H639" t="s">
        <v>120</v>
      </c>
      <c r="I639" t="s">
        <v>120</v>
      </c>
      <c r="J639" t="s">
        <v>120</v>
      </c>
      <c r="K639" t="s">
        <v>120</v>
      </c>
      <c r="L639" t="s">
        <v>120</v>
      </c>
      <c r="M639" t="s">
        <v>120</v>
      </c>
      <c r="N639" t="s">
        <v>120</v>
      </c>
      <c r="O639" t="s">
        <v>120</v>
      </c>
      <c r="P639" t="s">
        <v>120</v>
      </c>
      <c r="Q639" t="s">
        <v>120</v>
      </c>
      <c r="R639" t="s">
        <v>120</v>
      </c>
      <c r="S639" t="s">
        <v>120</v>
      </c>
      <c r="T639" t="s">
        <v>120</v>
      </c>
      <c r="U639" t="s">
        <v>120</v>
      </c>
      <c r="V639" t="s">
        <v>120</v>
      </c>
      <c r="W639" t="s">
        <v>124</v>
      </c>
      <c r="X639" t="s">
        <v>120</v>
      </c>
      <c r="Y639" t="s">
        <v>141</v>
      </c>
      <c r="Z639" t="s">
        <v>120</v>
      </c>
      <c r="AA639" t="s">
        <v>120</v>
      </c>
      <c r="AB639" t="s">
        <v>120</v>
      </c>
      <c r="AC639" t="s">
        <v>120</v>
      </c>
      <c r="AD639" t="s">
        <v>120</v>
      </c>
      <c r="AE639" t="s">
        <v>120</v>
      </c>
      <c r="AF639" t="s">
        <v>120</v>
      </c>
      <c r="AG639" t="s">
        <v>120</v>
      </c>
      <c r="AH639" t="s">
        <v>120</v>
      </c>
      <c r="AJ639">
        <v>0</v>
      </c>
      <c r="AK639">
        <v>12</v>
      </c>
      <c r="AL639">
        <v>8</v>
      </c>
      <c r="AM639">
        <v>4</v>
      </c>
      <c r="AN639">
        <v>0</v>
      </c>
      <c r="AO639">
        <v>31.55</v>
      </c>
      <c r="AP639">
        <v>12</v>
      </c>
      <c r="AQ639">
        <v>0</v>
      </c>
      <c r="AR639">
        <v>70.2</v>
      </c>
      <c r="AS639">
        <v>757.2</v>
      </c>
    </row>
    <row r="640" spans="1:45" x14ac:dyDescent="0.25">
      <c r="A640" t="s">
        <v>1493</v>
      </c>
      <c r="B640" t="s">
        <v>1494</v>
      </c>
      <c r="C640" t="s">
        <v>147</v>
      </c>
      <c r="D640" t="s">
        <v>1462</v>
      </c>
      <c r="E640" t="s">
        <v>120</v>
      </c>
      <c r="F640" t="s">
        <v>120</v>
      </c>
      <c r="G640" t="s">
        <v>120</v>
      </c>
      <c r="H640" t="s">
        <v>120</v>
      </c>
      <c r="I640" t="s">
        <v>120</v>
      </c>
      <c r="J640" t="s">
        <v>120</v>
      </c>
      <c r="K640" t="s">
        <v>120</v>
      </c>
      <c r="L640" t="s">
        <v>120</v>
      </c>
      <c r="M640" t="s">
        <v>120</v>
      </c>
      <c r="N640" t="s">
        <v>120</v>
      </c>
      <c r="O640" t="s">
        <v>120</v>
      </c>
      <c r="P640" t="s">
        <v>120</v>
      </c>
      <c r="Q640" t="s">
        <v>120</v>
      </c>
      <c r="R640" t="s">
        <v>1495</v>
      </c>
      <c r="S640" t="s">
        <v>120</v>
      </c>
      <c r="T640" t="s">
        <v>120</v>
      </c>
      <c r="U640" t="s">
        <v>120</v>
      </c>
      <c r="V640" t="s">
        <v>120</v>
      </c>
      <c r="W640" t="s">
        <v>120</v>
      </c>
      <c r="X640" t="s">
        <v>120</v>
      </c>
      <c r="Y640" t="s">
        <v>141</v>
      </c>
      <c r="Z640" t="s">
        <v>120</v>
      </c>
      <c r="AA640" t="s">
        <v>120</v>
      </c>
      <c r="AB640" t="s">
        <v>120</v>
      </c>
      <c r="AC640" t="s">
        <v>120</v>
      </c>
      <c r="AD640" t="s">
        <v>120</v>
      </c>
      <c r="AE640" t="s">
        <v>120</v>
      </c>
      <c r="AF640" t="s">
        <v>120</v>
      </c>
      <c r="AG640" t="s">
        <v>120</v>
      </c>
      <c r="AH640" t="s">
        <v>120</v>
      </c>
      <c r="AJ640">
        <v>0</v>
      </c>
      <c r="AK640">
        <v>12</v>
      </c>
      <c r="AL640">
        <v>8</v>
      </c>
      <c r="AM640">
        <v>0</v>
      </c>
      <c r="AN640">
        <v>4</v>
      </c>
      <c r="AO640">
        <v>31.55</v>
      </c>
      <c r="AP640">
        <v>8</v>
      </c>
      <c r="AQ640">
        <v>280.8</v>
      </c>
      <c r="AR640">
        <v>70.2</v>
      </c>
      <c r="AS640">
        <v>504.8</v>
      </c>
    </row>
    <row r="641" spans="1:45" x14ac:dyDescent="0.25">
      <c r="A641" t="s">
        <v>1496</v>
      </c>
      <c r="B641" t="s">
        <v>1497</v>
      </c>
      <c r="C641" t="s">
        <v>147</v>
      </c>
      <c r="D641" t="s">
        <v>1462</v>
      </c>
      <c r="E641" t="s">
        <v>120</v>
      </c>
      <c r="F641" t="s">
        <v>120</v>
      </c>
      <c r="G641" t="s">
        <v>120</v>
      </c>
      <c r="H641" t="s">
        <v>120</v>
      </c>
      <c r="I641" t="s">
        <v>120</v>
      </c>
      <c r="J641" t="s">
        <v>120</v>
      </c>
      <c r="K641" t="s">
        <v>120</v>
      </c>
      <c r="L641" t="s">
        <v>120</v>
      </c>
      <c r="M641" t="s">
        <v>120</v>
      </c>
      <c r="N641" t="s">
        <v>120</v>
      </c>
      <c r="O641" t="s">
        <v>120</v>
      </c>
      <c r="P641" t="s">
        <v>120</v>
      </c>
      <c r="Q641" t="s">
        <v>120</v>
      </c>
      <c r="R641" t="s">
        <v>120</v>
      </c>
      <c r="S641" t="s">
        <v>120</v>
      </c>
      <c r="T641" t="s">
        <v>120</v>
      </c>
      <c r="U641" t="s">
        <v>120</v>
      </c>
      <c r="V641" t="s">
        <v>120</v>
      </c>
      <c r="W641" t="s">
        <v>120</v>
      </c>
      <c r="X641" t="s">
        <v>120</v>
      </c>
      <c r="Y641" t="s">
        <v>120</v>
      </c>
      <c r="Z641" t="s">
        <v>120</v>
      </c>
      <c r="AA641" t="s">
        <v>120</v>
      </c>
      <c r="AB641" t="s">
        <v>120</v>
      </c>
      <c r="AC641" t="s">
        <v>120</v>
      </c>
      <c r="AD641" t="s">
        <v>120</v>
      </c>
      <c r="AE641" t="s">
        <v>120</v>
      </c>
      <c r="AF641" t="s">
        <v>120</v>
      </c>
      <c r="AG641" t="s">
        <v>120</v>
      </c>
      <c r="AH641" t="s">
        <v>120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31.55</v>
      </c>
      <c r="AP641">
        <v>0</v>
      </c>
      <c r="AQ641">
        <v>0</v>
      </c>
      <c r="AR641">
        <v>70.2</v>
      </c>
      <c r="AS641">
        <v>0</v>
      </c>
    </row>
    <row r="642" spans="1:45" x14ac:dyDescent="0.25">
      <c r="A642" t="s">
        <v>1498</v>
      </c>
      <c r="B642" t="s">
        <v>1499</v>
      </c>
      <c r="C642" t="s">
        <v>147</v>
      </c>
      <c r="D642" t="s">
        <v>1462</v>
      </c>
      <c r="E642" t="s">
        <v>120</v>
      </c>
      <c r="F642" t="s">
        <v>120</v>
      </c>
      <c r="G642" t="s">
        <v>120</v>
      </c>
      <c r="H642" t="s">
        <v>120</v>
      </c>
      <c r="I642" t="s">
        <v>120</v>
      </c>
      <c r="J642" t="s">
        <v>120</v>
      </c>
      <c r="K642" t="s">
        <v>120</v>
      </c>
      <c r="L642" t="s">
        <v>120</v>
      </c>
      <c r="M642" t="s">
        <v>120</v>
      </c>
      <c r="N642" t="s">
        <v>120</v>
      </c>
      <c r="O642" t="s">
        <v>120</v>
      </c>
      <c r="P642" t="s">
        <v>120</v>
      </c>
      <c r="Q642" t="s">
        <v>120</v>
      </c>
      <c r="R642" t="s">
        <v>120</v>
      </c>
      <c r="S642" t="s">
        <v>120</v>
      </c>
      <c r="T642" t="s">
        <v>120</v>
      </c>
      <c r="U642" t="s">
        <v>120</v>
      </c>
      <c r="V642" t="s">
        <v>120</v>
      </c>
      <c r="W642" t="s">
        <v>120</v>
      </c>
      <c r="X642" t="s">
        <v>120</v>
      </c>
      <c r="Y642" t="s">
        <v>141</v>
      </c>
      <c r="Z642" t="s">
        <v>120</v>
      </c>
      <c r="AA642" t="s">
        <v>120</v>
      </c>
      <c r="AB642" t="s">
        <v>120</v>
      </c>
      <c r="AC642" t="s">
        <v>120</v>
      </c>
      <c r="AD642" t="s">
        <v>120</v>
      </c>
      <c r="AE642" t="s">
        <v>120</v>
      </c>
      <c r="AF642" t="s">
        <v>120</v>
      </c>
      <c r="AG642" t="s">
        <v>120</v>
      </c>
      <c r="AH642" t="s">
        <v>120</v>
      </c>
      <c r="AJ642">
        <v>0</v>
      </c>
      <c r="AK642">
        <v>8</v>
      </c>
      <c r="AL642">
        <v>8</v>
      </c>
      <c r="AM642">
        <v>0</v>
      </c>
      <c r="AN642">
        <v>0</v>
      </c>
      <c r="AO642">
        <v>31.55</v>
      </c>
      <c r="AP642">
        <v>8</v>
      </c>
      <c r="AQ642">
        <v>0</v>
      </c>
      <c r="AR642">
        <v>70.2</v>
      </c>
      <c r="AS642">
        <v>504.8</v>
      </c>
    </row>
    <row r="643" spans="1:45" x14ac:dyDescent="0.25">
      <c r="A643" t="s">
        <v>1500</v>
      </c>
      <c r="B643" t="s">
        <v>1501</v>
      </c>
      <c r="C643" t="s">
        <v>147</v>
      </c>
      <c r="D643" t="s">
        <v>1462</v>
      </c>
      <c r="E643" t="s">
        <v>120</v>
      </c>
      <c r="F643" t="s">
        <v>120</v>
      </c>
      <c r="G643" t="s">
        <v>120</v>
      </c>
      <c r="H643" t="s">
        <v>120</v>
      </c>
      <c r="I643" t="s">
        <v>120</v>
      </c>
      <c r="J643" t="s">
        <v>120</v>
      </c>
      <c r="K643" t="s">
        <v>120</v>
      </c>
      <c r="L643" t="s">
        <v>120</v>
      </c>
      <c r="M643" t="s">
        <v>120</v>
      </c>
      <c r="N643" t="s">
        <v>120</v>
      </c>
      <c r="O643" t="s">
        <v>120</v>
      </c>
      <c r="P643" t="s">
        <v>120</v>
      </c>
      <c r="Q643" t="s">
        <v>120</v>
      </c>
      <c r="R643" t="s">
        <v>120</v>
      </c>
      <c r="S643" t="s">
        <v>120</v>
      </c>
      <c r="T643" t="s">
        <v>120</v>
      </c>
      <c r="U643" t="s">
        <v>120</v>
      </c>
      <c r="V643" t="s">
        <v>120</v>
      </c>
      <c r="W643" t="s">
        <v>120</v>
      </c>
      <c r="X643" t="s">
        <v>120</v>
      </c>
      <c r="Y643" t="s">
        <v>341</v>
      </c>
      <c r="Z643" t="s">
        <v>120</v>
      </c>
      <c r="AA643" t="s">
        <v>120</v>
      </c>
      <c r="AB643" t="s">
        <v>120</v>
      </c>
      <c r="AC643" t="s">
        <v>120</v>
      </c>
      <c r="AD643" t="s">
        <v>120</v>
      </c>
      <c r="AE643" t="s">
        <v>120</v>
      </c>
      <c r="AF643" t="s">
        <v>120</v>
      </c>
      <c r="AG643" t="s">
        <v>120</v>
      </c>
      <c r="AH643" t="s">
        <v>120</v>
      </c>
      <c r="AJ643">
        <v>0</v>
      </c>
      <c r="AK643">
        <v>4</v>
      </c>
      <c r="AL643">
        <v>4</v>
      </c>
      <c r="AM643">
        <v>0</v>
      </c>
      <c r="AN643">
        <v>0</v>
      </c>
      <c r="AO643">
        <v>31.55</v>
      </c>
      <c r="AP643">
        <v>4</v>
      </c>
      <c r="AQ643">
        <v>0</v>
      </c>
      <c r="AR643">
        <v>70.2</v>
      </c>
      <c r="AS643">
        <v>252.4</v>
      </c>
    </row>
    <row r="644" spans="1:45" x14ac:dyDescent="0.25">
      <c r="A644" t="s">
        <v>1502</v>
      </c>
      <c r="B644" t="s">
        <v>1503</v>
      </c>
      <c r="C644" t="s">
        <v>147</v>
      </c>
      <c r="D644" t="s">
        <v>1462</v>
      </c>
      <c r="E644" t="s">
        <v>120</v>
      </c>
      <c r="F644" t="s">
        <v>120</v>
      </c>
      <c r="G644" t="s">
        <v>120</v>
      </c>
      <c r="H644" t="s">
        <v>120</v>
      </c>
      <c r="I644" t="s">
        <v>120</v>
      </c>
      <c r="J644" t="s">
        <v>120</v>
      </c>
      <c r="K644" t="s">
        <v>120</v>
      </c>
      <c r="L644" t="s">
        <v>120</v>
      </c>
      <c r="M644" t="s">
        <v>120</v>
      </c>
      <c r="N644" t="s">
        <v>120</v>
      </c>
      <c r="O644" t="s">
        <v>120</v>
      </c>
      <c r="P644" t="s">
        <v>120</v>
      </c>
      <c r="Q644" t="s">
        <v>120</v>
      </c>
      <c r="R644" t="s">
        <v>120</v>
      </c>
      <c r="S644" t="s">
        <v>120</v>
      </c>
      <c r="T644" t="s">
        <v>120</v>
      </c>
      <c r="U644" t="s">
        <v>120</v>
      </c>
      <c r="V644" t="s">
        <v>120</v>
      </c>
      <c r="W644" t="s">
        <v>120</v>
      </c>
      <c r="X644" t="s">
        <v>120</v>
      </c>
      <c r="Y644" t="s">
        <v>141</v>
      </c>
      <c r="Z644" t="s">
        <v>120</v>
      </c>
      <c r="AA644" t="s">
        <v>120</v>
      </c>
      <c r="AB644" t="s">
        <v>120</v>
      </c>
      <c r="AC644" t="s">
        <v>120</v>
      </c>
      <c r="AD644" t="s">
        <v>120</v>
      </c>
      <c r="AE644" t="s">
        <v>120</v>
      </c>
      <c r="AF644" t="s">
        <v>120</v>
      </c>
      <c r="AG644" t="s">
        <v>120</v>
      </c>
      <c r="AH644" t="s">
        <v>120</v>
      </c>
      <c r="AJ644">
        <v>0</v>
      </c>
      <c r="AK644">
        <v>8</v>
      </c>
      <c r="AL644">
        <v>8</v>
      </c>
      <c r="AM644">
        <v>0</v>
      </c>
      <c r="AN644">
        <v>0</v>
      </c>
      <c r="AO644">
        <v>31.55</v>
      </c>
      <c r="AP644">
        <v>8</v>
      </c>
      <c r="AQ644">
        <v>0</v>
      </c>
      <c r="AR644">
        <v>70.2</v>
      </c>
      <c r="AS644">
        <v>504.8</v>
      </c>
    </row>
    <row r="645" spans="1:45" x14ac:dyDescent="0.25">
      <c r="A645" t="s">
        <v>1504</v>
      </c>
      <c r="B645" t="s">
        <v>1505</v>
      </c>
      <c r="C645" t="s">
        <v>147</v>
      </c>
      <c r="D645" t="s">
        <v>1462</v>
      </c>
      <c r="E645" t="s">
        <v>120</v>
      </c>
      <c r="F645" t="s">
        <v>120</v>
      </c>
      <c r="G645" t="s">
        <v>120</v>
      </c>
      <c r="H645" t="s">
        <v>120</v>
      </c>
      <c r="I645" t="s">
        <v>120</v>
      </c>
      <c r="J645" t="s">
        <v>120</v>
      </c>
      <c r="K645" t="s">
        <v>120</v>
      </c>
      <c r="L645" t="s">
        <v>120</v>
      </c>
      <c r="M645" t="s">
        <v>120</v>
      </c>
      <c r="N645" t="s">
        <v>120</v>
      </c>
      <c r="O645" t="s">
        <v>120</v>
      </c>
      <c r="P645" t="s">
        <v>120</v>
      </c>
      <c r="Q645" t="s">
        <v>120</v>
      </c>
      <c r="R645" t="s">
        <v>120</v>
      </c>
      <c r="S645" t="s">
        <v>120</v>
      </c>
      <c r="T645" t="s">
        <v>120</v>
      </c>
      <c r="U645" t="s">
        <v>120</v>
      </c>
      <c r="V645" t="s">
        <v>120</v>
      </c>
      <c r="W645" t="s">
        <v>120</v>
      </c>
      <c r="X645" t="s">
        <v>120</v>
      </c>
      <c r="Y645" t="s">
        <v>120</v>
      </c>
      <c r="Z645" t="s">
        <v>120</v>
      </c>
      <c r="AA645" t="s">
        <v>120</v>
      </c>
      <c r="AB645" t="s">
        <v>120</v>
      </c>
      <c r="AC645" t="s">
        <v>120</v>
      </c>
      <c r="AD645" t="s">
        <v>120</v>
      </c>
      <c r="AE645" t="s">
        <v>120</v>
      </c>
      <c r="AF645" t="s">
        <v>120</v>
      </c>
      <c r="AG645" t="s">
        <v>120</v>
      </c>
      <c r="AH645" t="s">
        <v>120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31.55</v>
      </c>
      <c r="AP645">
        <v>0</v>
      </c>
      <c r="AQ645">
        <v>0</v>
      </c>
      <c r="AR645">
        <v>70.2</v>
      </c>
      <c r="AS645">
        <v>0</v>
      </c>
    </row>
    <row r="646" spans="1:45" x14ac:dyDescent="0.25">
      <c r="A646" t="s">
        <v>1506</v>
      </c>
      <c r="B646" t="s">
        <v>1507</v>
      </c>
      <c r="C646" t="s">
        <v>147</v>
      </c>
      <c r="D646" t="s">
        <v>1462</v>
      </c>
      <c r="E646" t="s">
        <v>120</v>
      </c>
      <c r="F646" t="s">
        <v>120</v>
      </c>
      <c r="G646" t="s">
        <v>120</v>
      </c>
      <c r="H646" t="s">
        <v>120</v>
      </c>
      <c r="I646" t="s">
        <v>120</v>
      </c>
      <c r="J646" t="s">
        <v>120</v>
      </c>
      <c r="K646" t="s">
        <v>120</v>
      </c>
      <c r="L646" t="s">
        <v>120</v>
      </c>
      <c r="M646" t="s">
        <v>120</v>
      </c>
      <c r="N646" t="s">
        <v>120</v>
      </c>
      <c r="O646" t="s">
        <v>120</v>
      </c>
      <c r="P646" t="s">
        <v>120</v>
      </c>
      <c r="Q646" t="s">
        <v>120</v>
      </c>
      <c r="R646" t="s">
        <v>120</v>
      </c>
      <c r="S646" t="s">
        <v>120</v>
      </c>
      <c r="T646" t="s">
        <v>120</v>
      </c>
      <c r="U646" t="s">
        <v>120</v>
      </c>
      <c r="V646" t="s">
        <v>120</v>
      </c>
      <c r="W646" t="s">
        <v>120</v>
      </c>
      <c r="X646" t="s">
        <v>120</v>
      </c>
      <c r="Y646" t="s">
        <v>120</v>
      </c>
      <c r="Z646" t="s">
        <v>120</v>
      </c>
      <c r="AA646" t="s">
        <v>120</v>
      </c>
      <c r="AB646" t="s">
        <v>120</v>
      </c>
      <c r="AC646" t="s">
        <v>120</v>
      </c>
      <c r="AD646" t="s">
        <v>120</v>
      </c>
      <c r="AE646" t="s">
        <v>120</v>
      </c>
      <c r="AF646" t="s">
        <v>120</v>
      </c>
      <c r="AG646" t="s">
        <v>120</v>
      </c>
      <c r="AH646" t="s">
        <v>120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31.55</v>
      </c>
      <c r="AP646">
        <v>0</v>
      </c>
      <c r="AQ646">
        <v>0</v>
      </c>
      <c r="AR646">
        <v>70.2</v>
      </c>
      <c r="AS646">
        <v>0</v>
      </c>
    </row>
    <row r="647" spans="1:45" x14ac:dyDescent="0.25">
      <c r="A647" t="s">
        <v>1508</v>
      </c>
      <c r="B647" t="s">
        <v>1509</v>
      </c>
      <c r="C647" t="s">
        <v>147</v>
      </c>
      <c r="D647" t="s">
        <v>1510</v>
      </c>
      <c r="E647" t="s">
        <v>120</v>
      </c>
      <c r="F647" t="s">
        <v>120</v>
      </c>
      <c r="G647" t="s">
        <v>120</v>
      </c>
      <c r="H647" t="s">
        <v>120</v>
      </c>
      <c r="I647" t="s">
        <v>120</v>
      </c>
      <c r="J647" t="s">
        <v>120</v>
      </c>
      <c r="K647" t="s">
        <v>120</v>
      </c>
      <c r="L647" t="s">
        <v>120</v>
      </c>
      <c r="M647" t="s">
        <v>341</v>
      </c>
      <c r="N647" t="s">
        <v>120</v>
      </c>
      <c r="O647" t="s">
        <v>120</v>
      </c>
      <c r="P647" t="s">
        <v>120</v>
      </c>
      <c r="Q647" t="s">
        <v>120</v>
      </c>
      <c r="R647" t="s">
        <v>120</v>
      </c>
      <c r="S647" t="s">
        <v>120</v>
      </c>
      <c r="T647" t="s">
        <v>120</v>
      </c>
      <c r="U647" t="s">
        <v>120</v>
      </c>
      <c r="V647" t="s">
        <v>120</v>
      </c>
      <c r="W647" t="s">
        <v>120</v>
      </c>
      <c r="X647" t="s">
        <v>120</v>
      </c>
      <c r="Y647" t="s">
        <v>120</v>
      </c>
      <c r="Z647" t="s">
        <v>120</v>
      </c>
      <c r="AA647" t="s">
        <v>120</v>
      </c>
      <c r="AB647" t="s">
        <v>120</v>
      </c>
      <c r="AC647" t="s">
        <v>120</v>
      </c>
      <c r="AD647" t="s">
        <v>120</v>
      </c>
      <c r="AE647" t="s">
        <v>120</v>
      </c>
      <c r="AF647" t="s">
        <v>120</v>
      </c>
      <c r="AG647" t="s">
        <v>120</v>
      </c>
      <c r="AH647" t="s">
        <v>120</v>
      </c>
      <c r="AJ647">
        <v>0</v>
      </c>
      <c r="AK647">
        <v>4</v>
      </c>
      <c r="AL647">
        <v>4</v>
      </c>
      <c r="AM647">
        <v>0</v>
      </c>
      <c r="AN647">
        <v>0</v>
      </c>
      <c r="AO647">
        <v>31.55</v>
      </c>
      <c r="AP647">
        <v>4</v>
      </c>
      <c r="AQ647">
        <v>0</v>
      </c>
      <c r="AR647">
        <v>70.2</v>
      </c>
      <c r="AS647">
        <v>252.4</v>
      </c>
    </row>
    <row r="648" spans="1:45" x14ac:dyDescent="0.25">
      <c r="A648" t="s">
        <v>1511</v>
      </c>
      <c r="B648" t="s">
        <v>1512</v>
      </c>
      <c r="C648" t="s">
        <v>147</v>
      </c>
      <c r="D648" t="s">
        <v>1510</v>
      </c>
      <c r="E648" t="s">
        <v>120</v>
      </c>
      <c r="F648" t="s">
        <v>120</v>
      </c>
      <c r="G648" t="s">
        <v>120</v>
      </c>
      <c r="H648" t="s">
        <v>120</v>
      </c>
      <c r="I648" t="s">
        <v>120</v>
      </c>
      <c r="J648" t="s">
        <v>120</v>
      </c>
      <c r="K648" t="s">
        <v>120</v>
      </c>
      <c r="L648" t="s">
        <v>120</v>
      </c>
      <c r="M648" t="s">
        <v>141</v>
      </c>
      <c r="N648" t="s">
        <v>120</v>
      </c>
      <c r="O648" t="s">
        <v>120</v>
      </c>
      <c r="P648" t="s">
        <v>120</v>
      </c>
      <c r="Q648" t="s">
        <v>120</v>
      </c>
      <c r="R648" t="s">
        <v>120</v>
      </c>
      <c r="S648" t="s">
        <v>120</v>
      </c>
      <c r="T648" t="s">
        <v>120</v>
      </c>
      <c r="U648" t="s">
        <v>120</v>
      </c>
      <c r="V648" t="s">
        <v>120</v>
      </c>
      <c r="W648" t="s">
        <v>120</v>
      </c>
      <c r="X648" t="s">
        <v>120</v>
      </c>
      <c r="Y648" t="s">
        <v>120</v>
      </c>
      <c r="Z648" t="s">
        <v>120</v>
      </c>
      <c r="AA648" t="s">
        <v>120</v>
      </c>
      <c r="AB648" t="s">
        <v>120</v>
      </c>
      <c r="AC648" t="s">
        <v>120</v>
      </c>
      <c r="AD648" t="s">
        <v>120</v>
      </c>
      <c r="AE648" t="s">
        <v>120</v>
      </c>
      <c r="AF648" t="s">
        <v>120</v>
      </c>
      <c r="AG648" t="s">
        <v>120</v>
      </c>
      <c r="AH648" t="s">
        <v>120</v>
      </c>
      <c r="AJ648">
        <v>0</v>
      </c>
      <c r="AK648">
        <v>8</v>
      </c>
      <c r="AL648">
        <v>8</v>
      </c>
      <c r="AM648">
        <v>0</v>
      </c>
      <c r="AN648">
        <v>0</v>
      </c>
      <c r="AO648">
        <v>28.25</v>
      </c>
      <c r="AP648">
        <v>8</v>
      </c>
      <c r="AQ648">
        <v>0</v>
      </c>
      <c r="AR648">
        <v>70.2</v>
      </c>
      <c r="AS648">
        <v>452</v>
      </c>
    </row>
    <row r="649" spans="1:45" x14ac:dyDescent="0.25">
      <c r="A649" t="s">
        <v>1513</v>
      </c>
      <c r="B649" t="s">
        <v>1514</v>
      </c>
      <c r="C649" t="s">
        <v>147</v>
      </c>
      <c r="D649" t="s">
        <v>1510</v>
      </c>
      <c r="E649" t="s">
        <v>120</v>
      </c>
      <c r="F649" t="s">
        <v>120</v>
      </c>
      <c r="G649" t="s">
        <v>120</v>
      </c>
      <c r="H649" t="s">
        <v>120</v>
      </c>
      <c r="I649" t="s">
        <v>120</v>
      </c>
      <c r="J649" t="s">
        <v>120</v>
      </c>
      <c r="K649" t="s">
        <v>120</v>
      </c>
      <c r="L649" t="s">
        <v>120</v>
      </c>
      <c r="M649" t="s">
        <v>120</v>
      </c>
      <c r="N649" t="s">
        <v>120</v>
      </c>
      <c r="O649" t="s">
        <v>120</v>
      </c>
      <c r="P649" t="s">
        <v>120</v>
      </c>
      <c r="Q649" t="s">
        <v>120</v>
      </c>
      <c r="R649" t="s">
        <v>120</v>
      </c>
      <c r="S649" t="s">
        <v>120</v>
      </c>
      <c r="T649" t="s">
        <v>120</v>
      </c>
      <c r="U649" t="s">
        <v>120</v>
      </c>
      <c r="V649" t="s">
        <v>120</v>
      </c>
      <c r="W649" t="s">
        <v>120</v>
      </c>
      <c r="X649" t="s">
        <v>120</v>
      </c>
      <c r="Y649" t="s">
        <v>120</v>
      </c>
      <c r="Z649" t="s">
        <v>120</v>
      </c>
      <c r="AA649" t="s">
        <v>120</v>
      </c>
      <c r="AB649" t="s">
        <v>120</v>
      </c>
      <c r="AC649" t="s">
        <v>120</v>
      </c>
      <c r="AD649" t="s">
        <v>120</v>
      </c>
      <c r="AE649" t="s">
        <v>120</v>
      </c>
      <c r="AF649" t="s">
        <v>120</v>
      </c>
      <c r="AG649" t="s">
        <v>120</v>
      </c>
      <c r="AH649" t="s">
        <v>120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31.55</v>
      </c>
      <c r="AP649">
        <v>0</v>
      </c>
      <c r="AQ649">
        <v>0</v>
      </c>
      <c r="AR649">
        <v>70.2</v>
      </c>
      <c r="AS649">
        <v>0</v>
      </c>
    </row>
    <row r="650" spans="1:45" x14ac:dyDescent="0.25">
      <c r="A650" t="s">
        <v>1515</v>
      </c>
      <c r="B650" t="s">
        <v>1516</v>
      </c>
      <c r="C650" t="s">
        <v>147</v>
      </c>
      <c r="D650" t="s">
        <v>1510</v>
      </c>
      <c r="E650" t="s">
        <v>120</v>
      </c>
      <c r="F650" t="s">
        <v>120</v>
      </c>
      <c r="G650" t="s">
        <v>120</v>
      </c>
      <c r="H650" t="s">
        <v>120</v>
      </c>
      <c r="I650" t="s">
        <v>120</v>
      </c>
      <c r="J650" t="s">
        <v>120</v>
      </c>
      <c r="K650" t="s">
        <v>120</v>
      </c>
      <c r="L650" t="s">
        <v>120</v>
      </c>
      <c r="M650" t="s">
        <v>141</v>
      </c>
      <c r="N650" t="s">
        <v>120</v>
      </c>
      <c r="O650" t="s">
        <v>120</v>
      </c>
      <c r="P650" t="s">
        <v>120</v>
      </c>
      <c r="Q650" t="s">
        <v>120</v>
      </c>
      <c r="R650" t="s">
        <v>120</v>
      </c>
      <c r="S650" t="s">
        <v>120</v>
      </c>
      <c r="T650" t="s">
        <v>120</v>
      </c>
      <c r="U650" t="s">
        <v>120</v>
      </c>
      <c r="V650" t="s">
        <v>120</v>
      </c>
      <c r="W650" t="s">
        <v>120</v>
      </c>
      <c r="X650" t="s">
        <v>120</v>
      </c>
      <c r="Y650" t="s">
        <v>141</v>
      </c>
      <c r="Z650" t="s">
        <v>120</v>
      </c>
      <c r="AA650" t="s">
        <v>120</v>
      </c>
      <c r="AB650" t="s">
        <v>120</v>
      </c>
      <c r="AC650" t="s">
        <v>120</v>
      </c>
      <c r="AD650" t="s">
        <v>120</v>
      </c>
      <c r="AE650" t="s">
        <v>120</v>
      </c>
      <c r="AF650" t="s">
        <v>120</v>
      </c>
      <c r="AG650" t="s">
        <v>120</v>
      </c>
      <c r="AH650" t="s">
        <v>120</v>
      </c>
      <c r="AJ650">
        <v>0</v>
      </c>
      <c r="AK650">
        <v>16</v>
      </c>
      <c r="AL650">
        <v>16</v>
      </c>
      <c r="AM650">
        <v>0</v>
      </c>
      <c r="AN650">
        <v>0</v>
      </c>
      <c r="AO650">
        <v>31.55</v>
      </c>
      <c r="AP650">
        <v>16</v>
      </c>
      <c r="AQ650">
        <v>0</v>
      </c>
      <c r="AR650">
        <v>70.2</v>
      </c>
      <c r="AS650">
        <v>1009.6</v>
      </c>
    </row>
    <row r="651" spans="1:45" x14ac:dyDescent="0.25">
      <c r="A651" t="s">
        <v>1517</v>
      </c>
      <c r="B651" t="s">
        <v>1518</v>
      </c>
      <c r="C651" t="s">
        <v>147</v>
      </c>
      <c r="D651" t="s">
        <v>1510</v>
      </c>
      <c r="E651" t="s">
        <v>120</v>
      </c>
      <c r="F651" t="s">
        <v>120</v>
      </c>
      <c r="G651" t="s">
        <v>120</v>
      </c>
      <c r="H651" t="s">
        <v>120</v>
      </c>
      <c r="I651" t="s">
        <v>120</v>
      </c>
      <c r="J651" t="s">
        <v>120</v>
      </c>
      <c r="K651" t="s">
        <v>120</v>
      </c>
      <c r="L651" t="s">
        <v>120</v>
      </c>
      <c r="M651" t="s">
        <v>141</v>
      </c>
      <c r="N651" t="s">
        <v>120</v>
      </c>
      <c r="O651" t="s">
        <v>120</v>
      </c>
      <c r="P651" t="s">
        <v>120</v>
      </c>
      <c r="Q651" t="s">
        <v>120</v>
      </c>
      <c r="R651" t="s">
        <v>120</v>
      </c>
      <c r="S651" t="s">
        <v>120</v>
      </c>
      <c r="T651" t="s">
        <v>120</v>
      </c>
      <c r="U651" t="s">
        <v>120</v>
      </c>
      <c r="V651" t="s">
        <v>120</v>
      </c>
      <c r="W651" t="s">
        <v>120</v>
      </c>
      <c r="X651" t="s">
        <v>120</v>
      </c>
      <c r="Y651" t="s">
        <v>120</v>
      </c>
      <c r="Z651" t="s">
        <v>120</v>
      </c>
      <c r="AA651" t="s">
        <v>120</v>
      </c>
      <c r="AB651" t="s">
        <v>120</v>
      </c>
      <c r="AC651" t="s">
        <v>120</v>
      </c>
      <c r="AD651" t="s">
        <v>120</v>
      </c>
      <c r="AE651" t="s">
        <v>120</v>
      </c>
      <c r="AF651" t="s">
        <v>120</v>
      </c>
      <c r="AG651" t="s">
        <v>120</v>
      </c>
      <c r="AH651" t="s">
        <v>120</v>
      </c>
      <c r="AJ651">
        <v>0</v>
      </c>
      <c r="AK651">
        <v>8</v>
      </c>
      <c r="AL651">
        <v>8</v>
      </c>
      <c r="AM651">
        <v>0</v>
      </c>
      <c r="AN651">
        <v>0</v>
      </c>
      <c r="AO651">
        <v>31.55</v>
      </c>
      <c r="AP651">
        <v>8</v>
      </c>
      <c r="AQ651">
        <v>0</v>
      </c>
      <c r="AR651">
        <v>70.2</v>
      </c>
      <c r="AS651">
        <v>504.8</v>
      </c>
    </row>
    <row r="652" spans="1:45" x14ac:dyDescent="0.25">
      <c r="A652" t="s">
        <v>1519</v>
      </c>
      <c r="B652" t="s">
        <v>1520</v>
      </c>
      <c r="C652" t="s">
        <v>147</v>
      </c>
      <c r="D652" t="s">
        <v>1510</v>
      </c>
      <c r="E652" t="s">
        <v>120</v>
      </c>
      <c r="F652" t="s">
        <v>120</v>
      </c>
      <c r="G652" t="s">
        <v>120</v>
      </c>
      <c r="H652" t="s">
        <v>120</v>
      </c>
      <c r="I652" t="s">
        <v>120</v>
      </c>
      <c r="J652" t="s">
        <v>120</v>
      </c>
      <c r="K652" t="s">
        <v>120</v>
      </c>
      <c r="L652" t="s">
        <v>120</v>
      </c>
      <c r="M652" t="s">
        <v>141</v>
      </c>
      <c r="N652" t="s">
        <v>120</v>
      </c>
      <c r="O652" t="s">
        <v>120</v>
      </c>
      <c r="P652" t="s">
        <v>120</v>
      </c>
      <c r="Q652" t="s">
        <v>120</v>
      </c>
      <c r="R652" t="s">
        <v>120</v>
      </c>
      <c r="S652" t="s">
        <v>120</v>
      </c>
      <c r="T652" t="s">
        <v>120</v>
      </c>
      <c r="U652" t="s">
        <v>120</v>
      </c>
      <c r="V652" t="s">
        <v>120</v>
      </c>
      <c r="W652" t="s">
        <v>120</v>
      </c>
      <c r="X652" t="s">
        <v>120</v>
      </c>
      <c r="Y652" t="s">
        <v>141</v>
      </c>
      <c r="Z652" t="s">
        <v>120</v>
      </c>
      <c r="AA652" t="s">
        <v>120</v>
      </c>
      <c r="AB652" t="s">
        <v>326</v>
      </c>
      <c r="AC652" t="s">
        <v>120</v>
      </c>
      <c r="AD652" t="s">
        <v>120</v>
      </c>
      <c r="AE652" t="s">
        <v>120</v>
      </c>
      <c r="AF652" t="s">
        <v>120</v>
      </c>
      <c r="AG652" t="s">
        <v>120</v>
      </c>
      <c r="AH652" t="s">
        <v>120</v>
      </c>
      <c r="AJ652">
        <v>0</v>
      </c>
      <c r="AK652">
        <v>18</v>
      </c>
      <c r="AL652">
        <v>16</v>
      </c>
      <c r="AM652">
        <v>2</v>
      </c>
      <c r="AN652">
        <v>0</v>
      </c>
      <c r="AO652">
        <v>31.55</v>
      </c>
      <c r="AP652">
        <v>18</v>
      </c>
      <c r="AQ652">
        <v>0</v>
      </c>
      <c r="AR652">
        <v>70.2</v>
      </c>
      <c r="AS652">
        <v>1135.8</v>
      </c>
    </row>
    <row r="653" spans="1:45" x14ac:dyDescent="0.25">
      <c r="A653" t="s">
        <v>1521</v>
      </c>
      <c r="B653" t="s">
        <v>1522</v>
      </c>
      <c r="C653" t="s">
        <v>147</v>
      </c>
      <c r="D653" t="s">
        <v>1510</v>
      </c>
      <c r="E653" t="s">
        <v>120</v>
      </c>
      <c r="F653" t="s">
        <v>120</v>
      </c>
      <c r="G653" t="s">
        <v>120</v>
      </c>
      <c r="H653" t="s">
        <v>120</v>
      </c>
      <c r="I653" t="s">
        <v>120</v>
      </c>
      <c r="J653" t="s">
        <v>120</v>
      </c>
      <c r="K653" t="s">
        <v>120</v>
      </c>
      <c r="L653" t="s">
        <v>120</v>
      </c>
      <c r="M653" t="s">
        <v>120</v>
      </c>
      <c r="N653" t="s">
        <v>120</v>
      </c>
      <c r="O653" t="s">
        <v>120</v>
      </c>
      <c r="P653" t="s">
        <v>120</v>
      </c>
      <c r="Q653" t="s">
        <v>120</v>
      </c>
      <c r="R653" t="s">
        <v>120</v>
      </c>
      <c r="S653" t="s">
        <v>120</v>
      </c>
      <c r="T653" t="s">
        <v>120</v>
      </c>
      <c r="U653" t="s">
        <v>120</v>
      </c>
      <c r="V653" t="s">
        <v>120</v>
      </c>
      <c r="W653" t="s">
        <v>120</v>
      </c>
      <c r="X653" t="s">
        <v>120</v>
      </c>
      <c r="Y653" t="s">
        <v>120</v>
      </c>
      <c r="Z653" t="s">
        <v>120</v>
      </c>
      <c r="AA653" t="s">
        <v>120</v>
      </c>
      <c r="AB653" t="s">
        <v>120</v>
      </c>
      <c r="AC653" t="s">
        <v>120</v>
      </c>
      <c r="AD653" t="s">
        <v>120</v>
      </c>
      <c r="AE653" t="s">
        <v>120</v>
      </c>
      <c r="AF653" t="s">
        <v>120</v>
      </c>
      <c r="AG653" t="s">
        <v>120</v>
      </c>
      <c r="AH653" t="s">
        <v>120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31.55</v>
      </c>
      <c r="AP653">
        <v>0</v>
      </c>
      <c r="AQ653">
        <v>0</v>
      </c>
      <c r="AR653">
        <v>70.2</v>
      </c>
      <c r="AS653">
        <v>0</v>
      </c>
    </row>
    <row r="654" spans="1:45" x14ac:dyDescent="0.25">
      <c r="A654" t="s">
        <v>1523</v>
      </c>
      <c r="B654" t="s">
        <v>1524</v>
      </c>
      <c r="C654" t="s">
        <v>147</v>
      </c>
      <c r="D654" t="s">
        <v>1510</v>
      </c>
      <c r="E654" t="s">
        <v>120</v>
      </c>
      <c r="F654" t="s">
        <v>120</v>
      </c>
      <c r="G654" t="s">
        <v>120</v>
      </c>
      <c r="H654" t="s">
        <v>120</v>
      </c>
      <c r="I654" t="s">
        <v>120</v>
      </c>
      <c r="J654" t="s">
        <v>120</v>
      </c>
      <c r="K654" t="s">
        <v>120</v>
      </c>
      <c r="L654" t="s">
        <v>120</v>
      </c>
      <c r="M654" t="s">
        <v>120</v>
      </c>
      <c r="N654" t="s">
        <v>120</v>
      </c>
      <c r="O654" t="s">
        <v>120</v>
      </c>
      <c r="P654" t="s">
        <v>120</v>
      </c>
      <c r="Q654" t="s">
        <v>120</v>
      </c>
      <c r="R654" t="s">
        <v>120</v>
      </c>
      <c r="S654" t="s">
        <v>120</v>
      </c>
      <c r="T654" t="s">
        <v>120</v>
      </c>
      <c r="U654" t="s">
        <v>120</v>
      </c>
      <c r="V654" t="s">
        <v>120</v>
      </c>
      <c r="W654" t="s">
        <v>120</v>
      </c>
      <c r="X654" t="s">
        <v>120</v>
      </c>
      <c r="Y654" t="s">
        <v>120</v>
      </c>
      <c r="Z654" t="s">
        <v>120</v>
      </c>
      <c r="AA654" t="s">
        <v>120</v>
      </c>
      <c r="AB654" t="s">
        <v>120</v>
      </c>
      <c r="AC654" t="s">
        <v>120</v>
      </c>
      <c r="AD654" t="s">
        <v>120</v>
      </c>
      <c r="AE654" t="s">
        <v>120</v>
      </c>
      <c r="AF654" t="s">
        <v>120</v>
      </c>
      <c r="AG654" t="s">
        <v>120</v>
      </c>
      <c r="AH654" t="s">
        <v>120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31.55</v>
      </c>
      <c r="AP654">
        <v>0</v>
      </c>
      <c r="AQ654">
        <v>0</v>
      </c>
      <c r="AR654">
        <v>70.2</v>
      </c>
      <c r="AS654">
        <v>0</v>
      </c>
    </row>
    <row r="655" spans="1:45" x14ac:dyDescent="0.25">
      <c r="A655" t="s">
        <v>1525</v>
      </c>
      <c r="B655" t="s">
        <v>1526</v>
      </c>
      <c r="C655" t="s">
        <v>147</v>
      </c>
      <c r="D655" t="s">
        <v>1510</v>
      </c>
      <c r="E655" t="s">
        <v>120</v>
      </c>
      <c r="F655" t="s">
        <v>120</v>
      </c>
      <c r="G655" t="s">
        <v>120</v>
      </c>
      <c r="H655" t="s">
        <v>120</v>
      </c>
      <c r="I655" t="s">
        <v>120</v>
      </c>
      <c r="J655" t="s">
        <v>120</v>
      </c>
      <c r="K655" t="s">
        <v>120</v>
      </c>
      <c r="L655" t="s">
        <v>120</v>
      </c>
      <c r="M655" t="s">
        <v>120</v>
      </c>
      <c r="N655" t="s">
        <v>120</v>
      </c>
      <c r="O655" t="s">
        <v>120</v>
      </c>
      <c r="P655" t="s">
        <v>120</v>
      </c>
      <c r="Q655" t="s">
        <v>120</v>
      </c>
      <c r="R655" t="s">
        <v>120</v>
      </c>
      <c r="S655" t="s">
        <v>120</v>
      </c>
      <c r="T655" t="s">
        <v>120</v>
      </c>
      <c r="U655" t="s">
        <v>120</v>
      </c>
      <c r="V655" t="s">
        <v>120</v>
      </c>
      <c r="W655" t="s">
        <v>120</v>
      </c>
      <c r="X655" t="s">
        <v>141</v>
      </c>
      <c r="Y655" t="s">
        <v>120</v>
      </c>
      <c r="Z655" t="s">
        <v>120</v>
      </c>
      <c r="AA655" t="s">
        <v>120</v>
      </c>
      <c r="AB655" t="s">
        <v>120</v>
      </c>
      <c r="AC655" t="s">
        <v>120</v>
      </c>
      <c r="AD655" t="s">
        <v>120</v>
      </c>
      <c r="AE655" t="s">
        <v>120</v>
      </c>
      <c r="AF655" t="s">
        <v>120</v>
      </c>
      <c r="AG655" t="s">
        <v>120</v>
      </c>
      <c r="AH655" t="s">
        <v>120</v>
      </c>
      <c r="AJ655">
        <v>0</v>
      </c>
      <c r="AK655">
        <v>8</v>
      </c>
      <c r="AL655">
        <v>8</v>
      </c>
      <c r="AM655">
        <v>0</v>
      </c>
      <c r="AN655">
        <v>0</v>
      </c>
      <c r="AO655">
        <v>31.55</v>
      </c>
      <c r="AP655">
        <v>8</v>
      </c>
      <c r="AQ655">
        <v>0</v>
      </c>
      <c r="AR655">
        <v>70.2</v>
      </c>
      <c r="AS655">
        <v>504.8</v>
      </c>
    </row>
    <row r="656" spans="1:45" x14ac:dyDescent="0.25">
      <c r="A656" t="s">
        <v>1527</v>
      </c>
      <c r="B656" t="s">
        <v>1528</v>
      </c>
      <c r="C656" t="s">
        <v>147</v>
      </c>
      <c r="D656" t="s">
        <v>1510</v>
      </c>
      <c r="E656" t="s">
        <v>120</v>
      </c>
      <c r="F656" t="s">
        <v>120</v>
      </c>
      <c r="G656" t="s">
        <v>120</v>
      </c>
      <c r="H656" t="s">
        <v>120</v>
      </c>
      <c r="I656" t="s">
        <v>120</v>
      </c>
      <c r="J656" t="s">
        <v>120</v>
      </c>
      <c r="K656" t="s">
        <v>120</v>
      </c>
      <c r="L656" t="s">
        <v>120</v>
      </c>
      <c r="M656" t="s">
        <v>120</v>
      </c>
      <c r="N656" t="s">
        <v>120</v>
      </c>
      <c r="O656" t="s">
        <v>120</v>
      </c>
      <c r="P656" t="s">
        <v>120</v>
      </c>
      <c r="Q656" t="s">
        <v>120</v>
      </c>
      <c r="R656" t="s">
        <v>120</v>
      </c>
      <c r="S656" t="s">
        <v>120</v>
      </c>
      <c r="T656" t="s">
        <v>120</v>
      </c>
      <c r="U656" t="s">
        <v>120</v>
      </c>
      <c r="V656" t="s">
        <v>120</v>
      </c>
      <c r="W656" t="s">
        <v>120</v>
      </c>
      <c r="X656" t="s">
        <v>120</v>
      </c>
      <c r="Y656" t="s">
        <v>120</v>
      </c>
      <c r="Z656" t="s">
        <v>120</v>
      </c>
      <c r="AA656" t="s">
        <v>120</v>
      </c>
      <c r="AB656" t="s">
        <v>120</v>
      </c>
      <c r="AC656" t="s">
        <v>120</v>
      </c>
      <c r="AD656" t="s">
        <v>120</v>
      </c>
      <c r="AE656" t="s">
        <v>120</v>
      </c>
      <c r="AF656" t="s">
        <v>120</v>
      </c>
      <c r="AG656" t="s">
        <v>120</v>
      </c>
      <c r="AH656" t="s">
        <v>120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31.55</v>
      </c>
      <c r="AP656">
        <v>0</v>
      </c>
      <c r="AQ656">
        <v>0</v>
      </c>
      <c r="AR656">
        <v>70.2</v>
      </c>
      <c r="AS656">
        <v>0</v>
      </c>
    </row>
    <row r="657" spans="1:45" x14ac:dyDescent="0.25">
      <c r="A657" t="s">
        <v>1529</v>
      </c>
      <c r="B657" t="s">
        <v>1530</v>
      </c>
      <c r="C657" t="s">
        <v>130</v>
      </c>
      <c r="D657" t="s">
        <v>1510</v>
      </c>
      <c r="E657" t="s">
        <v>120</v>
      </c>
      <c r="F657" t="s">
        <v>120</v>
      </c>
      <c r="G657" t="s">
        <v>120</v>
      </c>
      <c r="H657" t="s">
        <v>120</v>
      </c>
      <c r="I657" t="s">
        <v>120</v>
      </c>
      <c r="J657" t="s">
        <v>120</v>
      </c>
      <c r="K657" t="s">
        <v>120</v>
      </c>
      <c r="L657" t="s">
        <v>120</v>
      </c>
      <c r="M657" t="s">
        <v>341</v>
      </c>
      <c r="N657" t="s">
        <v>120</v>
      </c>
      <c r="O657" t="s">
        <v>120</v>
      </c>
      <c r="P657" t="s">
        <v>120</v>
      </c>
      <c r="Q657" t="s">
        <v>120</v>
      </c>
      <c r="R657" t="s">
        <v>120</v>
      </c>
      <c r="S657" t="s">
        <v>120</v>
      </c>
      <c r="T657" t="s">
        <v>120</v>
      </c>
      <c r="U657" t="s">
        <v>120</v>
      </c>
      <c r="V657" t="s">
        <v>120</v>
      </c>
      <c r="W657" t="s">
        <v>120</v>
      </c>
      <c r="X657" t="s">
        <v>120</v>
      </c>
      <c r="Y657" t="s">
        <v>141</v>
      </c>
      <c r="Z657" t="s">
        <v>120</v>
      </c>
      <c r="AA657" t="s">
        <v>120</v>
      </c>
      <c r="AB657" t="s">
        <v>326</v>
      </c>
      <c r="AC657" t="s">
        <v>120</v>
      </c>
      <c r="AD657" t="s">
        <v>120</v>
      </c>
      <c r="AE657" t="s">
        <v>120</v>
      </c>
      <c r="AF657" t="s">
        <v>120</v>
      </c>
      <c r="AG657" t="s">
        <v>120</v>
      </c>
      <c r="AH657" t="s">
        <v>120</v>
      </c>
      <c r="AJ657">
        <v>0</v>
      </c>
      <c r="AK657">
        <v>14</v>
      </c>
      <c r="AL657">
        <v>12</v>
      </c>
      <c r="AM657">
        <v>2</v>
      </c>
      <c r="AN657">
        <v>0</v>
      </c>
      <c r="AO657">
        <v>7500</v>
      </c>
      <c r="AP657">
        <v>14</v>
      </c>
      <c r="AQ657">
        <v>0</v>
      </c>
      <c r="AR657">
        <v>126.56250000000001</v>
      </c>
      <c r="AS657">
        <v>1312.5</v>
      </c>
    </row>
    <row r="658" spans="1:45" x14ac:dyDescent="0.25">
      <c r="A658" t="s">
        <v>1531</v>
      </c>
      <c r="B658" t="s">
        <v>1532</v>
      </c>
      <c r="C658" t="s">
        <v>147</v>
      </c>
      <c r="D658" t="s">
        <v>1510</v>
      </c>
      <c r="E658" t="s">
        <v>120</v>
      </c>
      <c r="F658" t="s">
        <v>120</v>
      </c>
      <c r="G658" t="s">
        <v>120</v>
      </c>
      <c r="H658" t="s">
        <v>120</v>
      </c>
      <c r="I658" t="s">
        <v>120</v>
      </c>
      <c r="J658" t="s">
        <v>120</v>
      </c>
      <c r="K658" t="s">
        <v>120</v>
      </c>
      <c r="L658" t="s">
        <v>120</v>
      </c>
      <c r="M658" t="s">
        <v>141</v>
      </c>
      <c r="N658" t="s">
        <v>120</v>
      </c>
      <c r="O658" t="s">
        <v>120</v>
      </c>
      <c r="P658" t="s">
        <v>120</v>
      </c>
      <c r="Q658" t="s">
        <v>120</v>
      </c>
      <c r="R658" t="s">
        <v>120</v>
      </c>
      <c r="S658" t="s">
        <v>120</v>
      </c>
      <c r="T658" t="s">
        <v>120</v>
      </c>
      <c r="U658" t="s">
        <v>120</v>
      </c>
      <c r="V658" t="s">
        <v>120</v>
      </c>
      <c r="W658" t="s">
        <v>120</v>
      </c>
      <c r="X658" t="s">
        <v>120</v>
      </c>
      <c r="Y658" t="s">
        <v>120</v>
      </c>
      <c r="Z658" t="s">
        <v>120</v>
      </c>
      <c r="AA658" t="s">
        <v>120</v>
      </c>
      <c r="AB658" t="s">
        <v>120</v>
      </c>
      <c r="AC658" t="s">
        <v>120</v>
      </c>
      <c r="AD658" t="s">
        <v>120</v>
      </c>
      <c r="AE658" t="s">
        <v>120</v>
      </c>
      <c r="AF658" t="s">
        <v>120</v>
      </c>
      <c r="AG658" t="s">
        <v>120</v>
      </c>
      <c r="AH658" t="s">
        <v>120</v>
      </c>
      <c r="AJ658">
        <v>0</v>
      </c>
      <c r="AK658">
        <v>8</v>
      </c>
      <c r="AL658">
        <v>8</v>
      </c>
      <c r="AM658">
        <v>0</v>
      </c>
      <c r="AN658">
        <v>0</v>
      </c>
      <c r="AO658">
        <v>28.25</v>
      </c>
      <c r="AP658">
        <v>8</v>
      </c>
      <c r="AQ658">
        <v>0</v>
      </c>
      <c r="AR658">
        <v>70.2</v>
      </c>
      <c r="AS658">
        <v>452</v>
      </c>
    </row>
    <row r="659" spans="1:45" x14ac:dyDescent="0.25">
      <c r="A659" t="s">
        <v>1533</v>
      </c>
      <c r="B659" t="s">
        <v>1534</v>
      </c>
      <c r="C659" t="s">
        <v>147</v>
      </c>
      <c r="D659" t="s">
        <v>1510</v>
      </c>
      <c r="E659" t="s">
        <v>120</v>
      </c>
      <c r="F659" t="s">
        <v>120</v>
      </c>
      <c r="G659" t="s">
        <v>120</v>
      </c>
      <c r="H659" t="s">
        <v>120</v>
      </c>
      <c r="I659" t="s">
        <v>120</v>
      </c>
      <c r="J659" t="s">
        <v>120</v>
      </c>
      <c r="K659" t="s">
        <v>120</v>
      </c>
      <c r="L659" t="s">
        <v>120</v>
      </c>
      <c r="M659" t="s">
        <v>120</v>
      </c>
      <c r="N659" t="s">
        <v>120</v>
      </c>
      <c r="O659" t="s">
        <v>120</v>
      </c>
      <c r="P659" t="s">
        <v>120</v>
      </c>
      <c r="Q659" t="s">
        <v>120</v>
      </c>
      <c r="R659" t="s">
        <v>120</v>
      </c>
      <c r="S659" t="s">
        <v>120</v>
      </c>
      <c r="T659" t="s">
        <v>120</v>
      </c>
      <c r="U659" t="s">
        <v>120</v>
      </c>
      <c r="V659" t="s">
        <v>120</v>
      </c>
      <c r="W659" t="s">
        <v>120</v>
      </c>
      <c r="X659" t="s">
        <v>120</v>
      </c>
      <c r="Y659" t="s">
        <v>141</v>
      </c>
      <c r="Z659" t="s">
        <v>120</v>
      </c>
      <c r="AA659" t="s">
        <v>120</v>
      </c>
      <c r="AB659" t="s">
        <v>120</v>
      </c>
      <c r="AC659" t="s">
        <v>120</v>
      </c>
      <c r="AD659" t="s">
        <v>120</v>
      </c>
      <c r="AE659" t="s">
        <v>120</v>
      </c>
      <c r="AF659" t="s">
        <v>120</v>
      </c>
      <c r="AG659" t="s">
        <v>120</v>
      </c>
      <c r="AH659" t="s">
        <v>120</v>
      </c>
      <c r="AJ659">
        <v>0</v>
      </c>
      <c r="AK659">
        <v>8</v>
      </c>
      <c r="AL659">
        <v>8</v>
      </c>
      <c r="AM659">
        <v>0</v>
      </c>
      <c r="AN659">
        <v>0</v>
      </c>
      <c r="AO659">
        <v>31.55</v>
      </c>
      <c r="AP659">
        <v>8</v>
      </c>
      <c r="AQ659">
        <v>0</v>
      </c>
      <c r="AR659">
        <v>70.2</v>
      </c>
      <c r="AS659">
        <v>504.8</v>
      </c>
    </row>
    <row r="660" spans="1:45" x14ac:dyDescent="0.25">
      <c r="A660" t="s">
        <v>1535</v>
      </c>
      <c r="B660" t="s">
        <v>1536</v>
      </c>
      <c r="C660" t="s">
        <v>147</v>
      </c>
      <c r="D660" t="s">
        <v>1510</v>
      </c>
      <c r="E660" t="s">
        <v>120</v>
      </c>
      <c r="F660" t="s">
        <v>120</v>
      </c>
      <c r="G660" t="s">
        <v>120</v>
      </c>
      <c r="H660" t="s">
        <v>120</v>
      </c>
      <c r="I660" t="s">
        <v>120</v>
      </c>
      <c r="J660" t="s">
        <v>120</v>
      </c>
      <c r="K660" t="s">
        <v>120</v>
      </c>
      <c r="L660" t="s">
        <v>120</v>
      </c>
      <c r="M660" t="s">
        <v>141</v>
      </c>
      <c r="N660" t="s">
        <v>120</v>
      </c>
      <c r="O660" t="s">
        <v>120</v>
      </c>
      <c r="P660" t="s">
        <v>120</v>
      </c>
      <c r="Q660" t="s">
        <v>120</v>
      </c>
      <c r="R660" t="s">
        <v>120</v>
      </c>
      <c r="S660" t="s">
        <v>120</v>
      </c>
      <c r="T660" t="s">
        <v>120</v>
      </c>
      <c r="U660" t="s">
        <v>120</v>
      </c>
      <c r="V660" t="s">
        <v>120</v>
      </c>
      <c r="W660" t="s">
        <v>120</v>
      </c>
      <c r="X660" t="s">
        <v>120</v>
      </c>
      <c r="Y660" t="s">
        <v>120</v>
      </c>
      <c r="Z660" t="s">
        <v>120</v>
      </c>
      <c r="AA660" t="s">
        <v>120</v>
      </c>
      <c r="AB660" t="s">
        <v>120</v>
      </c>
      <c r="AC660" t="s">
        <v>120</v>
      </c>
      <c r="AD660" t="s">
        <v>120</v>
      </c>
      <c r="AE660" t="s">
        <v>120</v>
      </c>
      <c r="AF660" t="s">
        <v>120</v>
      </c>
      <c r="AG660" t="s">
        <v>120</v>
      </c>
      <c r="AH660" t="s">
        <v>120</v>
      </c>
      <c r="AJ660">
        <v>0</v>
      </c>
      <c r="AK660">
        <v>8</v>
      </c>
      <c r="AL660">
        <v>8</v>
      </c>
      <c r="AM660">
        <v>0</v>
      </c>
      <c r="AN660">
        <v>0</v>
      </c>
      <c r="AO660">
        <v>31.55</v>
      </c>
      <c r="AP660">
        <v>8</v>
      </c>
      <c r="AQ660">
        <v>0</v>
      </c>
      <c r="AR660">
        <v>70.2</v>
      </c>
      <c r="AS660">
        <v>504.8</v>
      </c>
    </row>
    <row r="661" spans="1:45" x14ac:dyDescent="0.25">
      <c r="A661" t="s">
        <v>1537</v>
      </c>
      <c r="B661" t="s">
        <v>1538</v>
      </c>
      <c r="C661" t="s">
        <v>147</v>
      </c>
      <c r="D661" t="s">
        <v>1510</v>
      </c>
      <c r="E661" t="s">
        <v>120</v>
      </c>
      <c r="F661" t="s">
        <v>120</v>
      </c>
      <c r="G661" t="s">
        <v>120</v>
      </c>
      <c r="H661" t="s">
        <v>120</v>
      </c>
      <c r="I661" t="s">
        <v>120</v>
      </c>
      <c r="J661" t="s">
        <v>120</v>
      </c>
      <c r="K661" t="s">
        <v>120</v>
      </c>
      <c r="L661" t="s">
        <v>120</v>
      </c>
      <c r="M661" t="s">
        <v>141</v>
      </c>
      <c r="N661" t="s">
        <v>120</v>
      </c>
      <c r="O661" t="s">
        <v>120</v>
      </c>
      <c r="P661" t="s">
        <v>120</v>
      </c>
      <c r="Q661" t="s">
        <v>120</v>
      </c>
      <c r="R661" t="s">
        <v>120</v>
      </c>
      <c r="S661" t="s">
        <v>120</v>
      </c>
      <c r="T661" t="s">
        <v>120</v>
      </c>
      <c r="U661" t="s">
        <v>120</v>
      </c>
      <c r="V661" t="s">
        <v>120</v>
      </c>
      <c r="W661" t="s">
        <v>120</v>
      </c>
      <c r="X661" t="s">
        <v>120</v>
      </c>
      <c r="Y661" t="s">
        <v>120</v>
      </c>
      <c r="Z661" t="s">
        <v>120</v>
      </c>
      <c r="AA661" t="s">
        <v>120</v>
      </c>
      <c r="AB661" t="s">
        <v>120</v>
      </c>
      <c r="AC661" t="s">
        <v>120</v>
      </c>
      <c r="AD661" t="s">
        <v>120</v>
      </c>
      <c r="AE661" t="s">
        <v>120</v>
      </c>
      <c r="AF661" t="s">
        <v>120</v>
      </c>
      <c r="AG661" t="s">
        <v>120</v>
      </c>
      <c r="AH661" t="s">
        <v>120</v>
      </c>
      <c r="AJ661">
        <v>0</v>
      </c>
      <c r="AK661">
        <v>8</v>
      </c>
      <c r="AL661">
        <v>8</v>
      </c>
      <c r="AM661">
        <v>0</v>
      </c>
      <c r="AN661">
        <v>0</v>
      </c>
      <c r="AO661">
        <v>31.55</v>
      </c>
      <c r="AP661">
        <v>8</v>
      </c>
      <c r="AQ661">
        <v>0</v>
      </c>
      <c r="AR661">
        <v>70.2</v>
      </c>
      <c r="AS661">
        <v>504.8</v>
      </c>
    </row>
    <row r="662" spans="1:45" x14ac:dyDescent="0.25">
      <c r="A662" t="s">
        <v>1539</v>
      </c>
      <c r="B662" t="s">
        <v>1540</v>
      </c>
      <c r="C662" t="s">
        <v>147</v>
      </c>
      <c r="D662" t="s">
        <v>1510</v>
      </c>
      <c r="E662" t="s">
        <v>120</v>
      </c>
      <c r="F662" t="s">
        <v>120</v>
      </c>
      <c r="G662" t="s">
        <v>120</v>
      </c>
      <c r="H662" t="s">
        <v>120</v>
      </c>
      <c r="I662" t="s">
        <v>120</v>
      </c>
      <c r="J662" t="s">
        <v>120</v>
      </c>
      <c r="K662" t="s">
        <v>120</v>
      </c>
      <c r="L662" t="s">
        <v>120</v>
      </c>
      <c r="M662" t="s">
        <v>141</v>
      </c>
      <c r="N662" t="s">
        <v>120</v>
      </c>
      <c r="O662" t="s">
        <v>120</v>
      </c>
      <c r="P662" t="s">
        <v>120</v>
      </c>
      <c r="Q662" t="s">
        <v>120</v>
      </c>
      <c r="R662" t="s">
        <v>120</v>
      </c>
      <c r="S662" t="s">
        <v>120</v>
      </c>
      <c r="T662" t="s">
        <v>120</v>
      </c>
      <c r="U662" t="s">
        <v>120</v>
      </c>
      <c r="V662" t="s">
        <v>120</v>
      </c>
      <c r="W662" t="s">
        <v>120</v>
      </c>
      <c r="X662" t="s">
        <v>120</v>
      </c>
      <c r="Y662" t="s">
        <v>120</v>
      </c>
      <c r="Z662" t="s">
        <v>120</v>
      </c>
      <c r="AA662" t="s">
        <v>120</v>
      </c>
      <c r="AB662" t="s">
        <v>120</v>
      </c>
      <c r="AC662" t="s">
        <v>120</v>
      </c>
      <c r="AD662" t="s">
        <v>120</v>
      </c>
      <c r="AE662" t="s">
        <v>120</v>
      </c>
      <c r="AF662" t="s">
        <v>120</v>
      </c>
      <c r="AG662" t="s">
        <v>120</v>
      </c>
      <c r="AH662" t="s">
        <v>120</v>
      </c>
      <c r="AJ662">
        <v>0</v>
      </c>
      <c r="AK662">
        <v>8</v>
      </c>
      <c r="AL662">
        <v>8</v>
      </c>
      <c r="AM662">
        <v>0</v>
      </c>
      <c r="AN662">
        <v>0</v>
      </c>
      <c r="AO662">
        <v>31.55</v>
      </c>
      <c r="AP662">
        <v>8</v>
      </c>
      <c r="AQ662">
        <v>0</v>
      </c>
      <c r="AR662">
        <v>70.2</v>
      </c>
      <c r="AS662">
        <v>504.8</v>
      </c>
    </row>
    <row r="663" spans="1:45" x14ac:dyDescent="0.25">
      <c r="A663" t="s">
        <v>1541</v>
      </c>
      <c r="B663" t="s">
        <v>1542</v>
      </c>
      <c r="C663" t="s">
        <v>147</v>
      </c>
      <c r="D663" t="s">
        <v>1510</v>
      </c>
      <c r="E663" t="s">
        <v>120</v>
      </c>
      <c r="F663" t="s">
        <v>120</v>
      </c>
      <c r="G663" t="s">
        <v>120</v>
      </c>
      <c r="H663" t="s">
        <v>120</v>
      </c>
      <c r="I663" t="s">
        <v>120</v>
      </c>
      <c r="J663" t="s">
        <v>120</v>
      </c>
      <c r="K663" t="s">
        <v>120</v>
      </c>
      <c r="L663" t="s">
        <v>120</v>
      </c>
      <c r="M663" t="s">
        <v>141</v>
      </c>
      <c r="N663" t="s">
        <v>120</v>
      </c>
      <c r="O663" t="s">
        <v>120</v>
      </c>
      <c r="P663" t="s">
        <v>120</v>
      </c>
      <c r="Q663" t="s">
        <v>120</v>
      </c>
      <c r="R663" t="s">
        <v>120</v>
      </c>
      <c r="S663" t="s">
        <v>120</v>
      </c>
      <c r="T663" t="s">
        <v>120</v>
      </c>
      <c r="U663" t="s">
        <v>120</v>
      </c>
      <c r="V663" t="s">
        <v>120</v>
      </c>
      <c r="W663" t="s">
        <v>120</v>
      </c>
      <c r="X663" t="s">
        <v>120</v>
      </c>
      <c r="Y663" t="s">
        <v>120</v>
      </c>
      <c r="Z663" t="s">
        <v>120</v>
      </c>
      <c r="AA663" t="s">
        <v>120</v>
      </c>
      <c r="AB663" t="s">
        <v>120</v>
      </c>
      <c r="AC663" t="s">
        <v>120</v>
      </c>
      <c r="AD663" t="s">
        <v>120</v>
      </c>
      <c r="AE663" t="s">
        <v>120</v>
      </c>
      <c r="AF663" t="s">
        <v>120</v>
      </c>
      <c r="AG663" t="s">
        <v>120</v>
      </c>
      <c r="AH663" t="s">
        <v>120</v>
      </c>
      <c r="AJ663">
        <v>0</v>
      </c>
      <c r="AK663">
        <v>8</v>
      </c>
      <c r="AL663">
        <v>8</v>
      </c>
      <c r="AM663">
        <v>0</v>
      </c>
      <c r="AN663">
        <v>0</v>
      </c>
      <c r="AO663">
        <v>31.55</v>
      </c>
      <c r="AP663">
        <v>8</v>
      </c>
      <c r="AQ663">
        <v>0</v>
      </c>
      <c r="AR663">
        <v>70.2</v>
      </c>
      <c r="AS663">
        <v>504.8</v>
      </c>
    </row>
    <row r="664" spans="1:45" x14ac:dyDescent="0.25">
      <c r="A664" t="s">
        <v>1543</v>
      </c>
      <c r="B664" t="s">
        <v>1544</v>
      </c>
      <c r="C664" t="s">
        <v>147</v>
      </c>
      <c r="D664" t="s">
        <v>1510</v>
      </c>
      <c r="E664" t="s">
        <v>120</v>
      </c>
      <c r="F664" t="s">
        <v>120</v>
      </c>
      <c r="G664" t="s">
        <v>120</v>
      </c>
      <c r="H664" t="s">
        <v>120</v>
      </c>
      <c r="I664" t="s">
        <v>120</v>
      </c>
      <c r="J664" t="s">
        <v>120</v>
      </c>
      <c r="K664" t="s">
        <v>120</v>
      </c>
      <c r="L664" t="s">
        <v>120</v>
      </c>
      <c r="M664" t="s">
        <v>141</v>
      </c>
      <c r="N664" t="s">
        <v>120</v>
      </c>
      <c r="O664" t="s">
        <v>120</v>
      </c>
      <c r="P664" t="s">
        <v>120</v>
      </c>
      <c r="Q664" t="s">
        <v>120</v>
      </c>
      <c r="R664" t="s">
        <v>120</v>
      </c>
      <c r="S664" t="s">
        <v>120</v>
      </c>
      <c r="T664" t="s">
        <v>120</v>
      </c>
      <c r="U664" t="s">
        <v>120</v>
      </c>
      <c r="V664" t="s">
        <v>120</v>
      </c>
      <c r="W664" t="s">
        <v>120</v>
      </c>
      <c r="X664" t="s">
        <v>120</v>
      </c>
      <c r="Y664" t="s">
        <v>120</v>
      </c>
      <c r="Z664" t="s">
        <v>120</v>
      </c>
      <c r="AA664" t="s">
        <v>120</v>
      </c>
      <c r="AB664" t="s">
        <v>120</v>
      </c>
      <c r="AC664" t="s">
        <v>120</v>
      </c>
      <c r="AD664" t="s">
        <v>120</v>
      </c>
      <c r="AE664" t="s">
        <v>120</v>
      </c>
      <c r="AF664" t="s">
        <v>120</v>
      </c>
      <c r="AG664" t="s">
        <v>120</v>
      </c>
      <c r="AH664" t="s">
        <v>120</v>
      </c>
      <c r="AJ664">
        <v>0</v>
      </c>
      <c r="AK664">
        <v>8</v>
      </c>
      <c r="AL664">
        <v>8</v>
      </c>
      <c r="AM664">
        <v>0</v>
      </c>
      <c r="AN664">
        <v>0</v>
      </c>
      <c r="AO664">
        <v>31.55</v>
      </c>
      <c r="AP664">
        <v>8</v>
      </c>
      <c r="AQ664">
        <v>0</v>
      </c>
      <c r="AR664">
        <v>70.2</v>
      </c>
      <c r="AS664">
        <v>504.8</v>
      </c>
    </row>
    <row r="665" spans="1:45" x14ac:dyDescent="0.25">
      <c r="A665" t="s">
        <v>1545</v>
      </c>
      <c r="B665" t="s">
        <v>1546</v>
      </c>
      <c r="C665" t="s">
        <v>147</v>
      </c>
      <c r="D665" t="s">
        <v>1510</v>
      </c>
      <c r="E665" t="s">
        <v>120</v>
      </c>
      <c r="F665" t="s">
        <v>120</v>
      </c>
      <c r="G665" t="s">
        <v>120</v>
      </c>
      <c r="H665" t="s">
        <v>120</v>
      </c>
      <c r="I665" t="s">
        <v>120</v>
      </c>
      <c r="J665" t="s">
        <v>120</v>
      </c>
      <c r="K665" t="s">
        <v>120</v>
      </c>
      <c r="L665" t="s">
        <v>120</v>
      </c>
      <c r="M665" t="s">
        <v>341</v>
      </c>
      <c r="N665" t="s">
        <v>120</v>
      </c>
      <c r="O665" t="s">
        <v>120</v>
      </c>
      <c r="P665" t="s">
        <v>120</v>
      </c>
      <c r="Q665" t="s">
        <v>120</v>
      </c>
      <c r="R665" t="s">
        <v>120</v>
      </c>
      <c r="S665" t="s">
        <v>120</v>
      </c>
      <c r="T665" t="s">
        <v>120</v>
      </c>
      <c r="U665" t="s">
        <v>120</v>
      </c>
      <c r="V665" t="s">
        <v>120</v>
      </c>
      <c r="W665" t="s">
        <v>120</v>
      </c>
      <c r="X665" t="s">
        <v>120</v>
      </c>
      <c r="Y665" t="s">
        <v>141</v>
      </c>
      <c r="Z665" t="s">
        <v>120</v>
      </c>
      <c r="AA665" t="s">
        <v>120</v>
      </c>
      <c r="AB665" t="s">
        <v>120</v>
      </c>
      <c r="AC665" t="s">
        <v>120</v>
      </c>
      <c r="AD665" t="s">
        <v>120</v>
      </c>
      <c r="AE665" t="s">
        <v>120</v>
      </c>
      <c r="AF665" t="s">
        <v>120</v>
      </c>
      <c r="AG665" t="s">
        <v>120</v>
      </c>
      <c r="AH665" t="s">
        <v>120</v>
      </c>
      <c r="AJ665">
        <v>0</v>
      </c>
      <c r="AK665">
        <v>12</v>
      </c>
      <c r="AL665">
        <v>12</v>
      </c>
      <c r="AM665">
        <v>0</v>
      </c>
      <c r="AN665">
        <v>0</v>
      </c>
      <c r="AO665">
        <v>31.55</v>
      </c>
      <c r="AP665">
        <v>12</v>
      </c>
      <c r="AQ665">
        <v>0</v>
      </c>
      <c r="AR665">
        <v>70.2</v>
      </c>
      <c r="AS665">
        <v>757.2</v>
      </c>
    </row>
    <row r="666" spans="1:45" x14ac:dyDescent="0.25">
      <c r="A666" t="s">
        <v>1547</v>
      </c>
      <c r="B666" t="s">
        <v>1548</v>
      </c>
      <c r="C666" t="s">
        <v>147</v>
      </c>
      <c r="D666" t="s">
        <v>1510</v>
      </c>
      <c r="E666" t="s">
        <v>120</v>
      </c>
      <c r="F666" t="s">
        <v>120</v>
      </c>
      <c r="G666" t="s">
        <v>120</v>
      </c>
      <c r="H666" t="s">
        <v>120</v>
      </c>
      <c r="I666" t="s">
        <v>120</v>
      </c>
      <c r="J666" t="s">
        <v>120</v>
      </c>
      <c r="K666" t="s">
        <v>120</v>
      </c>
      <c r="L666" t="s">
        <v>120</v>
      </c>
      <c r="M666" t="s">
        <v>120</v>
      </c>
      <c r="N666" t="s">
        <v>120</v>
      </c>
      <c r="O666" t="s">
        <v>120</v>
      </c>
      <c r="P666" t="s">
        <v>120</v>
      </c>
      <c r="Q666" t="s">
        <v>120</v>
      </c>
      <c r="R666" t="s">
        <v>120</v>
      </c>
      <c r="S666" t="s">
        <v>120</v>
      </c>
      <c r="T666" t="s">
        <v>120</v>
      </c>
      <c r="U666" t="s">
        <v>120</v>
      </c>
      <c r="V666" t="s">
        <v>120</v>
      </c>
      <c r="W666" t="s">
        <v>120</v>
      </c>
      <c r="X666" t="s">
        <v>120</v>
      </c>
      <c r="Y666" t="s">
        <v>120</v>
      </c>
      <c r="Z666" t="s">
        <v>120</v>
      </c>
      <c r="AA666" t="s">
        <v>120</v>
      </c>
      <c r="AB666" t="s">
        <v>120</v>
      </c>
      <c r="AC666" t="s">
        <v>120</v>
      </c>
      <c r="AD666" t="s">
        <v>120</v>
      </c>
      <c r="AE666" t="s">
        <v>120</v>
      </c>
      <c r="AF666" t="s">
        <v>120</v>
      </c>
      <c r="AG666" t="s">
        <v>120</v>
      </c>
      <c r="AH666" t="s">
        <v>120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31.55</v>
      </c>
      <c r="AP666">
        <v>0</v>
      </c>
      <c r="AQ666">
        <v>0</v>
      </c>
      <c r="AR666">
        <v>70.2</v>
      </c>
      <c r="AS666">
        <v>0</v>
      </c>
    </row>
    <row r="667" spans="1:45" x14ac:dyDescent="0.25">
      <c r="A667" t="s">
        <v>1549</v>
      </c>
      <c r="B667" t="s">
        <v>1550</v>
      </c>
      <c r="C667" t="s">
        <v>147</v>
      </c>
      <c r="D667" t="s">
        <v>1510</v>
      </c>
      <c r="E667" t="s">
        <v>120</v>
      </c>
      <c r="F667" t="s">
        <v>120</v>
      </c>
      <c r="G667" t="s">
        <v>120</v>
      </c>
      <c r="H667" t="s">
        <v>120</v>
      </c>
      <c r="I667" t="s">
        <v>120</v>
      </c>
      <c r="J667" t="s">
        <v>120</v>
      </c>
      <c r="K667" t="s">
        <v>120</v>
      </c>
      <c r="L667" t="s">
        <v>120</v>
      </c>
      <c r="M667" t="s">
        <v>120</v>
      </c>
      <c r="N667" t="s">
        <v>120</v>
      </c>
      <c r="O667" t="s">
        <v>120</v>
      </c>
      <c r="P667" t="s">
        <v>120</v>
      </c>
      <c r="Q667" t="s">
        <v>120</v>
      </c>
      <c r="R667" t="s">
        <v>120</v>
      </c>
      <c r="S667" t="s">
        <v>120</v>
      </c>
      <c r="T667" t="s">
        <v>120</v>
      </c>
      <c r="U667" t="s">
        <v>120</v>
      </c>
      <c r="V667" t="s">
        <v>120</v>
      </c>
      <c r="W667" t="s">
        <v>120</v>
      </c>
      <c r="X667" t="s">
        <v>120</v>
      </c>
      <c r="Y667" t="s">
        <v>120</v>
      </c>
      <c r="Z667" t="s">
        <v>120</v>
      </c>
      <c r="AA667" t="s">
        <v>120</v>
      </c>
      <c r="AB667" t="s">
        <v>120</v>
      </c>
      <c r="AC667" t="s">
        <v>120</v>
      </c>
      <c r="AD667" t="s">
        <v>120</v>
      </c>
      <c r="AE667" t="s">
        <v>120</v>
      </c>
      <c r="AF667" t="s">
        <v>120</v>
      </c>
      <c r="AG667" t="s">
        <v>120</v>
      </c>
      <c r="AH667" t="s">
        <v>120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31.55</v>
      </c>
      <c r="AP667">
        <v>0</v>
      </c>
      <c r="AQ667">
        <v>0</v>
      </c>
      <c r="AR667">
        <v>70.2</v>
      </c>
      <c r="AS667">
        <v>0</v>
      </c>
    </row>
    <row r="668" spans="1:45" x14ac:dyDescent="0.25">
      <c r="A668" t="s">
        <v>1551</v>
      </c>
      <c r="B668" t="s">
        <v>1552</v>
      </c>
      <c r="C668" t="s">
        <v>147</v>
      </c>
      <c r="D668" t="s">
        <v>1510</v>
      </c>
      <c r="E668" t="s">
        <v>120</v>
      </c>
      <c r="F668" t="s">
        <v>120</v>
      </c>
      <c r="G668" t="s">
        <v>120</v>
      </c>
      <c r="H668" t="s">
        <v>120</v>
      </c>
      <c r="I668" t="s">
        <v>120</v>
      </c>
      <c r="J668" t="s">
        <v>120</v>
      </c>
      <c r="K668" t="s">
        <v>120</v>
      </c>
      <c r="L668" t="s">
        <v>120</v>
      </c>
      <c r="M668" t="s">
        <v>120</v>
      </c>
      <c r="N668" t="s">
        <v>120</v>
      </c>
      <c r="O668" t="s">
        <v>120</v>
      </c>
      <c r="P668" t="s">
        <v>120</v>
      </c>
      <c r="Q668" t="s">
        <v>120</v>
      </c>
      <c r="R668" t="s">
        <v>120</v>
      </c>
      <c r="S668" t="s">
        <v>120</v>
      </c>
      <c r="T668" t="s">
        <v>120</v>
      </c>
      <c r="U668" t="s">
        <v>120</v>
      </c>
      <c r="V668" t="s">
        <v>120</v>
      </c>
      <c r="W668" t="s">
        <v>120</v>
      </c>
      <c r="X668" t="s">
        <v>141</v>
      </c>
      <c r="Y668" t="s">
        <v>120</v>
      </c>
      <c r="Z668" t="s">
        <v>120</v>
      </c>
      <c r="AA668" t="s">
        <v>120</v>
      </c>
      <c r="AB668" t="s">
        <v>120</v>
      </c>
      <c r="AC668" t="s">
        <v>120</v>
      </c>
      <c r="AD668" t="s">
        <v>120</v>
      </c>
      <c r="AE668" t="s">
        <v>120</v>
      </c>
      <c r="AF668" t="s">
        <v>120</v>
      </c>
      <c r="AG668" t="s">
        <v>120</v>
      </c>
      <c r="AH668" t="s">
        <v>120</v>
      </c>
      <c r="AJ668">
        <v>0</v>
      </c>
      <c r="AK668">
        <v>8</v>
      </c>
      <c r="AL668">
        <v>8</v>
      </c>
      <c r="AM668">
        <v>0</v>
      </c>
      <c r="AN668">
        <v>0</v>
      </c>
      <c r="AO668">
        <v>31.55</v>
      </c>
      <c r="AP668">
        <v>8</v>
      </c>
      <c r="AQ668">
        <v>0</v>
      </c>
      <c r="AR668">
        <v>70.2</v>
      </c>
      <c r="AS668">
        <v>504.8</v>
      </c>
    </row>
    <row r="669" spans="1:45" x14ac:dyDescent="0.25">
      <c r="A669" t="s">
        <v>1553</v>
      </c>
      <c r="B669" t="s">
        <v>1554</v>
      </c>
      <c r="C669" t="s">
        <v>147</v>
      </c>
      <c r="D669" t="s">
        <v>1510</v>
      </c>
      <c r="E669" t="s">
        <v>120</v>
      </c>
      <c r="F669" t="s">
        <v>120</v>
      </c>
      <c r="G669" t="s">
        <v>120</v>
      </c>
      <c r="H669" t="s">
        <v>120</v>
      </c>
      <c r="I669" t="s">
        <v>120</v>
      </c>
      <c r="J669" t="s">
        <v>120</v>
      </c>
      <c r="K669" t="s">
        <v>120</v>
      </c>
      <c r="L669" t="s">
        <v>120</v>
      </c>
      <c r="M669" t="s">
        <v>141</v>
      </c>
      <c r="N669" t="s">
        <v>120</v>
      </c>
      <c r="O669" t="s">
        <v>120</v>
      </c>
      <c r="P669" t="s">
        <v>120</v>
      </c>
      <c r="Q669" t="s">
        <v>120</v>
      </c>
      <c r="R669" t="s">
        <v>120</v>
      </c>
      <c r="S669" t="s">
        <v>120</v>
      </c>
      <c r="T669" t="s">
        <v>120</v>
      </c>
      <c r="U669" t="s">
        <v>120</v>
      </c>
      <c r="V669" t="s">
        <v>120</v>
      </c>
      <c r="W669" t="s">
        <v>120</v>
      </c>
      <c r="X669" t="s">
        <v>120</v>
      </c>
      <c r="Y669" t="s">
        <v>120</v>
      </c>
      <c r="Z669" t="s">
        <v>120</v>
      </c>
      <c r="AA669" t="s">
        <v>120</v>
      </c>
      <c r="AB669" t="s">
        <v>120</v>
      </c>
      <c r="AC669" t="s">
        <v>120</v>
      </c>
      <c r="AD669" t="s">
        <v>120</v>
      </c>
      <c r="AE669" t="s">
        <v>120</v>
      </c>
      <c r="AF669" t="s">
        <v>120</v>
      </c>
      <c r="AG669" t="s">
        <v>120</v>
      </c>
      <c r="AH669" t="s">
        <v>120</v>
      </c>
      <c r="AJ669">
        <v>0</v>
      </c>
      <c r="AK669">
        <v>8</v>
      </c>
      <c r="AL669">
        <v>8</v>
      </c>
      <c r="AM669">
        <v>0</v>
      </c>
      <c r="AN669">
        <v>0</v>
      </c>
      <c r="AO669">
        <v>31.55</v>
      </c>
      <c r="AP669">
        <v>8</v>
      </c>
      <c r="AQ669">
        <v>0</v>
      </c>
      <c r="AR669">
        <v>70.2</v>
      </c>
      <c r="AS669">
        <v>504.8</v>
      </c>
    </row>
    <row r="670" spans="1:45" x14ac:dyDescent="0.25">
      <c r="A670" t="s">
        <v>1555</v>
      </c>
      <c r="B670" t="s">
        <v>1556</v>
      </c>
      <c r="C670" t="s">
        <v>147</v>
      </c>
      <c r="D670" t="s">
        <v>1510</v>
      </c>
      <c r="E670" t="s">
        <v>120</v>
      </c>
      <c r="F670" t="s">
        <v>120</v>
      </c>
      <c r="G670" t="s">
        <v>120</v>
      </c>
      <c r="H670" t="s">
        <v>120</v>
      </c>
      <c r="I670" t="s">
        <v>120</v>
      </c>
      <c r="J670" t="s">
        <v>120</v>
      </c>
      <c r="K670" t="s">
        <v>120</v>
      </c>
      <c r="L670" t="s">
        <v>120</v>
      </c>
      <c r="M670" t="s">
        <v>141</v>
      </c>
      <c r="N670" t="s">
        <v>120</v>
      </c>
      <c r="O670" t="s">
        <v>120</v>
      </c>
      <c r="P670" t="s">
        <v>120</v>
      </c>
      <c r="Q670" t="s">
        <v>120</v>
      </c>
      <c r="R670" t="s">
        <v>120</v>
      </c>
      <c r="S670" t="s">
        <v>120</v>
      </c>
      <c r="T670" t="s">
        <v>120</v>
      </c>
      <c r="U670" t="s">
        <v>120</v>
      </c>
      <c r="V670" t="s">
        <v>120</v>
      </c>
      <c r="W670" t="s">
        <v>120</v>
      </c>
      <c r="X670" t="s">
        <v>120</v>
      </c>
      <c r="Y670" t="s">
        <v>120</v>
      </c>
      <c r="Z670" t="s">
        <v>120</v>
      </c>
      <c r="AA670" t="s">
        <v>120</v>
      </c>
      <c r="AB670" t="s">
        <v>120</v>
      </c>
      <c r="AC670" t="s">
        <v>120</v>
      </c>
      <c r="AD670" t="s">
        <v>120</v>
      </c>
      <c r="AE670" t="s">
        <v>120</v>
      </c>
      <c r="AF670" t="s">
        <v>120</v>
      </c>
      <c r="AG670" t="s">
        <v>120</v>
      </c>
      <c r="AH670" t="s">
        <v>120</v>
      </c>
      <c r="AJ670">
        <v>0</v>
      </c>
      <c r="AK670">
        <v>8</v>
      </c>
      <c r="AL670">
        <v>8</v>
      </c>
      <c r="AM670">
        <v>0</v>
      </c>
      <c r="AN670">
        <v>0</v>
      </c>
      <c r="AO670">
        <v>31.55</v>
      </c>
      <c r="AP670">
        <v>8</v>
      </c>
      <c r="AQ670">
        <v>0</v>
      </c>
      <c r="AR670">
        <v>70.2</v>
      </c>
      <c r="AS670">
        <v>504.8</v>
      </c>
    </row>
    <row r="671" spans="1:45" x14ac:dyDescent="0.25">
      <c r="A671" t="s">
        <v>1557</v>
      </c>
      <c r="B671" t="s">
        <v>1558</v>
      </c>
      <c r="C671" t="s">
        <v>147</v>
      </c>
      <c r="D671" t="s">
        <v>1510</v>
      </c>
      <c r="E671" t="s">
        <v>120</v>
      </c>
      <c r="F671" t="s">
        <v>120</v>
      </c>
      <c r="G671" t="s">
        <v>120</v>
      </c>
      <c r="H671" t="s">
        <v>120</v>
      </c>
      <c r="I671" t="s">
        <v>120</v>
      </c>
      <c r="J671" t="s">
        <v>120</v>
      </c>
      <c r="K671" t="s">
        <v>120</v>
      </c>
      <c r="L671" t="s">
        <v>120</v>
      </c>
      <c r="M671" t="s">
        <v>141</v>
      </c>
      <c r="N671" t="s">
        <v>120</v>
      </c>
      <c r="O671" t="s">
        <v>120</v>
      </c>
      <c r="P671" t="s">
        <v>120</v>
      </c>
      <c r="Q671" t="s">
        <v>120</v>
      </c>
      <c r="R671" t="s">
        <v>120</v>
      </c>
      <c r="S671" t="s">
        <v>120</v>
      </c>
      <c r="T671" t="s">
        <v>120</v>
      </c>
      <c r="U671" t="s">
        <v>120</v>
      </c>
      <c r="V671" t="s">
        <v>120</v>
      </c>
      <c r="W671" t="s">
        <v>120</v>
      </c>
      <c r="X671" t="s">
        <v>120</v>
      </c>
      <c r="Y671" t="s">
        <v>141</v>
      </c>
      <c r="Z671" t="s">
        <v>120</v>
      </c>
      <c r="AA671" t="s">
        <v>120</v>
      </c>
      <c r="AB671" t="s">
        <v>120</v>
      </c>
      <c r="AC671" t="s">
        <v>120</v>
      </c>
      <c r="AD671" t="s">
        <v>120</v>
      </c>
      <c r="AE671" t="s">
        <v>120</v>
      </c>
      <c r="AF671" t="s">
        <v>120</v>
      </c>
      <c r="AG671" t="s">
        <v>120</v>
      </c>
      <c r="AH671" t="s">
        <v>120</v>
      </c>
      <c r="AJ671">
        <v>0</v>
      </c>
      <c r="AK671">
        <v>16</v>
      </c>
      <c r="AL671">
        <v>16</v>
      </c>
      <c r="AM671">
        <v>0</v>
      </c>
      <c r="AN671">
        <v>0</v>
      </c>
      <c r="AO671">
        <v>31.55</v>
      </c>
      <c r="AP671">
        <v>16</v>
      </c>
      <c r="AQ671">
        <v>0</v>
      </c>
      <c r="AR671">
        <v>70.2</v>
      </c>
      <c r="AS671">
        <v>1009.6</v>
      </c>
    </row>
    <row r="672" spans="1:45" x14ac:dyDescent="0.25">
      <c r="A672" t="s">
        <v>1559</v>
      </c>
      <c r="B672" t="s">
        <v>1560</v>
      </c>
      <c r="C672" t="s">
        <v>127</v>
      </c>
      <c r="D672" t="s">
        <v>1510</v>
      </c>
      <c r="E672" t="s">
        <v>120</v>
      </c>
      <c r="F672" t="s">
        <v>120</v>
      </c>
      <c r="G672" t="s">
        <v>120</v>
      </c>
      <c r="H672" t="s">
        <v>120</v>
      </c>
      <c r="I672" t="s">
        <v>120</v>
      </c>
      <c r="J672" t="s">
        <v>120</v>
      </c>
      <c r="K672" t="s">
        <v>120</v>
      </c>
      <c r="L672" t="s">
        <v>120</v>
      </c>
      <c r="M672" t="s">
        <v>141</v>
      </c>
      <c r="N672" t="s">
        <v>120</v>
      </c>
      <c r="O672" t="s">
        <v>120</v>
      </c>
      <c r="P672" t="s">
        <v>120</v>
      </c>
      <c r="Q672" t="s">
        <v>120</v>
      </c>
      <c r="R672" t="s">
        <v>120</v>
      </c>
      <c r="S672" t="s">
        <v>120</v>
      </c>
      <c r="T672" t="s">
        <v>120</v>
      </c>
      <c r="U672" t="s">
        <v>120</v>
      </c>
      <c r="V672" t="s">
        <v>120</v>
      </c>
      <c r="W672" t="s">
        <v>120</v>
      </c>
      <c r="X672" t="s">
        <v>120</v>
      </c>
      <c r="Y672" t="s">
        <v>141</v>
      </c>
      <c r="Z672" t="s">
        <v>120</v>
      </c>
      <c r="AA672" t="s">
        <v>120</v>
      </c>
      <c r="AB672" t="s">
        <v>330</v>
      </c>
      <c r="AC672" t="s">
        <v>120</v>
      </c>
      <c r="AD672" t="s">
        <v>120</v>
      </c>
      <c r="AE672" t="s">
        <v>120</v>
      </c>
      <c r="AF672" t="s">
        <v>120</v>
      </c>
      <c r="AG672" t="s">
        <v>120</v>
      </c>
      <c r="AH672" t="s">
        <v>120</v>
      </c>
      <c r="AJ672">
        <v>0</v>
      </c>
      <c r="AK672">
        <v>19</v>
      </c>
      <c r="AL672">
        <v>16</v>
      </c>
      <c r="AM672">
        <v>3</v>
      </c>
      <c r="AN672">
        <v>0</v>
      </c>
      <c r="AO672">
        <v>33.43</v>
      </c>
      <c r="AP672">
        <v>19</v>
      </c>
      <c r="AQ672">
        <v>0</v>
      </c>
      <c r="AR672">
        <v>75.06</v>
      </c>
      <c r="AS672">
        <v>1270.3399999999999</v>
      </c>
    </row>
    <row r="673" spans="1:45" x14ac:dyDescent="0.25">
      <c r="A673" t="s">
        <v>1561</v>
      </c>
      <c r="B673" t="s">
        <v>1562</v>
      </c>
      <c r="C673" t="s">
        <v>147</v>
      </c>
      <c r="D673" t="s">
        <v>1563</v>
      </c>
      <c r="E673" t="s">
        <v>120</v>
      </c>
      <c r="F673" t="s">
        <v>120</v>
      </c>
      <c r="G673" t="s">
        <v>120</v>
      </c>
      <c r="H673" t="s">
        <v>124</v>
      </c>
      <c r="I673" t="s">
        <v>124</v>
      </c>
      <c r="J673" t="s">
        <v>341</v>
      </c>
      <c r="K673" t="s">
        <v>120</v>
      </c>
      <c r="L673" t="s">
        <v>120</v>
      </c>
      <c r="M673" t="s">
        <v>120</v>
      </c>
      <c r="N673" t="s">
        <v>120</v>
      </c>
      <c r="O673" t="s">
        <v>120</v>
      </c>
      <c r="P673" t="s">
        <v>120</v>
      </c>
      <c r="Q673" t="s">
        <v>141</v>
      </c>
      <c r="R673" t="s">
        <v>120</v>
      </c>
      <c r="S673" t="s">
        <v>120</v>
      </c>
      <c r="T673" t="s">
        <v>120</v>
      </c>
      <c r="U673" t="s">
        <v>120</v>
      </c>
      <c r="V673" t="s">
        <v>120</v>
      </c>
      <c r="W673" t="s">
        <v>120</v>
      </c>
      <c r="X673" t="s">
        <v>120</v>
      </c>
      <c r="Y673" t="s">
        <v>135</v>
      </c>
      <c r="Z673" t="s">
        <v>120</v>
      </c>
      <c r="AA673" t="s">
        <v>120</v>
      </c>
      <c r="AB673" t="s">
        <v>120</v>
      </c>
      <c r="AC673" t="s">
        <v>120</v>
      </c>
      <c r="AD673" t="s">
        <v>120</v>
      </c>
      <c r="AE673" t="s">
        <v>120</v>
      </c>
      <c r="AF673" t="s">
        <v>120</v>
      </c>
      <c r="AG673" t="s">
        <v>120</v>
      </c>
      <c r="AH673" t="s">
        <v>120</v>
      </c>
      <c r="AJ673">
        <v>0</v>
      </c>
      <c r="AK673">
        <v>28</v>
      </c>
      <c r="AL673">
        <v>12</v>
      </c>
      <c r="AM673">
        <v>16</v>
      </c>
      <c r="AN673">
        <v>0</v>
      </c>
      <c r="AO673">
        <v>31.55</v>
      </c>
      <c r="AP673">
        <v>28</v>
      </c>
      <c r="AQ673">
        <v>0</v>
      </c>
      <c r="AR673">
        <v>70.2</v>
      </c>
      <c r="AS673">
        <v>1766.8</v>
      </c>
    </row>
    <row r="674" spans="1:45" x14ac:dyDescent="0.25">
      <c r="A674" t="s">
        <v>1564</v>
      </c>
      <c r="B674" t="s">
        <v>1565</v>
      </c>
      <c r="C674" t="s">
        <v>127</v>
      </c>
      <c r="D674" t="s">
        <v>1563</v>
      </c>
      <c r="E674" t="s">
        <v>120</v>
      </c>
      <c r="F674" t="s">
        <v>120</v>
      </c>
      <c r="G674" t="s">
        <v>120</v>
      </c>
      <c r="H674" t="s">
        <v>120</v>
      </c>
      <c r="I674" t="s">
        <v>120</v>
      </c>
      <c r="J674" t="s">
        <v>120</v>
      </c>
      <c r="K674" t="s">
        <v>120</v>
      </c>
      <c r="L674" t="s">
        <v>120</v>
      </c>
      <c r="M674" t="s">
        <v>120</v>
      </c>
      <c r="N674" t="s">
        <v>120</v>
      </c>
      <c r="O674" t="s">
        <v>120</v>
      </c>
      <c r="P674" t="s">
        <v>120</v>
      </c>
      <c r="Q674" t="s">
        <v>120</v>
      </c>
      <c r="R674" t="s">
        <v>120</v>
      </c>
      <c r="S674" t="s">
        <v>120</v>
      </c>
      <c r="T674" t="s">
        <v>120</v>
      </c>
      <c r="U674" t="s">
        <v>120</v>
      </c>
      <c r="V674" t="s">
        <v>120</v>
      </c>
      <c r="W674" t="s">
        <v>120</v>
      </c>
      <c r="X674" t="s">
        <v>120</v>
      </c>
      <c r="Y674" t="s">
        <v>120</v>
      </c>
      <c r="Z674" t="s">
        <v>120</v>
      </c>
      <c r="AA674" t="s">
        <v>120</v>
      </c>
      <c r="AB674" t="s">
        <v>120</v>
      </c>
      <c r="AC674" t="s">
        <v>120</v>
      </c>
      <c r="AD674" t="s">
        <v>120</v>
      </c>
      <c r="AE674" t="s">
        <v>120</v>
      </c>
      <c r="AF674" t="s">
        <v>120</v>
      </c>
      <c r="AG674" t="s">
        <v>120</v>
      </c>
      <c r="AH674" t="s">
        <v>120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33.43</v>
      </c>
      <c r="AP674">
        <v>0</v>
      </c>
      <c r="AQ674">
        <v>0</v>
      </c>
      <c r="AR674">
        <v>75.06</v>
      </c>
      <c r="AS674">
        <v>0</v>
      </c>
    </row>
    <row r="675" spans="1:45" x14ac:dyDescent="0.25">
      <c r="A675" t="s">
        <v>1566</v>
      </c>
      <c r="B675" t="s">
        <v>1567</v>
      </c>
      <c r="C675" t="s">
        <v>130</v>
      </c>
      <c r="D675" t="s">
        <v>1563</v>
      </c>
      <c r="E675" t="s">
        <v>120</v>
      </c>
      <c r="F675" t="s">
        <v>120</v>
      </c>
      <c r="G675" t="s">
        <v>120</v>
      </c>
      <c r="H675" t="s">
        <v>124</v>
      </c>
      <c r="I675" t="s">
        <v>124</v>
      </c>
      <c r="J675" t="s">
        <v>341</v>
      </c>
      <c r="K675" t="s">
        <v>120</v>
      </c>
      <c r="L675" t="s">
        <v>120</v>
      </c>
      <c r="M675" t="s">
        <v>120</v>
      </c>
      <c r="N675" t="s">
        <v>120</v>
      </c>
      <c r="O675" t="s">
        <v>120</v>
      </c>
      <c r="P675" t="s">
        <v>120</v>
      </c>
      <c r="Q675" t="s">
        <v>141</v>
      </c>
      <c r="R675" t="s">
        <v>120</v>
      </c>
      <c r="S675" t="s">
        <v>120</v>
      </c>
      <c r="T675" t="s">
        <v>120</v>
      </c>
      <c r="U675" t="s">
        <v>120</v>
      </c>
      <c r="V675" t="s">
        <v>120</v>
      </c>
      <c r="W675" t="s">
        <v>120</v>
      </c>
      <c r="X675" t="s">
        <v>120</v>
      </c>
      <c r="Y675" t="s">
        <v>120</v>
      </c>
      <c r="Z675" t="s">
        <v>120</v>
      </c>
      <c r="AA675" t="s">
        <v>120</v>
      </c>
      <c r="AB675" t="s">
        <v>120</v>
      </c>
      <c r="AC675" t="s">
        <v>120</v>
      </c>
      <c r="AD675" t="s">
        <v>120</v>
      </c>
      <c r="AE675" t="s">
        <v>120</v>
      </c>
      <c r="AF675" t="s">
        <v>120</v>
      </c>
      <c r="AG675" t="s">
        <v>120</v>
      </c>
      <c r="AH675" t="s">
        <v>120</v>
      </c>
      <c r="AJ675">
        <v>0</v>
      </c>
      <c r="AK675">
        <v>20</v>
      </c>
      <c r="AL675">
        <v>12</v>
      </c>
      <c r="AM675">
        <v>8</v>
      </c>
      <c r="AN675">
        <v>0</v>
      </c>
      <c r="AO675">
        <v>7500</v>
      </c>
      <c r="AP675">
        <v>20</v>
      </c>
      <c r="AQ675">
        <v>0</v>
      </c>
      <c r="AR675">
        <v>126.56250000000001</v>
      </c>
      <c r="AS675">
        <v>1875</v>
      </c>
    </row>
    <row r="676" spans="1:45" x14ac:dyDescent="0.25">
      <c r="A676" t="s">
        <v>1568</v>
      </c>
      <c r="B676" t="s">
        <v>1569</v>
      </c>
      <c r="C676" t="s">
        <v>147</v>
      </c>
      <c r="D676" t="s">
        <v>1563</v>
      </c>
      <c r="E676" t="s">
        <v>120</v>
      </c>
      <c r="F676" t="s">
        <v>120</v>
      </c>
      <c r="G676" t="s">
        <v>120</v>
      </c>
      <c r="H676" t="s">
        <v>124</v>
      </c>
      <c r="I676" t="s">
        <v>120</v>
      </c>
      <c r="J676" t="s">
        <v>341</v>
      </c>
      <c r="K676" t="s">
        <v>120</v>
      </c>
      <c r="L676" t="s">
        <v>120</v>
      </c>
      <c r="M676" t="s">
        <v>120</v>
      </c>
      <c r="N676" t="s">
        <v>120</v>
      </c>
      <c r="O676" t="s">
        <v>120</v>
      </c>
      <c r="P676" t="s">
        <v>120</v>
      </c>
      <c r="Q676" t="s">
        <v>141</v>
      </c>
      <c r="R676" t="s">
        <v>120</v>
      </c>
      <c r="S676" t="s">
        <v>120</v>
      </c>
      <c r="T676" t="s">
        <v>120</v>
      </c>
      <c r="U676" t="s">
        <v>120</v>
      </c>
      <c r="V676" t="s">
        <v>120</v>
      </c>
      <c r="W676" t="s">
        <v>598</v>
      </c>
      <c r="X676" t="s">
        <v>120</v>
      </c>
      <c r="Y676" t="s">
        <v>120</v>
      </c>
      <c r="Z676" t="s">
        <v>120</v>
      </c>
      <c r="AA676" t="s">
        <v>120</v>
      </c>
      <c r="AB676" t="s">
        <v>120</v>
      </c>
      <c r="AC676" t="s">
        <v>120</v>
      </c>
      <c r="AD676" t="s">
        <v>120</v>
      </c>
      <c r="AE676" t="s">
        <v>120</v>
      </c>
      <c r="AF676" t="s">
        <v>120</v>
      </c>
      <c r="AG676" t="s">
        <v>120</v>
      </c>
      <c r="AH676" t="s">
        <v>120</v>
      </c>
      <c r="AJ676">
        <v>0</v>
      </c>
      <c r="AK676">
        <v>22</v>
      </c>
      <c r="AL676">
        <v>12</v>
      </c>
      <c r="AM676">
        <v>10</v>
      </c>
      <c r="AN676">
        <v>0</v>
      </c>
      <c r="AO676">
        <v>31.55</v>
      </c>
      <c r="AP676">
        <v>22</v>
      </c>
      <c r="AQ676">
        <v>0</v>
      </c>
      <c r="AR676">
        <v>70.2</v>
      </c>
      <c r="AS676">
        <v>1388.2</v>
      </c>
    </row>
    <row r="677" spans="1:45" x14ac:dyDescent="0.25">
      <c r="A677" t="s">
        <v>1570</v>
      </c>
      <c r="B677" t="s">
        <v>1571</v>
      </c>
      <c r="C677" t="s">
        <v>130</v>
      </c>
      <c r="D677" t="s">
        <v>1572</v>
      </c>
      <c r="E677" t="s">
        <v>120</v>
      </c>
      <c r="F677" t="s">
        <v>120</v>
      </c>
      <c r="G677" t="s">
        <v>120</v>
      </c>
      <c r="H677" t="s">
        <v>120</v>
      </c>
      <c r="I677" t="s">
        <v>120</v>
      </c>
      <c r="J677" t="s">
        <v>120</v>
      </c>
      <c r="K677" t="s">
        <v>120</v>
      </c>
      <c r="L677" t="s">
        <v>120</v>
      </c>
      <c r="M677" t="s">
        <v>120</v>
      </c>
      <c r="N677" t="s">
        <v>120</v>
      </c>
      <c r="O677" t="s">
        <v>120</v>
      </c>
      <c r="P677" t="s">
        <v>120</v>
      </c>
      <c r="Q677" t="s">
        <v>120</v>
      </c>
      <c r="R677" t="s">
        <v>120</v>
      </c>
      <c r="S677" t="s">
        <v>120</v>
      </c>
      <c r="T677" t="s">
        <v>120</v>
      </c>
      <c r="U677" t="s">
        <v>120</v>
      </c>
      <c r="V677" t="s">
        <v>120</v>
      </c>
      <c r="W677" t="s">
        <v>120</v>
      </c>
      <c r="X677" t="s">
        <v>120</v>
      </c>
      <c r="Y677" t="s">
        <v>120</v>
      </c>
      <c r="Z677" t="s">
        <v>120</v>
      </c>
      <c r="AA677" t="s">
        <v>120</v>
      </c>
      <c r="AB677" t="s">
        <v>120</v>
      </c>
      <c r="AC677" t="s">
        <v>120</v>
      </c>
      <c r="AD677" t="s">
        <v>120</v>
      </c>
      <c r="AE677" t="s">
        <v>120</v>
      </c>
      <c r="AF677" t="s">
        <v>120</v>
      </c>
      <c r="AG677" t="s">
        <v>120</v>
      </c>
      <c r="AH677" t="s">
        <v>120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7500</v>
      </c>
      <c r="AP677">
        <v>0</v>
      </c>
      <c r="AQ677">
        <v>0</v>
      </c>
      <c r="AR677">
        <v>126.56250000000001</v>
      </c>
      <c r="AS677">
        <v>0</v>
      </c>
    </row>
    <row r="678" spans="1:45" x14ac:dyDescent="0.25">
      <c r="A678" t="s">
        <v>1573</v>
      </c>
      <c r="B678" t="s">
        <v>1574</v>
      </c>
      <c r="C678" t="s">
        <v>147</v>
      </c>
      <c r="D678" t="s">
        <v>1572</v>
      </c>
      <c r="E678" t="s">
        <v>120</v>
      </c>
      <c r="F678" t="s">
        <v>120</v>
      </c>
      <c r="G678" t="s">
        <v>120</v>
      </c>
      <c r="H678" t="s">
        <v>120</v>
      </c>
      <c r="I678" t="s">
        <v>120</v>
      </c>
      <c r="J678" t="s">
        <v>120</v>
      </c>
      <c r="K678" t="s">
        <v>120</v>
      </c>
      <c r="L678" t="s">
        <v>120</v>
      </c>
      <c r="M678" t="s">
        <v>120</v>
      </c>
      <c r="N678" t="s">
        <v>120</v>
      </c>
      <c r="O678" t="s">
        <v>120</v>
      </c>
      <c r="P678" t="s">
        <v>120</v>
      </c>
      <c r="Q678" t="s">
        <v>120</v>
      </c>
      <c r="R678" t="s">
        <v>120</v>
      </c>
      <c r="S678" t="s">
        <v>120</v>
      </c>
      <c r="T678" t="s">
        <v>120</v>
      </c>
      <c r="U678" t="s">
        <v>120</v>
      </c>
      <c r="V678" t="s">
        <v>120</v>
      </c>
      <c r="W678" t="s">
        <v>120</v>
      </c>
      <c r="X678" t="s">
        <v>120</v>
      </c>
      <c r="Y678" t="s">
        <v>120</v>
      </c>
      <c r="Z678" t="s">
        <v>120</v>
      </c>
      <c r="AA678" t="s">
        <v>120</v>
      </c>
      <c r="AB678" t="s">
        <v>120</v>
      </c>
      <c r="AC678" t="s">
        <v>120</v>
      </c>
      <c r="AD678" t="s">
        <v>120</v>
      </c>
      <c r="AE678" t="s">
        <v>120</v>
      </c>
      <c r="AF678" t="s">
        <v>120</v>
      </c>
      <c r="AG678" t="s">
        <v>120</v>
      </c>
      <c r="AH678" t="s">
        <v>120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31.55</v>
      </c>
      <c r="AP678">
        <v>0</v>
      </c>
      <c r="AQ678">
        <v>0</v>
      </c>
      <c r="AR678">
        <v>70.2</v>
      </c>
      <c r="AS678">
        <v>0</v>
      </c>
    </row>
    <row r="679" spans="1:45" x14ac:dyDescent="0.25">
      <c r="A679" t="s">
        <v>1575</v>
      </c>
      <c r="B679" t="s">
        <v>1576</v>
      </c>
      <c r="C679" t="s">
        <v>147</v>
      </c>
      <c r="D679" t="s">
        <v>1572</v>
      </c>
      <c r="E679" t="s">
        <v>135</v>
      </c>
      <c r="F679" t="s">
        <v>120</v>
      </c>
      <c r="G679" t="s">
        <v>120</v>
      </c>
      <c r="H679" t="s">
        <v>120</v>
      </c>
      <c r="I679" t="s">
        <v>120</v>
      </c>
      <c r="J679" t="s">
        <v>141</v>
      </c>
      <c r="K679" t="s">
        <v>120</v>
      </c>
      <c r="L679" t="s">
        <v>120</v>
      </c>
      <c r="M679" t="s">
        <v>120</v>
      </c>
      <c r="N679" t="s">
        <v>120</v>
      </c>
      <c r="O679" t="s">
        <v>120</v>
      </c>
      <c r="P679" t="s">
        <v>120</v>
      </c>
      <c r="Q679" t="s">
        <v>120</v>
      </c>
      <c r="R679" t="s">
        <v>120</v>
      </c>
      <c r="S679" t="s">
        <v>120</v>
      </c>
      <c r="T679" t="s">
        <v>120</v>
      </c>
      <c r="U679" t="s">
        <v>120</v>
      </c>
      <c r="V679" t="s">
        <v>141</v>
      </c>
      <c r="W679" t="s">
        <v>120</v>
      </c>
      <c r="X679" t="s">
        <v>120</v>
      </c>
      <c r="Y679" t="s">
        <v>141</v>
      </c>
      <c r="Z679" t="s">
        <v>120</v>
      </c>
      <c r="AA679" t="s">
        <v>120</v>
      </c>
      <c r="AB679" t="s">
        <v>120</v>
      </c>
      <c r="AC679" t="s">
        <v>135</v>
      </c>
      <c r="AD679" t="s">
        <v>120</v>
      </c>
      <c r="AE679" t="s">
        <v>120</v>
      </c>
      <c r="AF679" t="s">
        <v>120</v>
      </c>
      <c r="AG679" t="s">
        <v>120</v>
      </c>
      <c r="AH679" t="s">
        <v>120</v>
      </c>
      <c r="AJ679">
        <v>0</v>
      </c>
      <c r="AK679">
        <v>40</v>
      </c>
      <c r="AL679">
        <v>24</v>
      </c>
      <c r="AM679">
        <v>16</v>
      </c>
      <c r="AN679">
        <v>0</v>
      </c>
      <c r="AO679">
        <v>31.55</v>
      </c>
      <c r="AP679">
        <v>40</v>
      </c>
      <c r="AQ679">
        <v>0</v>
      </c>
      <c r="AR679">
        <v>70.2</v>
      </c>
      <c r="AS679">
        <v>2524</v>
      </c>
    </row>
    <row r="680" spans="1:45" x14ac:dyDescent="0.25">
      <c r="A680" t="s">
        <v>1577</v>
      </c>
      <c r="B680" t="s">
        <v>1578</v>
      </c>
      <c r="C680" t="s">
        <v>147</v>
      </c>
      <c r="D680" t="s">
        <v>1572</v>
      </c>
      <c r="E680" t="s">
        <v>120</v>
      </c>
      <c r="F680" t="s">
        <v>120</v>
      </c>
      <c r="G680" t="s">
        <v>120</v>
      </c>
      <c r="H680" t="s">
        <v>120</v>
      </c>
      <c r="I680" t="s">
        <v>120</v>
      </c>
      <c r="J680" t="s">
        <v>120</v>
      </c>
      <c r="K680" t="s">
        <v>120</v>
      </c>
      <c r="L680" t="s">
        <v>120</v>
      </c>
      <c r="M680" t="s">
        <v>120</v>
      </c>
      <c r="N680" t="s">
        <v>120</v>
      </c>
      <c r="O680" t="s">
        <v>120</v>
      </c>
      <c r="P680" t="s">
        <v>120</v>
      </c>
      <c r="Q680" t="s">
        <v>120</v>
      </c>
      <c r="R680" t="s">
        <v>120</v>
      </c>
      <c r="S680" t="s">
        <v>120</v>
      </c>
      <c r="T680" t="s">
        <v>120</v>
      </c>
      <c r="U680" t="s">
        <v>120</v>
      </c>
      <c r="V680" t="s">
        <v>120</v>
      </c>
      <c r="W680" t="s">
        <v>120</v>
      </c>
      <c r="X680" t="s">
        <v>120</v>
      </c>
      <c r="Y680" t="s">
        <v>141</v>
      </c>
      <c r="Z680" t="s">
        <v>120</v>
      </c>
      <c r="AA680" t="s">
        <v>120</v>
      </c>
      <c r="AB680" t="s">
        <v>120</v>
      </c>
      <c r="AC680" t="s">
        <v>120</v>
      </c>
      <c r="AD680" t="s">
        <v>120</v>
      </c>
      <c r="AE680" t="s">
        <v>120</v>
      </c>
      <c r="AF680" t="s">
        <v>120</v>
      </c>
      <c r="AG680" t="s">
        <v>120</v>
      </c>
      <c r="AH680" t="s">
        <v>120</v>
      </c>
      <c r="AJ680">
        <v>0</v>
      </c>
      <c r="AK680">
        <v>8</v>
      </c>
      <c r="AL680">
        <v>8</v>
      </c>
      <c r="AM680">
        <v>0</v>
      </c>
      <c r="AN680">
        <v>0</v>
      </c>
      <c r="AO680">
        <v>31.55</v>
      </c>
      <c r="AP680">
        <v>8</v>
      </c>
      <c r="AQ680">
        <v>0</v>
      </c>
      <c r="AR680">
        <v>70.2</v>
      </c>
      <c r="AS680">
        <v>504.8</v>
      </c>
    </row>
    <row r="681" spans="1:45" x14ac:dyDescent="0.25">
      <c r="A681" t="s">
        <v>1579</v>
      </c>
      <c r="B681" t="s">
        <v>1580</v>
      </c>
      <c r="C681" t="s">
        <v>147</v>
      </c>
      <c r="D681" t="s">
        <v>1572</v>
      </c>
      <c r="E681" t="s">
        <v>120</v>
      </c>
      <c r="F681" t="s">
        <v>120</v>
      </c>
      <c r="G681" t="s">
        <v>120</v>
      </c>
      <c r="H681" t="s">
        <v>120</v>
      </c>
      <c r="I681" t="s">
        <v>120</v>
      </c>
      <c r="J681" t="s">
        <v>120</v>
      </c>
      <c r="K681" t="s">
        <v>120</v>
      </c>
      <c r="L681" t="s">
        <v>120</v>
      </c>
      <c r="M681" t="s">
        <v>120</v>
      </c>
      <c r="N681" t="s">
        <v>120</v>
      </c>
      <c r="O681" t="s">
        <v>120</v>
      </c>
      <c r="P681" t="s">
        <v>120</v>
      </c>
      <c r="Q681" t="s">
        <v>120</v>
      </c>
      <c r="R681" t="s">
        <v>120</v>
      </c>
      <c r="S681" t="s">
        <v>120</v>
      </c>
      <c r="T681" t="s">
        <v>120</v>
      </c>
      <c r="U681" t="s">
        <v>120</v>
      </c>
      <c r="V681" t="s">
        <v>120</v>
      </c>
      <c r="W681" t="s">
        <v>120</v>
      </c>
      <c r="X681" t="s">
        <v>120</v>
      </c>
      <c r="Y681" t="s">
        <v>120</v>
      </c>
      <c r="Z681" t="s">
        <v>120</v>
      </c>
      <c r="AA681" t="s">
        <v>120</v>
      </c>
      <c r="AB681" t="s">
        <v>120</v>
      </c>
      <c r="AC681" t="s">
        <v>120</v>
      </c>
      <c r="AD681" t="s">
        <v>120</v>
      </c>
      <c r="AE681" t="s">
        <v>120</v>
      </c>
      <c r="AF681" t="s">
        <v>120</v>
      </c>
      <c r="AG681" t="s">
        <v>120</v>
      </c>
      <c r="AH681" t="s">
        <v>120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31.55</v>
      </c>
      <c r="AP681">
        <v>0</v>
      </c>
      <c r="AQ681">
        <v>0</v>
      </c>
      <c r="AR681">
        <v>70.2</v>
      </c>
      <c r="AS681">
        <v>0</v>
      </c>
    </row>
    <row r="682" spans="1:45" x14ac:dyDescent="0.25">
      <c r="A682" t="s">
        <v>1581</v>
      </c>
      <c r="B682" t="s">
        <v>1582</v>
      </c>
      <c r="C682" t="s">
        <v>147</v>
      </c>
      <c r="D682" t="s">
        <v>1572</v>
      </c>
      <c r="E682" t="s">
        <v>120</v>
      </c>
      <c r="F682" t="s">
        <v>120</v>
      </c>
      <c r="G682" t="s">
        <v>120</v>
      </c>
      <c r="H682" t="s">
        <v>120</v>
      </c>
      <c r="I682" t="s">
        <v>120</v>
      </c>
      <c r="J682" t="s">
        <v>120</v>
      </c>
      <c r="K682" t="s">
        <v>120</v>
      </c>
      <c r="L682" t="s">
        <v>120</v>
      </c>
      <c r="M682" t="s">
        <v>120</v>
      </c>
      <c r="N682" t="s">
        <v>120</v>
      </c>
      <c r="O682" t="s">
        <v>120</v>
      </c>
      <c r="P682" t="s">
        <v>120</v>
      </c>
      <c r="Q682" t="s">
        <v>120</v>
      </c>
      <c r="R682" t="s">
        <v>120</v>
      </c>
      <c r="S682" t="s">
        <v>120</v>
      </c>
      <c r="T682" t="s">
        <v>120</v>
      </c>
      <c r="U682" t="s">
        <v>120</v>
      </c>
      <c r="V682" t="s">
        <v>120</v>
      </c>
      <c r="W682" t="s">
        <v>120</v>
      </c>
      <c r="X682" t="s">
        <v>120</v>
      </c>
      <c r="Y682" t="s">
        <v>120</v>
      </c>
      <c r="Z682" t="s">
        <v>120</v>
      </c>
      <c r="AA682" t="s">
        <v>120</v>
      </c>
      <c r="AB682" t="s">
        <v>120</v>
      </c>
      <c r="AC682" t="s">
        <v>120</v>
      </c>
      <c r="AD682" t="s">
        <v>120</v>
      </c>
      <c r="AE682" t="s">
        <v>120</v>
      </c>
      <c r="AF682" t="s">
        <v>120</v>
      </c>
      <c r="AG682" t="s">
        <v>120</v>
      </c>
      <c r="AH682" t="s">
        <v>120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31.55</v>
      </c>
      <c r="AP682">
        <v>0</v>
      </c>
      <c r="AQ682">
        <v>0</v>
      </c>
      <c r="AR682">
        <v>70.2</v>
      </c>
      <c r="AS682">
        <v>0</v>
      </c>
    </row>
    <row r="683" spans="1:45" x14ac:dyDescent="0.25">
      <c r="A683" t="s">
        <v>1583</v>
      </c>
      <c r="B683" t="s">
        <v>1584</v>
      </c>
      <c r="C683" t="s">
        <v>147</v>
      </c>
      <c r="D683" t="s">
        <v>1572</v>
      </c>
      <c r="E683" t="s">
        <v>120</v>
      </c>
      <c r="F683" t="s">
        <v>120</v>
      </c>
      <c r="G683" t="s">
        <v>120</v>
      </c>
      <c r="H683" t="s">
        <v>120</v>
      </c>
      <c r="I683" t="s">
        <v>120</v>
      </c>
      <c r="J683" t="s">
        <v>120</v>
      </c>
      <c r="K683" t="s">
        <v>120</v>
      </c>
      <c r="L683" t="s">
        <v>120</v>
      </c>
      <c r="M683" t="s">
        <v>120</v>
      </c>
      <c r="N683" t="s">
        <v>120</v>
      </c>
      <c r="O683" t="s">
        <v>120</v>
      </c>
      <c r="P683" t="s">
        <v>120</v>
      </c>
      <c r="Q683" t="s">
        <v>120</v>
      </c>
      <c r="R683" t="s">
        <v>120</v>
      </c>
      <c r="S683" t="s">
        <v>120</v>
      </c>
      <c r="T683" t="s">
        <v>120</v>
      </c>
      <c r="U683" t="s">
        <v>120</v>
      </c>
      <c r="V683" t="s">
        <v>120</v>
      </c>
      <c r="W683" t="s">
        <v>120</v>
      </c>
      <c r="X683" t="s">
        <v>120</v>
      </c>
      <c r="Y683" t="s">
        <v>141</v>
      </c>
      <c r="Z683" t="s">
        <v>120</v>
      </c>
      <c r="AA683" t="s">
        <v>120</v>
      </c>
      <c r="AB683" t="s">
        <v>120</v>
      </c>
      <c r="AC683" t="s">
        <v>120</v>
      </c>
      <c r="AD683" t="s">
        <v>120</v>
      </c>
      <c r="AE683" t="s">
        <v>120</v>
      </c>
      <c r="AF683" t="s">
        <v>120</v>
      </c>
      <c r="AG683" t="s">
        <v>120</v>
      </c>
      <c r="AH683" t="s">
        <v>120</v>
      </c>
      <c r="AJ683">
        <v>0</v>
      </c>
      <c r="AK683">
        <v>8</v>
      </c>
      <c r="AL683">
        <v>8</v>
      </c>
      <c r="AM683">
        <v>0</v>
      </c>
      <c r="AN683">
        <v>0</v>
      </c>
      <c r="AO683">
        <v>31.55</v>
      </c>
      <c r="AP683">
        <v>8</v>
      </c>
      <c r="AQ683">
        <v>0</v>
      </c>
      <c r="AR683">
        <v>70.2</v>
      </c>
      <c r="AS683">
        <v>504.8</v>
      </c>
    </row>
    <row r="684" spans="1:45" x14ac:dyDescent="0.25">
      <c r="A684" t="s">
        <v>1585</v>
      </c>
      <c r="B684" t="s">
        <v>1586</v>
      </c>
      <c r="C684" t="s">
        <v>147</v>
      </c>
      <c r="D684" t="s">
        <v>1572</v>
      </c>
      <c r="E684" t="s">
        <v>120</v>
      </c>
      <c r="F684" t="s">
        <v>120</v>
      </c>
      <c r="G684" t="s">
        <v>120</v>
      </c>
      <c r="H684" t="s">
        <v>120</v>
      </c>
      <c r="I684" t="s">
        <v>120</v>
      </c>
      <c r="J684" t="s">
        <v>120</v>
      </c>
      <c r="K684" t="s">
        <v>120</v>
      </c>
      <c r="L684" t="s">
        <v>120</v>
      </c>
      <c r="M684" t="s">
        <v>120</v>
      </c>
      <c r="N684" t="s">
        <v>120</v>
      </c>
      <c r="O684" t="s">
        <v>120</v>
      </c>
      <c r="P684" t="s">
        <v>120</v>
      </c>
      <c r="Q684" t="s">
        <v>120</v>
      </c>
      <c r="R684" t="s">
        <v>120</v>
      </c>
      <c r="S684" t="s">
        <v>120</v>
      </c>
      <c r="T684" t="s">
        <v>120</v>
      </c>
      <c r="U684" t="s">
        <v>120</v>
      </c>
      <c r="V684" t="s">
        <v>120</v>
      </c>
      <c r="W684" t="s">
        <v>120</v>
      </c>
      <c r="X684" t="s">
        <v>120</v>
      </c>
      <c r="Y684" t="s">
        <v>120</v>
      </c>
      <c r="Z684" t="s">
        <v>120</v>
      </c>
      <c r="AA684" t="s">
        <v>120</v>
      </c>
      <c r="AB684" t="s">
        <v>135</v>
      </c>
      <c r="AC684" t="s">
        <v>135</v>
      </c>
      <c r="AD684" t="s">
        <v>120</v>
      </c>
      <c r="AE684" t="s">
        <v>120</v>
      </c>
      <c r="AF684" t="s">
        <v>120</v>
      </c>
      <c r="AG684" t="s">
        <v>120</v>
      </c>
      <c r="AH684" t="s">
        <v>120</v>
      </c>
      <c r="AJ684">
        <v>0</v>
      </c>
      <c r="AK684">
        <v>16</v>
      </c>
      <c r="AL684">
        <v>0</v>
      </c>
      <c r="AM684">
        <v>16</v>
      </c>
      <c r="AN684">
        <v>0</v>
      </c>
      <c r="AO684">
        <v>31.55</v>
      </c>
      <c r="AP684">
        <v>16</v>
      </c>
      <c r="AQ684">
        <v>0</v>
      </c>
      <c r="AR684">
        <v>70.2</v>
      </c>
      <c r="AS684">
        <v>1009.6</v>
      </c>
    </row>
    <row r="685" spans="1:45" x14ac:dyDescent="0.25">
      <c r="A685" t="s">
        <v>1587</v>
      </c>
      <c r="B685" t="s">
        <v>1588</v>
      </c>
      <c r="C685" t="s">
        <v>147</v>
      </c>
      <c r="D685" t="s">
        <v>1572</v>
      </c>
      <c r="E685" t="s">
        <v>120</v>
      </c>
      <c r="F685" t="s">
        <v>120</v>
      </c>
      <c r="G685" t="s">
        <v>120</v>
      </c>
      <c r="H685" t="s">
        <v>120</v>
      </c>
      <c r="I685" t="s">
        <v>120</v>
      </c>
      <c r="J685" t="s">
        <v>120</v>
      </c>
      <c r="K685" t="s">
        <v>120</v>
      </c>
      <c r="L685" t="s">
        <v>120</v>
      </c>
      <c r="M685" t="s">
        <v>120</v>
      </c>
      <c r="N685" t="s">
        <v>120</v>
      </c>
      <c r="O685" t="s">
        <v>120</v>
      </c>
      <c r="P685" t="s">
        <v>120</v>
      </c>
      <c r="Q685" t="s">
        <v>120</v>
      </c>
      <c r="R685" t="s">
        <v>120</v>
      </c>
      <c r="S685" t="s">
        <v>120</v>
      </c>
      <c r="T685" t="s">
        <v>120</v>
      </c>
      <c r="U685" t="s">
        <v>120</v>
      </c>
      <c r="V685" t="s">
        <v>120</v>
      </c>
      <c r="W685" t="s">
        <v>120</v>
      </c>
      <c r="X685" t="s">
        <v>120</v>
      </c>
      <c r="Y685" t="s">
        <v>120</v>
      </c>
      <c r="Z685" t="s">
        <v>120</v>
      </c>
      <c r="AA685" t="s">
        <v>120</v>
      </c>
      <c r="AB685" t="s">
        <v>120</v>
      </c>
      <c r="AC685" t="s">
        <v>120</v>
      </c>
      <c r="AD685" t="s">
        <v>120</v>
      </c>
      <c r="AE685" t="s">
        <v>120</v>
      </c>
      <c r="AF685" t="s">
        <v>120</v>
      </c>
      <c r="AG685" t="s">
        <v>120</v>
      </c>
      <c r="AH685" t="s">
        <v>120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31.55</v>
      </c>
      <c r="AP685">
        <v>0</v>
      </c>
      <c r="AQ685">
        <v>0</v>
      </c>
      <c r="AR685">
        <v>70.2</v>
      </c>
      <c r="AS685">
        <v>0</v>
      </c>
    </row>
    <row r="686" spans="1:45" x14ac:dyDescent="0.25">
      <c r="A686" t="s">
        <v>1589</v>
      </c>
      <c r="B686" t="s">
        <v>1590</v>
      </c>
      <c r="C686" t="s">
        <v>147</v>
      </c>
      <c r="D686" t="s">
        <v>1572</v>
      </c>
      <c r="E686" t="s">
        <v>120</v>
      </c>
      <c r="F686" t="s">
        <v>120</v>
      </c>
      <c r="G686" t="s">
        <v>120</v>
      </c>
      <c r="H686" t="s">
        <v>120</v>
      </c>
      <c r="I686" t="s">
        <v>120</v>
      </c>
      <c r="J686" t="s">
        <v>120</v>
      </c>
      <c r="K686" t="s">
        <v>120</v>
      </c>
      <c r="L686" t="s">
        <v>120</v>
      </c>
      <c r="M686" t="s">
        <v>120</v>
      </c>
      <c r="N686" t="s">
        <v>120</v>
      </c>
      <c r="O686" t="s">
        <v>120</v>
      </c>
      <c r="P686" t="s">
        <v>120</v>
      </c>
      <c r="Q686" t="s">
        <v>120</v>
      </c>
      <c r="R686" t="s">
        <v>120</v>
      </c>
      <c r="S686" t="s">
        <v>120</v>
      </c>
      <c r="T686" t="s">
        <v>120</v>
      </c>
      <c r="U686" t="s">
        <v>120</v>
      </c>
      <c r="V686" t="s">
        <v>120</v>
      </c>
      <c r="W686" t="s">
        <v>120</v>
      </c>
      <c r="X686" t="s">
        <v>120</v>
      </c>
      <c r="Y686" t="s">
        <v>120</v>
      </c>
      <c r="Z686" t="s">
        <v>120</v>
      </c>
      <c r="AA686" t="s">
        <v>120</v>
      </c>
      <c r="AB686" t="s">
        <v>120</v>
      </c>
      <c r="AC686" t="s">
        <v>120</v>
      </c>
      <c r="AD686" t="s">
        <v>120</v>
      </c>
      <c r="AE686" t="s">
        <v>120</v>
      </c>
      <c r="AF686" t="s">
        <v>120</v>
      </c>
      <c r="AG686" t="s">
        <v>120</v>
      </c>
      <c r="AH686" t="s">
        <v>120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31.55</v>
      </c>
      <c r="AP686">
        <v>0</v>
      </c>
      <c r="AQ686">
        <v>0</v>
      </c>
      <c r="AR686">
        <v>70.2</v>
      </c>
      <c r="AS686">
        <v>0</v>
      </c>
    </row>
    <row r="687" spans="1:45" x14ac:dyDescent="0.25">
      <c r="A687" t="s">
        <v>1591</v>
      </c>
      <c r="B687" t="s">
        <v>1592</v>
      </c>
      <c r="C687" t="s">
        <v>147</v>
      </c>
      <c r="D687" t="s">
        <v>1572</v>
      </c>
      <c r="E687" t="s">
        <v>120</v>
      </c>
      <c r="F687" t="s">
        <v>120</v>
      </c>
      <c r="G687" t="s">
        <v>120</v>
      </c>
      <c r="H687" t="s">
        <v>120</v>
      </c>
      <c r="I687" t="s">
        <v>120</v>
      </c>
      <c r="J687" t="s">
        <v>120</v>
      </c>
      <c r="K687" t="s">
        <v>120</v>
      </c>
      <c r="L687" t="s">
        <v>120</v>
      </c>
      <c r="M687" t="s">
        <v>120</v>
      </c>
      <c r="N687" t="s">
        <v>120</v>
      </c>
      <c r="O687" t="s">
        <v>120</v>
      </c>
      <c r="P687" t="s">
        <v>120</v>
      </c>
      <c r="Q687" t="s">
        <v>120</v>
      </c>
      <c r="R687" t="s">
        <v>120</v>
      </c>
      <c r="S687" t="s">
        <v>120</v>
      </c>
      <c r="T687" t="s">
        <v>120</v>
      </c>
      <c r="U687" t="s">
        <v>120</v>
      </c>
      <c r="V687" t="s">
        <v>120</v>
      </c>
      <c r="W687" t="s">
        <v>120</v>
      </c>
      <c r="X687" t="s">
        <v>120</v>
      </c>
      <c r="Y687" t="s">
        <v>120</v>
      </c>
      <c r="Z687" t="s">
        <v>120</v>
      </c>
      <c r="AA687" t="s">
        <v>120</v>
      </c>
      <c r="AB687" t="s">
        <v>120</v>
      </c>
      <c r="AC687" t="s">
        <v>120</v>
      </c>
      <c r="AD687" t="s">
        <v>120</v>
      </c>
      <c r="AE687" t="s">
        <v>120</v>
      </c>
      <c r="AF687" t="s">
        <v>120</v>
      </c>
      <c r="AG687" t="s">
        <v>120</v>
      </c>
      <c r="AH687" t="s">
        <v>120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31.55</v>
      </c>
      <c r="AP687">
        <v>0</v>
      </c>
      <c r="AQ687">
        <v>0</v>
      </c>
      <c r="AR687">
        <v>70.2</v>
      </c>
      <c r="AS687">
        <v>0</v>
      </c>
    </row>
    <row r="688" spans="1:45" x14ac:dyDescent="0.25">
      <c r="A688" t="s">
        <v>1593</v>
      </c>
      <c r="B688" t="s">
        <v>1594</v>
      </c>
      <c r="C688" t="s">
        <v>147</v>
      </c>
      <c r="D688" t="s">
        <v>1572</v>
      </c>
      <c r="E688" t="s">
        <v>120</v>
      </c>
      <c r="F688" t="s">
        <v>120</v>
      </c>
      <c r="G688" t="s">
        <v>120</v>
      </c>
      <c r="H688" t="s">
        <v>120</v>
      </c>
      <c r="I688" t="s">
        <v>120</v>
      </c>
      <c r="J688" t="s">
        <v>120</v>
      </c>
      <c r="K688" t="s">
        <v>120</v>
      </c>
      <c r="L688" t="s">
        <v>120</v>
      </c>
      <c r="M688" t="s">
        <v>120</v>
      </c>
      <c r="N688" t="s">
        <v>120</v>
      </c>
      <c r="O688" t="s">
        <v>120</v>
      </c>
      <c r="P688" t="s">
        <v>120</v>
      </c>
      <c r="Q688" t="s">
        <v>120</v>
      </c>
      <c r="R688" t="s">
        <v>120</v>
      </c>
      <c r="S688" t="s">
        <v>120</v>
      </c>
      <c r="T688" t="s">
        <v>120</v>
      </c>
      <c r="U688" t="s">
        <v>120</v>
      </c>
      <c r="V688" t="s">
        <v>120</v>
      </c>
      <c r="W688" t="s">
        <v>120</v>
      </c>
      <c r="X688" t="s">
        <v>120</v>
      </c>
      <c r="Y688" t="s">
        <v>141</v>
      </c>
      <c r="Z688" t="s">
        <v>120</v>
      </c>
      <c r="AA688" t="s">
        <v>120</v>
      </c>
      <c r="AB688" t="s">
        <v>120</v>
      </c>
      <c r="AC688" t="s">
        <v>120</v>
      </c>
      <c r="AD688" t="s">
        <v>120</v>
      </c>
      <c r="AE688" t="s">
        <v>120</v>
      </c>
      <c r="AF688" t="s">
        <v>141</v>
      </c>
      <c r="AG688" t="s">
        <v>120</v>
      </c>
      <c r="AH688" t="s">
        <v>120</v>
      </c>
      <c r="AJ688">
        <v>0</v>
      </c>
      <c r="AK688">
        <v>16</v>
      </c>
      <c r="AL688">
        <v>16</v>
      </c>
      <c r="AM688">
        <v>0</v>
      </c>
      <c r="AN688">
        <v>0</v>
      </c>
      <c r="AO688">
        <v>33.43</v>
      </c>
      <c r="AP688">
        <v>16</v>
      </c>
      <c r="AQ688">
        <v>0</v>
      </c>
      <c r="AR688">
        <v>70.2</v>
      </c>
      <c r="AS688">
        <v>1069.76</v>
      </c>
    </row>
    <row r="689" spans="1:45" x14ac:dyDescent="0.25">
      <c r="A689" t="s">
        <v>1595</v>
      </c>
      <c r="B689" t="s">
        <v>1596</v>
      </c>
      <c r="C689" t="s">
        <v>147</v>
      </c>
      <c r="D689" t="s">
        <v>1572</v>
      </c>
      <c r="E689" t="s">
        <v>120</v>
      </c>
      <c r="F689" t="s">
        <v>120</v>
      </c>
      <c r="G689" t="s">
        <v>120</v>
      </c>
      <c r="H689" t="s">
        <v>120</v>
      </c>
      <c r="I689" t="s">
        <v>120</v>
      </c>
      <c r="J689" t="s">
        <v>120</v>
      </c>
      <c r="K689" t="s">
        <v>120</v>
      </c>
      <c r="L689" t="s">
        <v>120</v>
      </c>
      <c r="M689" t="s">
        <v>120</v>
      </c>
      <c r="N689" t="s">
        <v>120</v>
      </c>
      <c r="O689" t="s">
        <v>120</v>
      </c>
      <c r="P689" t="s">
        <v>120</v>
      </c>
      <c r="Q689" t="s">
        <v>120</v>
      </c>
      <c r="R689" t="s">
        <v>120</v>
      </c>
      <c r="S689" t="s">
        <v>120</v>
      </c>
      <c r="T689" t="s">
        <v>120</v>
      </c>
      <c r="U689" t="s">
        <v>120</v>
      </c>
      <c r="V689" t="s">
        <v>120</v>
      </c>
      <c r="W689" t="s">
        <v>120</v>
      </c>
      <c r="X689" t="s">
        <v>120</v>
      </c>
      <c r="Y689" t="s">
        <v>120</v>
      </c>
      <c r="Z689" t="s">
        <v>120</v>
      </c>
      <c r="AA689" t="s">
        <v>120</v>
      </c>
      <c r="AB689" t="s">
        <v>120</v>
      </c>
      <c r="AC689" t="s">
        <v>120</v>
      </c>
      <c r="AD689" t="s">
        <v>120</v>
      </c>
      <c r="AE689" t="s">
        <v>120</v>
      </c>
      <c r="AF689" t="s">
        <v>120</v>
      </c>
      <c r="AG689" t="s">
        <v>120</v>
      </c>
      <c r="AH689" t="s">
        <v>120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31.55</v>
      </c>
      <c r="AP689">
        <v>0</v>
      </c>
      <c r="AQ689">
        <v>0</v>
      </c>
      <c r="AR689">
        <v>70.2</v>
      </c>
      <c r="AS689">
        <v>0</v>
      </c>
    </row>
    <row r="690" spans="1:45" x14ac:dyDescent="0.25">
      <c r="A690" t="s">
        <v>1597</v>
      </c>
      <c r="B690" t="s">
        <v>1598</v>
      </c>
      <c r="C690" t="s">
        <v>147</v>
      </c>
      <c r="D690" t="s">
        <v>1572</v>
      </c>
      <c r="E690" t="s">
        <v>120</v>
      </c>
      <c r="F690" t="s">
        <v>120</v>
      </c>
      <c r="G690" t="s">
        <v>120</v>
      </c>
      <c r="H690" t="s">
        <v>120</v>
      </c>
      <c r="I690" t="s">
        <v>120</v>
      </c>
      <c r="J690" t="s">
        <v>120</v>
      </c>
      <c r="K690" t="s">
        <v>120</v>
      </c>
      <c r="L690" t="s">
        <v>120</v>
      </c>
      <c r="M690" t="s">
        <v>120</v>
      </c>
      <c r="N690" t="s">
        <v>120</v>
      </c>
      <c r="O690" t="s">
        <v>120</v>
      </c>
      <c r="P690" t="s">
        <v>120</v>
      </c>
      <c r="Q690" t="s">
        <v>120</v>
      </c>
      <c r="R690" t="s">
        <v>120</v>
      </c>
      <c r="S690" t="s">
        <v>120</v>
      </c>
      <c r="T690" t="s">
        <v>120</v>
      </c>
      <c r="U690" t="s">
        <v>120</v>
      </c>
      <c r="V690" t="s">
        <v>120</v>
      </c>
      <c r="W690" t="s">
        <v>120</v>
      </c>
      <c r="X690" t="s">
        <v>120</v>
      </c>
      <c r="Y690" t="s">
        <v>120</v>
      </c>
      <c r="Z690" t="s">
        <v>120</v>
      </c>
      <c r="AA690" t="s">
        <v>120</v>
      </c>
      <c r="AB690" t="s">
        <v>120</v>
      </c>
      <c r="AC690" t="s">
        <v>120</v>
      </c>
      <c r="AD690" t="s">
        <v>120</v>
      </c>
      <c r="AE690" t="s">
        <v>120</v>
      </c>
      <c r="AF690" t="s">
        <v>120</v>
      </c>
      <c r="AG690" t="s">
        <v>120</v>
      </c>
      <c r="AH690" t="s">
        <v>120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31.55</v>
      </c>
      <c r="AP690">
        <v>0</v>
      </c>
      <c r="AQ690">
        <v>0</v>
      </c>
      <c r="AR690">
        <v>70.2</v>
      </c>
      <c r="AS690">
        <v>0</v>
      </c>
    </row>
    <row r="691" spans="1:45" x14ac:dyDescent="0.25">
      <c r="A691" t="s">
        <v>1599</v>
      </c>
      <c r="B691" t="s">
        <v>1600</v>
      </c>
      <c r="C691" t="s">
        <v>127</v>
      </c>
      <c r="D691" t="s">
        <v>1572</v>
      </c>
      <c r="E691" t="s">
        <v>120</v>
      </c>
      <c r="F691" t="s">
        <v>120</v>
      </c>
      <c r="G691" t="s">
        <v>120</v>
      </c>
      <c r="H691" t="s">
        <v>120</v>
      </c>
      <c r="I691" t="s">
        <v>120</v>
      </c>
      <c r="J691" t="s">
        <v>120</v>
      </c>
      <c r="K691" t="s">
        <v>120</v>
      </c>
      <c r="L691" t="s">
        <v>120</v>
      </c>
      <c r="M691" t="s">
        <v>120</v>
      </c>
      <c r="N691" t="s">
        <v>120</v>
      </c>
      <c r="O691" t="s">
        <v>120</v>
      </c>
      <c r="P691" t="s">
        <v>120</v>
      </c>
      <c r="Q691" t="s">
        <v>120</v>
      </c>
      <c r="R691" t="s">
        <v>120</v>
      </c>
      <c r="S691" t="s">
        <v>120</v>
      </c>
      <c r="T691" t="s">
        <v>120</v>
      </c>
      <c r="U691" t="s">
        <v>120</v>
      </c>
      <c r="V691" t="s">
        <v>120</v>
      </c>
      <c r="W691" t="s">
        <v>120</v>
      </c>
      <c r="X691" t="s">
        <v>120</v>
      </c>
      <c r="Y691" t="s">
        <v>341</v>
      </c>
      <c r="Z691" t="s">
        <v>120</v>
      </c>
      <c r="AA691" t="s">
        <v>120</v>
      </c>
      <c r="AB691" t="s">
        <v>120</v>
      </c>
      <c r="AC691" t="s">
        <v>120</v>
      </c>
      <c r="AD691" t="s">
        <v>120</v>
      </c>
      <c r="AE691" t="s">
        <v>120</v>
      </c>
      <c r="AF691" t="s">
        <v>120</v>
      </c>
      <c r="AG691" t="s">
        <v>120</v>
      </c>
      <c r="AH691" t="s">
        <v>120</v>
      </c>
      <c r="AJ691">
        <v>0</v>
      </c>
      <c r="AK691">
        <v>4</v>
      </c>
      <c r="AL691">
        <v>4</v>
      </c>
      <c r="AM691">
        <v>0</v>
      </c>
      <c r="AN691">
        <v>0</v>
      </c>
      <c r="AO691">
        <v>33.43</v>
      </c>
      <c r="AP691">
        <v>4</v>
      </c>
      <c r="AQ691">
        <v>0</v>
      </c>
      <c r="AR691">
        <v>75.06</v>
      </c>
      <c r="AS691">
        <v>267.44</v>
      </c>
    </row>
    <row r="692" spans="1:45" x14ac:dyDescent="0.25">
      <c r="A692" t="s">
        <v>1601</v>
      </c>
      <c r="B692" t="s">
        <v>1602</v>
      </c>
      <c r="C692" t="s">
        <v>147</v>
      </c>
      <c r="D692" t="s">
        <v>1572</v>
      </c>
      <c r="E692" t="s">
        <v>120</v>
      </c>
      <c r="F692" t="s">
        <v>120</v>
      </c>
      <c r="G692" t="s">
        <v>120</v>
      </c>
      <c r="H692" t="s">
        <v>120</v>
      </c>
      <c r="I692" t="s">
        <v>120</v>
      </c>
      <c r="J692" t="s">
        <v>120</v>
      </c>
      <c r="K692" t="s">
        <v>120</v>
      </c>
      <c r="L692" t="s">
        <v>120</v>
      </c>
      <c r="M692" t="s">
        <v>120</v>
      </c>
      <c r="N692" t="s">
        <v>120</v>
      </c>
      <c r="O692" t="s">
        <v>120</v>
      </c>
      <c r="P692" t="s">
        <v>120</v>
      </c>
      <c r="Q692" t="s">
        <v>120</v>
      </c>
      <c r="R692" t="s">
        <v>120</v>
      </c>
      <c r="S692" t="s">
        <v>120</v>
      </c>
      <c r="T692" t="s">
        <v>120</v>
      </c>
      <c r="U692" t="s">
        <v>120</v>
      </c>
      <c r="V692" t="s">
        <v>120</v>
      </c>
      <c r="W692" t="s">
        <v>120</v>
      </c>
      <c r="X692" t="s">
        <v>120</v>
      </c>
      <c r="Y692" t="s">
        <v>120</v>
      </c>
      <c r="Z692" t="s">
        <v>120</v>
      </c>
      <c r="AA692" t="s">
        <v>120</v>
      </c>
      <c r="AB692" t="s">
        <v>120</v>
      </c>
      <c r="AC692" t="s">
        <v>120</v>
      </c>
      <c r="AD692" t="s">
        <v>120</v>
      </c>
      <c r="AE692" t="s">
        <v>120</v>
      </c>
      <c r="AF692" t="s">
        <v>120</v>
      </c>
      <c r="AG692" t="s">
        <v>120</v>
      </c>
      <c r="AH692" t="s">
        <v>120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31.55</v>
      </c>
      <c r="AP692">
        <v>0</v>
      </c>
      <c r="AQ692">
        <v>0</v>
      </c>
      <c r="AR692">
        <v>70.2</v>
      </c>
      <c r="AS692">
        <v>0</v>
      </c>
    </row>
    <row r="693" spans="1:45" x14ac:dyDescent="0.25">
      <c r="A693" t="s">
        <v>1603</v>
      </c>
      <c r="B693" t="s">
        <v>1604</v>
      </c>
      <c r="C693" t="s">
        <v>147</v>
      </c>
      <c r="D693" t="s">
        <v>1572</v>
      </c>
      <c r="E693" t="s">
        <v>135</v>
      </c>
      <c r="F693" t="s">
        <v>120</v>
      </c>
      <c r="G693" t="s">
        <v>120</v>
      </c>
      <c r="H693" t="s">
        <v>120</v>
      </c>
      <c r="I693" t="s">
        <v>120</v>
      </c>
      <c r="J693" t="s">
        <v>120</v>
      </c>
      <c r="K693" t="s">
        <v>120</v>
      </c>
      <c r="L693" t="s">
        <v>120</v>
      </c>
      <c r="M693" t="s">
        <v>120</v>
      </c>
      <c r="N693" t="s">
        <v>120</v>
      </c>
      <c r="O693" t="s">
        <v>120</v>
      </c>
      <c r="P693" t="s">
        <v>120</v>
      </c>
      <c r="Q693" t="s">
        <v>120</v>
      </c>
      <c r="R693" t="s">
        <v>120</v>
      </c>
      <c r="S693" t="s">
        <v>120</v>
      </c>
      <c r="T693" t="s">
        <v>120</v>
      </c>
      <c r="U693" t="s">
        <v>120</v>
      </c>
      <c r="V693" t="s">
        <v>120</v>
      </c>
      <c r="W693" t="s">
        <v>120</v>
      </c>
      <c r="X693" t="s">
        <v>120</v>
      </c>
      <c r="Y693" t="s">
        <v>120</v>
      </c>
      <c r="Z693" t="s">
        <v>120</v>
      </c>
      <c r="AA693" t="s">
        <v>120</v>
      </c>
      <c r="AB693" t="s">
        <v>120</v>
      </c>
      <c r="AC693" t="s">
        <v>135</v>
      </c>
      <c r="AD693" t="s">
        <v>120</v>
      </c>
      <c r="AE693" t="s">
        <v>120</v>
      </c>
      <c r="AF693" t="s">
        <v>120</v>
      </c>
      <c r="AG693" t="s">
        <v>120</v>
      </c>
      <c r="AH693" t="s">
        <v>120</v>
      </c>
      <c r="AJ693">
        <v>0</v>
      </c>
      <c r="AK693">
        <v>16</v>
      </c>
      <c r="AL693">
        <v>0</v>
      </c>
      <c r="AM693">
        <v>16</v>
      </c>
      <c r="AN693">
        <v>0</v>
      </c>
      <c r="AO693">
        <v>31.55</v>
      </c>
      <c r="AP693">
        <v>16</v>
      </c>
      <c r="AQ693">
        <v>0</v>
      </c>
      <c r="AR693">
        <v>70.2</v>
      </c>
      <c r="AS693">
        <v>1009.6</v>
      </c>
    </row>
    <row r="694" spans="1:45" x14ac:dyDescent="0.25">
      <c r="A694" t="s">
        <v>1605</v>
      </c>
      <c r="B694" t="s">
        <v>1606</v>
      </c>
      <c r="C694" t="s">
        <v>147</v>
      </c>
      <c r="D694" t="s">
        <v>1572</v>
      </c>
      <c r="E694" t="s">
        <v>120</v>
      </c>
      <c r="F694" t="s">
        <v>120</v>
      </c>
      <c r="G694" t="s">
        <v>120</v>
      </c>
      <c r="H694" t="s">
        <v>120</v>
      </c>
      <c r="I694" t="s">
        <v>120</v>
      </c>
      <c r="J694" t="s">
        <v>120</v>
      </c>
      <c r="K694" t="s">
        <v>120</v>
      </c>
      <c r="L694" t="s">
        <v>120</v>
      </c>
      <c r="M694" t="s">
        <v>120</v>
      </c>
      <c r="N694" t="s">
        <v>120</v>
      </c>
      <c r="O694" t="s">
        <v>120</v>
      </c>
      <c r="P694" t="s">
        <v>120</v>
      </c>
      <c r="Q694" t="s">
        <v>120</v>
      </c>
      <c r="R694" t="s">
        <v>120</v>
      </c>
      <c r="S694" t="s">
        <v>120</v>
      </c>
      <c r="T694" t="s">
        <v>120</v>
      </c>
      <c r="U694" t="s">
        <v>120</v>
      </c>
      <c r="V694" t="s">
        <v>120</v>
      </c>
      <c r="W694" t="s">
        <v>120</v>
      </c>
      <c r="X694" t="s">
        <v>120</v>
      </c>
      <c r="Y694" t="s">
        <v>120</v>
      </c>
      <c r="Z694" t="s">
        <v>120</v>
      </c>
      <c r="AA694" t="s">
        <v>120</v>
      </c>
      <c r="AB694" t="s">
        <v>120</v>
      </c>
      <c r="AC694" t="s">
        <v>120</v>
      </c>
      <c r="AD694" t="s">
        <v>120</v>
      </c>
      <c r="AE694" t="s">
        <v>120</v>
      </c>
      <c r="AF694" t="s">
        <v>120</v>
      </c>
      <c r="AG694" t="s">
        <v>120</v>
      </c>
      <c r="AH694" t="s">
        <v>120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31.55</v>
      </c>
      <c r="AP694">
        <v>0</v>
      </c>
      <c r="AQ694">
        <v>0</v>
      </c>
      <c r="AR694">
        <v>70.2</v>
      </c>
      <c r="AS694">
        <v>0</v>
      </c>
    </row>
    <row r="695" spans="1:45" x14ac:dyDescent="0.25">
      <c r="A695" t="s">
        <v>1607</v>
      </c>
      <c r="B695" t="s">
        <v>1608</v>
      </c>
      <c r="C695" t="s">
        <v>147</v>
      </c>
      <c r="D695" t="s">
        <v>1572</v>
      </c>
      <c r="E695" t="s">
        <v>120</v>
      </c>
      <c r="F695" t="s">
        <v>120</v>
      </c>
      <c r="G695" t="s">
        <v>120</v>
      </c>
      <c r="H695" t="s">
        <v>120</v>
      </c>
      <c r="I695" t="s">
        <v>120</v>
      </c>
      <c r="J695" t="s">
        <v>120</v>
      </c>
      <c r="K695" t="s">
        <v>120</v>
      </c>
      <c r="L695" t="s">
        <v>120</v>
      </c>
      <c r="M695" t="s">
        <v>120</v>
      </c>
      <c r="N695" t="s">
        <v>120</v>
      </c>
      <c r="O695" t="s">
        <v>120</v>
      </c>
      <c r="P695" t="s">
        <v>120</v>
      </c>
      <c r="Q695" t="s">
        <v>120</v>
      </c>
      <c r="R695" t="s">
        <v>120</v>
      </c>
      <c r="S695" t="s">
        <v>120</v>
      </c>
      <c r="T695" t="s">
        <v>120</v>
      </c>
      <c r="U695" t="s">
        <v>120</v>
      </c>
      <c r="V695" t="s">
        <v>120</v>
      </c>
      <c r="W695" t="s">
        <v>120</v>
      </c>
      <c r="X695" t="s">
        <v>120</v>
      </c>
      <c r="Y695" t="s">
        <v>341</v>
      </c>
      <c r="Z695" t="s">
        <v>120</v>
      </c>
      <c r="AA695" t="s">
        <v>120</v>
      </c>
      <c r="AB695" t="s">
        <v>120</v>
      </c>
      <c r="AC695" t="s">
        <v>120</v>
      </c>
      <c r="AD695" t="s">
        <v>120</v>
      </c>
      <c r="AE695" t="s">
        <v>120</v>
      </c>
      <c r="AF695" t="s">
        <v>120</v>
      </c>
      <c r="AG695" t="s">
        <v>120</v>
      </c>
      <c r="AH695" t="s">
        <v>120</v>
      </c>
      <c r="AJ695">
        <v>0</v>
      </c>
      <c r="AK695">
        <v>4</v>
      </c>
      <c r="AL695">
        <v>4</v>
      </c>
      <c r="AM695">
        <v>0</v>
      </c>
      <c r="AN695">
        <v>0</v>
      </c>
      <c r="AO695">
        <v>31.55</v>
      </c>
      <c r="AP695">
        <v>4</v>
      </c>
      <c r="AQ695">
        <v>0</v>
      </c>
      <c r="AR695">
        <v>70.2</v>
      </c>
      <c r="AS695">
        <v>252.4</v>
      </c>
    </row>
    <row r="696" spans="1:45" x14ac:dyDescent="0.25">
      <c r="A696" t="s">
        <v>1609</v>
      </c>
      <c r="B696" t="s">
        <v>1610</v>
      </c>
      <c r="C696" t="s">
        <v>147</v>
      </c>
      <c r="D696" t="s">
        <v>1572</v>
      </c>
      <c r="E696" t="s">
        <v>120</v>
      </c>
      <c r="F696" t="s">
        <v>120</v>
      </c>
      <c r="G696" t="s">
        <v>120</v>
      </c>
      <c r="H696" t="s">
        <v>120</v>
      </c>
      <c r="I696" t="s">
        <v>120</v>
      </c>
      <c r="J696" t="s">
        <v>120</v>
      </c>
      <c r="K696" t="s">
        <v>120</v>
      </c>
      <c r="L696" t="s">
        <v>120</v>
      </c>
      <c r="M696" t="s">
        <v>120</v>
      </c>
      <c r="N696" t="s">
        <v>120</v>
      </c>
      <c r="O696" t="s">
        <v>120</v>
      </c>
      <c r="P696" t="s">
        <v>120</v>
      </c>
      <c r="Q696" t="s">
        <v>120</v>
      </c>
      <c r="R696" t="s">
        <v>120</v>
      </c>
      <c r="S696" t="s">
        <v>120</v>
      </c>
      <c r="T696" t="s">
        <v>120</v>
      </c>
      <c r="U696" t="s">
        <v>120</v>
      </c>
      <c r="V696" t="s">
        <v>120</v>
      </c>
      <c r="W696" t="s">
        <v>120</v>
      </c>
      <c r="X696" t="s">
        <v>120</v>
      </c>
      <c r="Y696" t="s">
        <v>120</v>
      </c>
      <c r="Z696" t="s">
        <v>120</v>
      </c>
      <c r="AA696" t="s">
        <v>120</v>
      </c>
      <c r="AB696" t="s">
        <v>120</v>
      </c>
      <c r="AC696" t="s">
        <v>120</v>
      </c>
      <c r="AD696" t="s">
        <v>120</v>
      </c>
      <c r="AE696" t="s">
        <v>120</v>
      </c>
      <c r="AF696" t="s">
        <v>120</v>
      </c>
      <c r="AG696" t="s">
        <v>120</v>
      </c>
      <c r="AH696" t="s">
        <v>120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31.55</v>
      </c>
      <c r="AP696">
        <v>0</v>
      </c>
      <c r="AQ696">
        <v>0</v>
      </c>
      <c r="AR696">
        <v>70.2</v>
      </c>
      <c r="AS696">
        <v>0</v>
      </c>
    </row>
    <row r="697" spans="1:45" x14ac:dyDescent="0.25">
      <c r="A697" t="s">
        <v>1611</v>
      </c>
      <c r="B697" t="s">
        <v>1612</v>
      </c>
      <c r="C697" t="s">
        <v>147</v>
      </c>
      <c r="D697" t="s">
        <v>1572</v>
      </c>
      <c r="E697" t="s">
        <v>120</v>
      </c>
      <c r="F697" t="s">
        <v>120</v>
      </c>
      <c r="G697" t="s">
        <v>120</v>
      </c>
      <c r="H697" t="s">
        <v>120</v>
      </c>
      <c r="I697" t="s">
        <v>120</v>
      </c>
      <c r="J697" t="s">
        <v>120</v>
      </c>
      <c r="K697" t="s">
        <v>120</v>
      </c>
      <c r="L697" t="s">
        <v>120</v>
      </c>
      <c r="M697" t="s">
        <v>120</v>
      </c>
      <c r="N697" t="s">
        <v>120</v>
      </c>
      <c r="O697" t="s">
        <v>120</v>
      </c>
      <c r="P697" t="s">
        <v>120</v>
      </c>
      <c r="Q697" t="s">
        <v>120</v>
      </c>
      <c r="R697" t="s">
        <v>120</v>
      </c>
      <c r="S697" t="s">
        <v>120</v>
      </c>
      <c r="T697" t="s">
        <v>120</v>
      </c>
      <c r="U697" t="s">
        <v>120</v>
      </c>
      <c r="V697" t="s">
        <v>120</v>
      </c>
      <c r="W697" t="s">
        <v>120</v>
      </c>
      <c r="X697" t="s">
        <v>120</v>
      </c>
      <c r="Y697" t="s">
        <v>120</v>
      </c>
      <c r="Z697" t="s">
        <v>120</v>
      </c>
      <c r="AA697" t="s">
        <v>120</v>
      </c>
      <c r="AB697" t="s">
        <v>120</v>
      </c>
      <c r="AC697" t="s">
        <v>120</v>
      </c>
      <c r="AD697" t="s">
        <v>120</v>
      </c>
      <c r="AE697" t="s">
        <v>120</v>
      </c>
      <c r="AF697" t="s">
        <v>120</v>
      </c>
      <c r="AG697" t="s">
        <v>120</v>
      </c>
      <c r="AH697" t="s">
        <v>120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31.55</v>
      </c>
      <c r="AP697">
        <v>0</v>
      </c>
      <c r="AQ697">
        <v>0</v>
      </c>
      <c r="AR697">
        <v>70.2</v>
      </c>
      <c r="AS697">
        <v>0</v>
      </c>
    </row>
    <row r="698" spans="1:45" x14ac:dyDescent="0.25">
      <c r="A698" t="s">
        <v>1613</v>
      </c>
      <c r="B698" t="s">
        <v>1614</v>
      </c>
      <c r="C698" t="s">
        <v>147</v>
      </c>
      <c r="D698" t="s">
        <v>1572</v>
      </c>
      <c r="E698" t="s">
        <v>120</v>
      </c>
      <c r="F698" t="s">
        <v>120</v>
      </c>
      <c r="G698" t="s">
        <v>120</v>
      </c>
      <c r="H698" t="s">
        <v>120</v>
      </c>
      <c r="I698" t="s">
        <v>120</v>
      </c>
      <c r="J698" t="s">
        <v>120</v>
      </c>
      <c r="K698" t="s">
        <v>120</v>
      </c>
      <c r="L698" t="s">
        <v>120</v>
      </c>
      <c r="M698" t="s">
        <v>120</v>
      </c>
      <c r="N698" t="s">
        <v>120</v>
      </c>
      <c r="O698" t="s">
        <v>120</v>
      </c>
      <c r="P698" t="s">
        <v>120</v>
      </c>
      <c r="Q698" t="s">
        <v>120</v>
      </c>
      <c r="R698" t="s">
        <v>120</v>
      </c>
      <c r="S698" t="s">
        <v>120</v>
      </c>
      <c r="T698" t="s">
        <v>120</v>
      </c>
      <c r="U698" t="s">
        <v>120</v>
      </c>
      <c r="V698" t="s">
        <v>120</v>
      </c>
      <c r="W698" t="s">
        <v>120</v>
      </c>
      <c r="X698" t="s">
        <v>120</v>
      </c>
      <c r="Y698" t="s">
        <v>120</v>
      </c>
      <c r="Z698" t="s">
        <v>120</v>
      </c>
      <c r="AA698" t="s">
        <v>120</v>
      </c>
      <c r="AB698" t="s">
        <v>120</v>
      </c>
      <c r="AC698" t="s">
        <v>120</v>
      </c>
      <c r="AD698" t="s">
        <v>120</v>
      </c>
      <c r="AE698" t="s">
        <v>120</v>
      </c>
      <c r="AF698" t="s">
        <v>120</v>
      </c>
      <c r="AG698" t="s">
        <v>120</v>
      </c>
      <c r="AH698" t="s">
        <v>120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28.25</v>
      </c>
      <c r="AP698">
        <v>0</v>
      </c>
      <c r="AQ698">
        <v>0</v>
      </c>
      <c r="AR698">
        <v>70.2</v>
      </c>
      <c r="AS698">
        <v>0</v>
      </c>
    </row>
    <row r="699" spans="1:45" x14ac:dyDescent="0.25">
      <c r="A699" t="s">
        <v>1615</v>
      </c>
      <c r="B699" t="s">
        <v>1616</v>
      </c>
      <c r="C699" t="s">
        <v>147</v>
      </c>
      <c r="D699" t="s">
        <v>1572</v>
      </c>
      <c r="E699" t="s">
        <v>120</v>
      </c>
      <c r="F699" t="s">
        <v>120</v>
      </c>
      <c r="G699" t="s">
        <v>120</v>
      </c>
      <c r="H699" t="s">
        <v>120</v>
      </c>
      <c r="I699" t="s">
        <v>120</v>
      </c>
      <c r="J699" t="s">
        <v>120</v>
      </c>
      <c r="K699" t="s">
        <v>120</v>
      </c>
      <c r="L699" t="s">
        <v>120</v>
      </c>
      <c r="M699" t="s">
        <v>120</v>
      </c>
      <c r="N699" t="s">
        <v>120</v>
      </c>
      <c r="O699" t="s">
        <v>120</v>
      </c>
      <c r="P699" t="s">
        <v>120</v>
      </c>
      <c r="Q699" t="s">
        <v>120</v>
      </c>
      <c r="R699" t="s">
        <v>120</v>
      </c>
      <c r="S699" t="s">
        <v>120</v>
      </c>
      <c r="T699" t="s">
        <v>120</v>
      </c>
      <c r="U699" t="s">
        <v>120</v>
      </c>
      <c r="V699" t="s">
        <v>120</v>
      </c>
      <c r="W699" t="s">
        <v>120</v>
      </c>
      <c r="X699" t="s">
        <v>120</v>
      </c>
      <c r="Y699" t="s">
        <v>120</v>
      </c>
      <c r="Z699" t="s">
        <v>120</v>
      </c>
      <c r="AA699" t="s">
        <v>120</v>
      </c>
      <c r="AB699" t="s">
        <v>120</v>
      </c>
      <c r="AC699" t="s">
        <v>120</v>
      </c>
      <c r="AD699" t="s">
        <v>120</v>
      </c>
      <c r="AE699" t="s">
        <v>120</v>
      </c>
      <c r="AF699" t="s">
        <v>120</v>
      </c>
      <c r="AG699" t="s">
        <v>120</v>
      </c>
      <c r="AH699" t="s">
        <v>120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31.55</v>
      </c>
      <c r="AP699">
        <v>0</v>
      </c>
      <c r="AQ699">
        <v>0</v>
      </c>
      <c r="AR699">
        <v>70.2</v>
      </c>
      <c r="AS699">
        <v>0</v>
      </c>
    </row>
    <row r="700" spans="1:45" x14ac:dyDescent="0.25">
      <c r="A700" t="s">
        <v>1617</v>
      </c>
      <c r="B700" t="s">
        <v>1618</v>
      </c>
      <c r="C700" t="s">
        <v>147</v>
      </c>
      <c r="D700" t="s">
        <v>1572</v>
      </c>
      <c r="E700" t="s">
        <v>120</v>
      </c>
      <c r="F700" t="s">
        <v>120</v>
      </c>
      <c r="G700" t="s">
        <v>120</v>
      </c>
      <c r="H700" t="s">
        <v>120</v>
      </c>
      <c r="I700" t="s">
        <v>120</v>
      </c>
      <c r="J700" t="s">
        <v>120</v>
      </c>
      <c r="K700" t="s">
        <v>120</v>
      </c>
      <c r="L700" t="s">
        <v>120</v>
      </c>
      <c r="M700" t="s">
        <v>120</v>
      </c>
      <c r="N700" t="s">
        <v>120</v>
      </c>
      <c r="O700" t="s">
        <v>120</v>
      </c>
      <c r="P700" t="s">
        <v>120</v>
      </c>
      <c r="Q700" t="s">
        <v>120</v>
      </c>
      <c r="R700" t="s">
        <v>120</v>
      </c>
      <c r="S700" t="s">
        <v>120</v>
      </c>
      <c r="T700" t="s">
        <v>120</v>
      </c>
      <c r="U700" t="s">
        <v>120</v>
      </c>
      <c r="V700" t="s">
        <v>120</v>
      </c>
      <c r="W700" t="s">
        <v>120</v>
      </c>
      <c r="X700" t="s">
        <v>120</v>
      </c>
      <c r="Y700" t="s">
        <v>341</v>
      </c>
      <c r="Z700" t="s">
        <v>120</v>
      </c>
      <c r="AA700" t="s">
        <v>120</v>
      </c>
      <c r="AB700" t="s">
        <v>120</v>
      </c>
      <c r="AC700" t="s">
        <v>120</v>
      </c>
      <c r="AD700" t="s">
        <v>120</v>
      </c>
      <c r="AE700" t="s">
        <v>120</v>
      </c>
      <c r="AF700" t="s">
        <v>120</v>
      </c>
      <c r="AG700" t="s">
        <v>120</v>
      </c>
      <c r="AH700" t="s">
        <v>120</v>
      </c>
      <c r="AJ700">
        <v>0</v>
      </c>
      <c r="AK700">
        <v>4</v>
      </c>
      <c r="AL700">
        <v>4</v>
      </c>
      <c r="AM700">
        <v>0</v>
      </c>
      <c r="AN700">
        <v>0</v>
      </c>
      <c r="AO700">
        <v>31.55</v>
      </c>
      <c r="AP700">
        <v>4</v>
      </c>
      <c r="AQ700">
        <v>0</v>
      </c>
      <c r="AR700">
        <v>70.2</v>
      </c>
      <c r="AS700">
        <v>252.4</v>
      </c>
    </row>
    <row r="701" spans="1:45" x14ac:dyDescent="0.25">
      <c r="A701" t="s">
        <v>1619</v>
      </c>
      <c r="B701" t="s">
        <v>1620</v>
      </c>
      <c r="C701" t="s">
        <v>147</v>
      </c>
      <c r="D701" t="s">
        <v>1572</v>
      </c>
      <c r="E701" t="s">
        <v>120</v>
      </c>
      <c r="F701" t="s">
        <v>120</v>
      </c>
      <c r="G701" t="s">
        <v>120</v>
      </c>
      <c r="H701" t="s">
        <v>120</v>
      </c>
      <c r="I701" t="s">
        <v>120</v>
      </c>
      <c r="J701" t="s">
        <v>120</v>
      </c>
      <c r="K701" t="s">
        <v>120</v>
      </c>
      <c r="L701" t="s">
        <v>120</v>
      </c>
      <c r="M701" t="s">
        <v>120</v>
      </c>
      <c r="N701" t="s">
        <v>120</v>
      </c>
      <c r="O701" t="s">
        <v>120</v>
      </c>
      <c r="P701" t="s">
        <v>120</v>
      </c>
      <c r="Q701" t="s">
        <v>120</v>
      </c>
      <c r="R701" t="s">
        <v>120</v>
      </c>
      <c r="S701" t="s">
        <v>120</v>
      </c>
      <c r="T701" t="s">
        <v>120</v>
      </c>
      <c r="U701" t="s">
        <v>120</v>
      </c>
      <c r="V701" t="s">
        <v>120</v>
      </c>
      <c r="W701" t="s">
        <v>120</v>
      </c>
      <c r="X701" t="s">
        <v>120</v>
      </c>
      <c r="Y701" t="s">
        <v>120</v>
      </c>
      <c r="Z701" t="s">
        <v>120</v>
      </c>
      <c r="AA701" t="s">
        <v>120</v>
      </c>
      <c r="AB701" t="s">
        <v>120</v>
      </c>
      <c r="AC701" t="s">
        <v>120</v>
      </c>
      <c r="AD701" t="s">
        <v>120</v>
      </c>
      <c r="AE701" t="s">
        <v>120</v>
      </c>
      <c r="AF701" t="s">
        <v>120</v>
      </c>
      <c r="AG701" t="s">
        <v>120</v>
      </c>
      <c r="AH701" t="s">
        <v>120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31.55</v>
      </c>
      <c r="AP701">
        <v>0</v>
      </c>
      <c r="AQ701">
        <v>0</v>
      </c>
      <c r="AR701">
        <v>70.2</v>
      </c>
      <c r="AS701">
        <v>0</v>
      </c>
    </row>
    <row r="702" spans="1:45" x14ac:dyDescent="0.25">
      <c r="A702" t="s">
        <v>1621</v>
      </c>
      <c r="B702" t="s">
        <v>1622</v>
      </c>
      <c r="C702" t="s">
        <v>147</v>
      </c>
      <c r="D702" t="s">
        <v>1572</v>
      </c>
      <c r="E702" t="s">
        <v>120</v>
      </c>
      <c r="F702" t="s">
        <v>120</v>
      </c>
      <c r="G702" t="s">
        <v>120</v>
      </c>
      <c r="H702" t="s">
        <v>120</v>
      </c>
      <c r="I702" t="s">
        <v>120</v>
      </c>
      <c r="J702" t="s">
        <v>120</v>
      </c>
      <c r="K702" t="s">
        <v>120</v>
      </c>
      <c r="L702" t="s">
        <v>120</v>
      </c>
      <c r="M702" t="s">
        <v>120</v>
      </c>
      <c r="N702" t="s">
        <v>120</v>
      </c>
      <c r="O702" t="s">
        <v>120</v>
      </c>
      <c r="P702" t="s">
        <v>120</v>
      </c>
      <c r="Q702" t="s">
        <v>120</v>
      </c>
      <c r="R702" t="s">
        <v>120</v>
      </c>
      <c r="S702" t="s">
        <v>120</v>
      </c>
      <c r="T702" t="s">
        <v>120</v>
      </c>
      <c r="U702" t="s">
        <v>120</v>
      </c>
      <c r="V702" t="s">
        <v>120</v>
      </c>
      <c r="W702" t="s">
        <v>120</v>
      </c>
      <c r="X702" t="s">
        <v>120</v>
      </c>
      <c r="Y702" t="s">
        <v>120</v>
      </c>
      <c r="Z702" t="s">
        <v>120</v>
      </c>
      <c r="AA702" t="s">
        <v>120</v>
      </c>
      <c r="AB702" t="s">
        <v>120</v>
      </c>
      <c r="AC702" t="s">
        <v>120</v>
      </c>
      <c r="AD702" t="s">
        <v>120</v>
      </c>
      <c r="AE702" t="s">
        <v>120</v>
      </c>
      <c r="AF702" t="s">
        <v>120</v>
      </c>
      <c r="AG702" t="s">
        <v>120</v>
      </c>
      <c r="AH702" t="s">
        <v>120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31.55</v>
      </c>
      <c r="AP702">
        <v>0</v>
      </c>
      <c r="AQ702">
        <v>0</v>
      </c>
      <c r="AR702">
        <v>70.2</v>
      </c>
      <c r="AS702">
        <v>0</v>
      </c>
    </row>
    <row r="703" spans="1:45" x14ac:dyDescent="0.25">
      <c r="A703" t="s">
        <v>1623</v>
      </c>
      <c r="B703" t="s">
        <v>1624</v>
      </c>
      <c r="C703" t="s">
        <v>147</v>
      </c>
      <c r="D703" t="s">
        <v>1625</v>
      </c>
      <c r="E703" t="s">
        <v>120</v>
      </c>
      <c r="F703" t="s">
        <v>120</v>
      </c>
      <c r="G703" t="s">
        <v>120</v>
      </c>
      <c r="H703" t="s">
        <v>120</v>
      </c>
      <c r="I703" t="s">
        <v>120</v>
      </c>
      <c r="J703" t="s">
        <v>141</v>
      </c>
      <c r="K703" t="s">
        <v>120</v>
      </c>
      <c r="L703" t="s">
        <v>120</v>
      </c>
      <c r="M703" t="s">
        <v>120</v>
      </c>
      <c r="N703" t="s">
        <v>120</v>
      </c>
      <c r="O703" t="s">
        <v>120</v>
      </c>
      <c r="P703" t="s">
        <v>120</v>
      </c>
      <c r="Q703" t="s">
        <v>120</v>
      </c>
      <c r="R703" t="s">
        <v>120</v>
      </c>
      <c r="S703" t="s">
        <v>120</v>
      </c>
      <c r="T703" t="s">
        <v>120</v>
      </c>
      <c r="U703" t="s">
        <v>120</v>
      </c>
      <c r="V703" t="s">
        <v>120</v>
      </c>
      <c r="W703" t="s">
        <v>120</v>
      </c>
      <c r="X703" t="s">
        <v>120</v>
      </c>
      <c r="Y703" t="s">
        <v>120</v>
      </c>
      <c r="Z703" t="s">
        <v>120</v>
      </c>
      <c r="AA703" t="s">
        <v>120</v>
      </c>
      <c r="AB703" t="s">
        <v>120</v>
      </c>
      <c r="AC703" t="s">
        <v>120</v>
      </c>
      <c r="AD703" t="s">
        <v>120</v>
      </c>
      <c r="AE703" t="s">
        <v>120</v>
      </c>
      <c r="AF703" t="s">
        <v>120</v>
      </c>
      <c r="AG703" t="s">
        <v>120</v>
      </c>
      <c r="AH703" t="s">
        <v>120</v>
      </c>
      <c r="AJ703">
        <v>0</v>
      </c>
      <c r="AK703">
        <v>8</v>
      </c>
      <c r="AL703">
        <v>8</v>
      </c>
      <c r="AM703">
        <v>0</v>
      </c>
      <c r="AN703">
        <v>0</v>
      </c>
      <c r="AO703">
        <v>28.25</v>
      </c>
      <c r="AP703">
        <v>8</v>
      </c>
      <c r="AQ703">
        <v>0</v>
      </c>
      <c r="AR703">
        <v>70.2</v>
      </c>
      <c r="AS703">
        <v>452</v>
      </c>
    </row>
    <row r="704" spans="1:45" x14ac:dyDescent="0.25">
      <c r="A704" t="s">
        <v>1626</v>
      </c>
      <c r="B704" t="s">
        <v>1627</v>
      </c>
      <c r="C704" t="s">
        <v>147</v>
      </c>
      <c r="D704" t="s">
        <v>1625</v>
      </c>
      <c r="E704" t="s">
        <v>120</v>
      </c>
      <c r="F704" t="s">
        <v>120</v>
      </c>
      <c r="G704" t="s">
        <v>120</v>
      </c>
      <c r="H704" t="s">
        <v>120</v>
      </c>
      <c r="I704" t="s">
        <v>120</v>
      </c>
      <c r="J704" t="s">
        <v>141</v>
      </c>
      <c r="K704" t="s">
        <v>120</v>
      </c>
      <c r="L704" t="s">
        <v>120</v>
      </c>
      <c r="M704" t="s">
        <v>120</v>
      </c>
      <c r="N704" t="s">
        <v>120</v>
      </c>
      <c r="O704" t="s">
        <v>120</v>
      </c>
      <c r="P704" t="s">
        <v>120</v>
      </c>
      <c r="Q704" t="s">
        <v>120</v>
      </c>
      <c r="R704" t="s">
        <v>120</v>
      </c>
      <c r="S704" t="s">
        <v>120</v>
      </c>
      <c r="T704" t="s">
        <v>120</v>
      </c>
      <c r="U704" t="s">
        <v>120</v>
      </c>
      <c r="V704" t="s">
        <v>120</v>
      </c>
      <c r="W704" t="s">
        <v>120</v>
      </c>
      <c r="X704" t="s">
        <v>120</v>
      </c>
      <c r="Y704" t="s">
        <v>120</v>
      </c>
      <c r="Z704" t="s">
        <v>120</v>
      </c>
      <c r="AA704" t="s">
        <v>120</v>
      </c>
      <c r="AB704" t="s">
        <v>120</v>
      </c>
      <c r="AC704" t="s">
        <v>120</v>
      </c>
      <c r="AD704" t="s">
        <v>120</v>
      </c>
      <c r="AE704" t="s">
        <v>120</v>
      </c>
      <c r="AF704" t="s">
        <v>120</v>
      </c>
      <c r="AG704" t="s">
        <v>120</v>
      </c>
      <c r="AH704" t="s">
        <v>120</v>
      </c>
      <c r="AJ704">
        <v>0</v>
      </c>
      <c r="AK704">
        <v>8</v>
      </c>
      <c r="AL704">
        <v>8</v>
      </c>
      <c r="AM704">
        <v>0</v>
      </c>
      <c r="AN704">
        <v>0</v>
      </c>
      <c r="AO704">
        <v>31.55</v>
      </c>
      <c r="AP704">
        <v>8</v>
      </c>
      <c r="AQ704">
        <v>0</v>
      </c>
      <c r="AR704">
        <v>70.2</v>
      </c>
      <c r="AS704">
        <v>504.8</v>
      </c>
    </row>
    <row r="705" spans="1:45" x14ac:dyDescent="0.25">
      <c r="A705" t="s">
        <v>1628</v>
      </c>
      <c r="B705" t="s">
        <v>1629</v>
      </c>
      <c r="C705" t="s">
        <v>147</v>
      </c>
      <c r="D705" t="s">
        <v>1625</v>
      </c>
      <c r="E705" t="s">
        <v>120</v>
      </c>
      <c r="F705" t="s">
        <v>120</v>
      </c>
      <c r="G705" t="s">
        <v>120</v>
      </c>
      <c r="H705" t="s">
        <v>120</v>
      </c>
      <c r="I705" t="s">
        <v>120</v>
      </c>
      <c r="J705" t="s">
        <v>141</v>
      </c>
      <c r="K705" t="s">
        <v>120</v>
      </c>
      <c r="L705" t="s">
        <v>120</v>
      </c>
      <c r="M705" t="s">
        <v>120</v>
      </c>
      <c r="N705" t="s">
        <v>120</v>
      </c>
      <c r="O705" t="s">
        <v>120</v>
      </c>
      <c r="P705" t="s">
        <v>120</v>
      </c>
      <c r="Q705" t="s">
        <v>120</v>
      </c>
      <c r="R705" t="s">
        <v>120</v>
      </c>
      <c r="S705" t="s">
        <v>120</v>
      </c>
      <c r="T705" t="s">
        <v>120</v>
      </c>
      <c r="U705" t="s">
        <v>120</v>
      </c>
      <c r="V705" t="s">
        <v>120</v>
      </c>
      <c r="W705" t="s">
        <v>120</v>
      </c>
      <c r="X705" t="s">
        <v>120</v>
      </c>
      <c r="Y705" t="s">
        <v>120</v>
      </c>
      <c r="Z705" t="s">
        <v>120</v>
      </c>
      <c r="AA705" t="s">
        <v>120</v>
      </c>
      <c r="AB705" t="s">
        <v>120</v>
      </c>
      <c r="AC705" t="s">
        <v>120</v>
      </c>
      <c r="AD705" t="s">
        <v>120</v>
      </c>
      <c r="AE705" t="s">
        <v>120</v>
      </c>
      <c r="AF705" t="s">
        <v>120</v>
      </c>
      <c r="AG705" t="s">
        <v>120</v>
      </c>
      <c r="AH705" t="s">
        <v>120</v>
      </c>
      <c r="AJ705">
        <v>0</v>
      </c>
      <c r="AK705">
        <v>8</v>
      </c>
      <c r="AL705">
        <v>8</v>
      </c>
      <c r="AM705">
        <v>0</v>
      </c>
      <c r="AN705">
        <v>0</v>
      </c>
      <c r="AO705">
        <v>31.55</v>
      </c>
      <c r="AP705">
        <v>8</v>
      </c>
      <c r="AQ705">
        <v>0</v>
      </c>
      <c r="AR705">
        <v>70.2</v>
      </c>
      <c r="AS705">
        <v>504.8</v>
      </c>
    </row>
    <row r="706" spans="1:45" x14ac:dyDescent="0.25">
      <c r="A706" t="s">
        <v>1630</v>
      </c>
      <c r="B706" t="s">
        <v>1631</v>
      </c>
      <c r="C706" t="s">
        <v>147</v>
      </c>
      <c r="D706" t="s">
        <v>1625</v>
      </c>
      <c r="E706" t="s">
        <v>120</v>
      </c>
      <c r="F706" t="s">
        <v>120</v>
      </c>
      <c r="G706" t="s">
        <v>120</v>
      </c>
      <c r="H706" t="s">
        <v>120</v>
      </c>
      <c r="I706" t="s">
        <v>120</v>
      </c>
      <c r="J706" t="s">
        <v>141</v>
      </c>
      <c r="K706" t="s">
        <v>120</v>
      </c>
      <c r="L706" t="s">
        <v>285</v>
      </c>
      <c r="M706" t="s">
        <v>120</v>
      </c>
      <c r="N706" t="s">
        <v>120</v>
      </c>
      <c r="O706" t="s">
        <v>120</v>
      </c>
      <c r="P706" t="s">
        <v>120</v>
      </c>
      <c r="Q706" t="s">
        <v>120</v>
      </c>
      <c r="R706" t="s">
        <v>120</v>
      </c>
      <c r="S706" t="s">
        <v>120</v>
      </c>
      <c r="T706" t="s">
        <v>120</v>
      </c>
      <c r="U706" t="s">
        <v>120</v>
      </c>
      <c r="V706" t="s">
        <v>120</v>
      </c>
      <c r="W706" t="s">
        <v>120</v>
      </c>
      <c r="X706" t="s">
        <v>120</v>
      </c>
      <c r="Y706" t="s">
        <v>120</v>
      </c>
      <c r="Z706" t="s">
        <v>120</v>
      </c>
      <c r="AA706" t="s">
        <v>120</v>
      </c>
      <c r="AB706" t="s">
        <v>120</v>
      </c>
      <c r="AC706" t="s">
        <v>120</v>
      </c>
      <c r="AD706" t="s">
        <v>120</v>
      </c>
      <c r="AE706" t="s">
        <v>120</v>
      </c>
      <c r="AF706" t="s">
        <v>120</v>
      </c>
      <c r="AG706" t="s">
        <v>120</v>
      </c>
      <c r="AH706" t="s">
        <v>120</v>
      </c>
      <c r="AJ706">
        <v>0</v>
      </c>
      <c r="AK706">
        <v>15</v>
      </c>
      <c r="AL706">
        <v>8</v>
      </c>
      <c r="AM706">
        <v>0</v>
      </c>
      <c r="AN706">
        <v>7</v>
      </c>
      <c r="AO706">
        <v>31.55</v>
      </c>
      <c r="AP706">
        <v>8</v>
      </c>
      <c r="AQ706">
        <v>491.40000000000003</v>
      </c>
      <c r="AR706">
        <v>70.2</v>
      </c>
      <c r="AS706">
        <v>504.8</v>
      </c>
    </row>
    <row r="707" spans="1:45" x14ac:dyDescent="0.25">
      <c r="A707" t="s">
        <v>1632</v>
      </c>
      <c r="B707" t="s">
        <v>1633</v>
      </c>
      <c r="C707" t="s">
        <v>127</v>
      </c>
      <c r="D707" t="s">
        <v>1625</v>
      </c>
      <c r="E707" t="s">
        <v>120</v>
      </c>
      <c r="F707" t="s">
        <v>120</v>
      </c>
      <c r="G707" t="s">
        <v>120</v>
      </c>
      <c r="H707" t="s">
        <v>120</v>
      </c>
      <c r="I707" t="s">
        <v>120</v>
      </c>
      <c r="J707" t="s">
        <v>141</v>
      </c>
      <c r="K707" t="s">
        <v>120</v>
      </c>
      <c r="L707" t="s">
        <v>120</v>
      </c>
      <c r="M707" t="s">
        <v>120</v>
      </c>
      <c r="N707" t="s">
        <v>341</v>
      </c>
      <c r="O707" t="s">
        <v>341</v>
      </c>
      <c r="P707" t="s">
        <v>135</v>
      </c>
      <c r="Q707" t="s">
        <v>120</v>
      </c>
      <c r="R707" t="s">
        <v>120</v>
      </c>
      <c r="S707" t="s">
        <v>120</v>
      </c>
      <c r="T707" t="s">
        <v>285</v>
      </c>
      <c r="U707" t="s">
        <v>120</v>
      </c>
      <c r="V707" t="s">
        <v>120</v>
      </c>
      <c r="W707" t="s">
        <v>341</v>
      </c>
      <c r="X707" t="s">
        <v>120</v>
      </c>
      <c r="Y707" t="s">
        <v>141</v>
      </c>
      <c r="Z707" t="s">
        <v>120</v>
      </c>
      <c r="AA707" t="s">
        <v>120</v>
      </c>
      <c r="AB707" t="s">
        <v>135</v>
      </c>
      <c r="AC707" t="s">
        <v>135</v>
      </c>
      <c r="AD707" t="s">
        <v>120</v>
      </c>
      <c r="AE707" t="s">
        <v>120</v>
      </c>
      <c r="AF707" t="s">
        <v>120</v>
      </c>
      <c r="AG707" t="s">
        <v>124</v>
      </c>
      <c r="AH707" t="s">
        <v>120</v>
      </c>
      <c r="AJ707">
        <v>0</v>
      </c>
      <c r="AK707">
        <v>60</v>
      </c>
      <c r="AL707">
        <v>25</v>
      </c>
      <c r="AM707">
        <v>28</v>
      </c>
      <c r="AN707">
        <v>7</v>
      </c>
      <c r="AO707">
        <v>33.43</v>
      </c>
      <c r="AP707">
        <v>53</v>
      </c>
      <c r="AQ707">
        <v>525.42000000000007</v>
      </c>
      <c r="AR707">
        <v>75.06</v>
      </c>
      <c r="AS707">
        <v>3543.58</v>
      </c>
    </row>
    <row r="708" spans="1:45" x14ac:dyDescent="0.25">
      <c r="A708" t="s">
        <v>1634</v>
      </c>
      <c r="B708" t="s">
        <v>1635</v>
      </c>
      <c r="C708" t="s">
        <v>147</v>
      </c>
      <c r="D708" t="s">
        <v>1625</v>
      </c>
      <c r="E708" t="s">
        <v>120</v>
      </c>
      <c r="F708" t="s">
        <v>120</v>
      </c>
      <c r="G708" t="s">
        <v>120</v>
      </c>
      <c r="H708" t="s">
        <v>120</v>
      </c>
      <c r="I708" t="s">
        <v>120</v>
      </c>
      <c r="J708" t="s">
        <v>120</v>
      </c>
      <c r="K708" t="s">
        <v>120</v>
      </c>
      <c r="L708" t="s">
        <v>120</v>
      </c>
      <c r="M708" t="s">
        <v>120</v>
      </c>
      <c r="N708" t="s">
        <v>120</v>
      </c>
      <c r="O708" t="s">
        <v>120</v>
      </c>
      <c r="P708" t="s">
        <v>120</v>
      </c>
      <c r="Q708" t="s">
        <v>120</v>
      </c>
      <c r="R708" t="s">
        <v>120</v>
      </c>
      <c r="S708" t="s">
        <v>120</v>
      </c>
      <c r="T708" t="s">
        <v>120</v>
      </c>
      <c r="U708" t="s">
        <v>120</v>
      </c>
      <c r="V708" t="s">
        <v>120</v>
      </c>
      <c r="W708" t="s">
        <v>120</v>
      </c>
      <c r="X708" t="s">
        <v>120</v>
      </c>
      <c r="Y708" t="s">
        <v>120</v>
      </c>
      <c r="Z708" t="s">
        <v>120</v>
      </c>
      <c r="AA708" t="s">
        <v>120</v>
      </c>
      <c r="AB708" t="s">
        <v>120</v>
      </c>
      <c r="AC708" t="s">
        <v>120</v>
      </c>
      <c r="AD708" t="s">
        <v>120</v>
      </c>
      <c r="AE708" t="s">
        <v>120</v>
      </c>
      <c r="AF708" t="s">
        <v>120</v>
      </c>
      <c r="AG708" t="s">
        <v>120</v>
      </c>
      <c r="AH708" t="s">
        <v>120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31.55</v>
      </c>
      <c r="AP708">
        <v>0</v>
      </c>
      <c r="AQ708">
        <v>0</v>
      </c>
      <c r="AR708">
        <v>70.2</v>
      </c>
      <c r="AS708">
        <v>0</v>
      </c>
    </row>
    <row r="709" spans="1:45" x14ac:dyDescent="0.25">
      <c r="A709" t="s">
        <v>1636</v>
      </c>
      <c r="B709" t="s">
        <v>1637</v>
      </c>
      <c r="C709" t="s">
        <v>147</v>
      </c>
      <c r="D709" t="s">
        <v>1625</v>
      </c>
      <c r="E709" t="s">
        <v>120</v>
      </c>
      <c r="F709" t="s">
        <v>120</v>
      </c>
      <c r="G709" t="s">
        <v>120</v>
      </c>
      <c r="H709" t="s">
        <v>120</v>
      </c>
      <c r="I709" t="s">
        <v>120</v>
      </c>
      <c r="J709" t="s">
        <v>341</v>
      </c>
      <c r="K709" t="s">
        <v>120</v>
      </c>
      <c r="L709" t="s">
        <v>120</v>
      </c>
      <c r="M709" t="s">
        <v>120</v>
      </c>
      <c r="N709" t="s">
        <v>120</v>
      </c>
      <c r="O709" t="s">
        <v>120</v>
      </c>
      <c r="P709" t="s">
        <v>120</v>
      </c>
      <c r="Q709" t="s">
        <v>120</v>
      </c>
      <c r="R709" t="s">
        <v>120</v>
      </c>
      <c r="S709" t="s">
        <v>120</v>
      </c>
      <c r="T709" t="s">
        <v>120</v>
      </c>
      <c r="U709" t="s">
        <v>120</v>
      </c>
      <c r="V709" t="s">
        <v>120</v>
      </c>
      <c r="W709" t="s">
        <v>120</v>
      </c>
      <c r="X709" t="s">
        <v>120</v>
      </c>
      <c r="Y709" t="s">
        <v>120</v>
      </c>
      <c r="Z709" t="s">
        <v>120</v>
      </c>
      <c r="AA709" t="s">
        <v>120</v>
      </c>
      <c r="AB709" t="s">
        <v>120</v>
      </c>
      <c r="AC709" t="s">
        <v>120</v>
      </c>
      <c r="AD709" t="s">
        <v>120</v>
      </c>
      <c r="AE709" t="s">
        <v>120</v>
      </c>
      <c r="AF709" t="s">
        <v>120</v>
      </c>
      <c r="AG709" t="s">
        <v>120</v>
      </c>
      <c r="AH709" t="s">
        <v>120</v>
      </c>
      <c r="AJ709">
        <v>0</v>
      </c>
      <c r="AK709">
        <v>4</v>
      </c>
      <c r="AL709">
        <v>4</v>
      </c>
      <c r="AM709">
        <v>0</v>
      </c>
      <c r="AN709">
        <v>0</v>
      </c>
      <c r="AO709">
        <v>28.25</v>
      </c>
      <c r="AP709">
        <v>4</v>
      </c>
      <c r="AQ709">
        <v>0</v>
      </c>
      <c r="AR709">
        <v>70.2</v>
      </c>
      <c r="AS709">
        <v>226</v>
      </c>
    </row>
    <row r="710" spans="1:45" x14ac:dyDescent="0.25">
      <c r="A710" t="s">
        <v>1638</v>
      </c>
      <c r="B710" t="s">
        <v>1639</v>
      </c>
      <c r="C710" t="s">
        <v>147</v>
      </c>
      <c r="D710" t="s">
        <v>1625</v>
      </c>
      <c r="E710" t="s">
        <v>120</v>
      </c>
      <c r="F710" t="s">
        <v>120</v>
      </c>
      <c r="G710" t="s">
        <v>120</v>
      </c>
      <c r="H710" t="s">
        <v>120</v>
      </c>
      <c r="I710" t="s">
        <v>120</v>
      </c>
      <c r="J710" t="s">
        <v>120</v>
      </c>
      <c r="K710" t="s">
        <v>120</v>
      </c>
      <c r="L710" t="s">
        <v>120</v>
      </c>
      <c r="M710" t="s">
        <v>120</v>
      </c>
      <c r="N710" t="s">
        <v>120</v>
      </c>
      <c r="O710" t="s">
        <v>120</v>
      </c>
      <c r="P710" t="s">
        <v>120</v>
      </c>
      <c r="Q710" t="s">
        <v>120</v>
      </c>
      <c r="R710" t="s">
        <v>120</v>
      </c>
      <c r="S710" t="s">
        <v>120</v>
      </c>
      <c r="T710" t="s">
        <v>120</v>
      </c>
      <c r="U710" t="s">
        <v>120</v>
      </c>
      <c r="V710" t="s">
        <v>120</v>
      </c>
      <c r="W710" t="s">
        <v>120</v>
      </c>
      <c r="X710" t="s">
        <v>120</v>
      </c>
      <c r="Y710" t="s">
        <v>120</v>
      </c>
      <c r="Z710" t="s">
        <v>120</v>
      </c>
      <c r="AA710" t="s">
        <v>120</v>
      </c>
      <c r="AB710" t="s">
        <v>120</v>
      </c>
      <c r="AC710" t="s">
        <v>120</v>
      </c>
      <c r="AD710" t="s">
        <v>120</v>
      </c>
      <c r="AE710" t="s">
        <v>120</v>
      </c>
      <c r="AF710" t="s">
        <v>120</v>
      </c>
      <c r="AG710" t="s">
        <v>120</v>
      </c>
      <c r="AH710" t="s">
        <v>120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31.55</v>
      </c>
      <c r="AP710">
        <v>0</v>
      </c>
      <c r="AQ710">
        <v>0</v>
      </c>
      <c r="AR710">
        <v>70.2</v>
      </c>
      <c r="AS710">
        <v>0</v>
      </c>
    </row>
    <row r="711" spans="1:45" x14ac:dyDescent="0.25">
      <c r="A711" t="s">
        <v>1640</v>
      </c>
      <c r="B711" t="s">
        <v>1641</v>
      </c>
      <c r="C711" t="s">
        <v>147</v>
      </c>
      <c r="D711" t="s">
        <v>1625</v>
      </c>
      <c r="E711" t="s">
        <v>120</v>
      </c>
      <c r="F711" t="s">
        <v>120</v>
      </c>
      <c r="G711" t="s">
        <v>120</v>
      </c>
      <c r="H711" t="s">
        <v>120</v>
      </c>
      <c r="I711" t="s">
        <v>120</v>
      </c>
      <c r="J711" t="s">
        <v>120</v>
      </c>
      <c r="K711" t="s">
        <v>120</v>
      </c>
      <c r="L711" t="s">
        <v>120</v>
      </c>
      <c r="M711" t="s">
        <v>120</v>
      </c>
      <c r="N711" t="s">
        <v>120</v>
      </c>
      <c r="O711" t="s">
        <v>120</v>
      </c>
      <c r="P711" t="s">
        <v>120</v>
      </c>
      <c r="Q711" t="s">
        <v>120</v>
      </c>
      <c r="R711" t="s">
        <v>120</v>
      </c>
      <c r="S711" t="s">
        <v>120</v>
      </c>
      <c r="T711" t="s">
        <v>120</v>
      </c>
      <c r="U711" t="s">
        <v>120</v>
      </c>
      <c r="V711" t="s">
        <v>120</v>
      </c>
      <c r="W711" t="s">
        <v>120</v>
      </c>
      <c r="X711" t="s">
        <v>120</v>
      </c>
      <c r="Y711" t="s">
        <v>120</v>
      </c>
      <c r="Z711" t="s">
        <v>120</v>
      </c>
      <c r="AA711" t="s">
        <v>120</v>
      </c>
      <c r="AB711" t="s">
        <v>120</v>
      </c>
      <c r="AC711" t="s">
        <v>120</v>
      </c>
      <c r="AD711" t="s">
        <v>120</v>
      </c>
      <c r="AE711" t="s">
        <v>120</v>
      </c>
      <c r="AF711" t="s">
        <v>120</v>
      </c>
      <c r="AG711" t="s">
        <v>120</v>
      </c>
      <c r="AH711" t="s">
        <v>120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31.55</v>
      </c>
      <c r="AP711">
        <v>0</v>
      </c>
      <c r="AQ711">
        <v>0</v>
      </c>
      <c r="AR711">
        <v>70.2</v>
      </c>
      <c r="AS711">
        <v>0</v>
      </c>
    </row>
    <row r="712" spans="1:45" x14ac:dyDescent="0.25">
      <c r="A712" t="s">
        <v>1642</v>
      </c>
      <c r="B712" t="s">
        <v>1643</v>
      </c>
      <c r="C712" t="s">
        <v>147</v>
      </c>
      <c r="D712" t="s">
        <v>1625</v>
      </c>
      <c r="E712" t="s">
        <v>120</v>
      </c>
      <c r="F712" t="s">
        <v>120</v>
      </c>
      <c r="G712" t="s">
        <v>120</v>
      </c>
      <c r="H712" t="s">
        <v>120</v>
      </c>
      <c r="I712" t="s">
        <v>120</v>
      </c>
      <c r="J712" t="s">
        <v>120</v>
      </c>
      <c r="K712" t="s">
        <v>120</v>
      </c>
      <c r="L712" t="s">
        <v>120</v>
      </c>
      <c r="M712" t="s">
        <v>120</v>
      </c>
      <c r="N712" t="s">
        <v>120</v>
      </c>
      <c r="O712" t="s">
        <v>120</v>
      </c>
      <c r="P712" t="s">
        <v>120</v>
      </c>
      <c r="Q712" t="s">
        <v>120</v>
      </c>
      <c r="R712" t="s">
        <v>120</v>
      </c>
      <c r="S712" t="s">
        <v>120</v>
      </c>
      <c r="T712" t="s">
        <v>120</v>
      </c>
      <c r="U712" t="s">
        <v>120</v>
      </c>
      <c r="V712" t="s">
        <v>120</v>
      </c>
      <c r="W712" t="s">
        <v>120</v>
      </c>
      <c r="X712" t="s">
        <v>120</v>
      </c>
      <c r="Y712" t="s">
        <v>120</v>
      </c>
      <c r="Z712" t="s">
        <v>120</v>
      </c>
      <c r="AA712" t="s">
        <v>120</v>
      </c>
      <c r="AB712" t="s">
        <v>120</v>
      </c>
      <c r="AC712" t="s">
        <v>120</v>
      </c>
      <c r="AD712" t="s">
        <v>120</v>
      </c>
      <c r="AE712" t="s">
        <v>120</v>
      </c>
      <c r="AF712" t="s">
        <v>120</v>
      </c>
      <c r="AG712" t="s">
        <v>120</v>
      </c>
      <c r="AH712" t="s">
        <v>120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31.55</v>
      </c>
      <c r="AP712">
        <v>0</v>
      </c>
      <c r="AQ712">
        <v>0</v>
      </c>
      <c r="AR712">
        <v>70.2</v>
      </c>
      <c r="AS712">
        <v>0</v>
      </c>
    </row>
    <row r="713" spans="1:45" x14ac:dyDescent="0.25">
      <c r="A713" t="s">
        <v>1644</v>
      </c>
      <c r="B713" t="s">
        <v>1645</v>
      </c>
      <c r="C713" t="s">
        <v>147</v>
      </c>
      <c r="D713" t="s">
        <v>1625</v>
      </c>
      <c r="E713" t="s">
        <v>120</v>
      </c>
      <c r="F713" t="s">
        <v>120</v>
      </c>
      <c r="G713" t="s">
        <v>120</v>
      </c>
      <c r="H713" t="s">
        <v>120</v>
      </c>
      <c r="I713" t="s">
        <v>120</v>
      </c>
      <c r="J713" t="s">
        <v>120</v>
      </c>
      <c r="K713" t="s">
        <v>120</v>
      </c>
      <c r="L713" t="s">
        <v>120</v>
      </c>
      <c r="M713" t="s">
        <v>120</v>
      </c>
      <c r="N713" t="s">
        <v>120</v>
      </c>
      <c r="O713" t="s">
        <v>120</v>
      </c>
      <c r="P713" t="s">
        <v>120</v>
      </c>
      <c r="Q713" t="s">
        <v>120</v>
      </c>
      <c r="R713" t="s">
        <v>120</v>
      </c>
      <c r="S713" t="s">
        <v>120</v>
      </c>
      <c r="T713" t="s">
        <v>120</v>
      </c>
      <c r="U713" t="s">
        <v>120</v>
      </c>
      <c r="V713" t="s">
        <v>120</v>
      </c>
      <c r="W713" t="s">
        <v>120</v>
      </c>
      <c r="X713" t="s">
        <v>120</v>
      </c>
      <c r="Y713" t="s">
        <v>120</v>
      </c>
      <c r="Z713" t="s">
        <v>120</v>
      </c>
      <c r="AA713" t="s">
        <v>120</v>
      </c>
      <c r="AB713" t="s">
        <v>120</v>
      </c>
      <c r="AC713" t="s">
        <v>120</v>
      </c>
      <c r="AD713" t="s">
        <v>120</v>
      </c>
      <c r="AE713" t="s">
        <v>120</v>
      </c>
      <c r="AF713" t="s">
        <v>120</v>
      </c>
      <c r="AG713" t="s">
        <v>120</v>
      </c>
      <c r="AH713" t="s">
        <v>120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31.55</v>
      </c>
      <c r="AP713">
        <v>0</v>
      </c>
      <c r="AQ713">
        <v>0</v>
      </c>
      <c r="AR713">
        <v>70.2</v>
      </c>
      <c r="AS713">
        <v>0</v>
      </c>
    </row>
    <row r="714" spans="1:45" x14ac:dyDescent="0.25">
      <c r="A714" t="s">
        <v>1646</v>
      </c>
      <c r="B714" t="s">
        <v>1647</v>
      </c>
      <c r="C714" t="s">
        <v>147</v>
      </c>
      <c r="D714" t="s">
        <v>1625</v>
      </c>
      <c r="E714" t="s">
        <v>120</v>
      </c>
      <c r="F714" t="s">
        <v>120</v>
      </c>
      <c r="G714" t="s">
        <v>120</v>
      </c>
      <c r="H714" t="s">
        <v>120</v>
      </c>
      <c r="I714" t="s">
        <v>120</v>
      </c>
      <c r="J714" t="s">
        <v>120</v>
      </c>
      <c r="K714" t="s">
        <v>120</v>
      </c>
      <c r="L714" t="s">
        <v>120</v>
      </c>
      <c r="M714" t="s">
        <v>120</v>
      </c>
      <c r="N714" t="s">
        <v>341</v>
      </c>
      <c r="O714" t="s">
        <v>120</v>
      </c>
      <c r="P714" t="s">
        <v>120</v>
      </c>
      <c r="Q714" t="s">
        <v>120</v>
      </c>
      <c r="R714" t="s">
        <v>120</v>
      </c>
      <c r="S714" t="s">
        <v>120</v>
      </c>
      <c r="T714" t="s">
        <v>120</v>
      </c>
      <c r="U714" t="s">
        <v>120</v>
      </c>
      <c r="V714" t="s">
        <v>120</v>
      </c>
      <c r="W714" t="s">
        <v>120</v>
      </c>
      <c r="X714" t="s">
        <v>120</v>
      </c>
      <c r="Y714" t="s">
        <v>141</v>
      </c>
      <c r="Z714" t="s">
        <v>120</v>
      </c>
      <c r="AA714" t="s">
        <v>120</v>
      </c>
      <c r="AB714" t="s">
        <v>120</v>
      </c>
      <c r="AC714" t="s">
        <v>120</v>
      </c>
      <c r="AD714" t="s">
        <v>120</v>
      </c>
      <c r="AE714" t="s">
        <v>120</v>
      </c>
      <c r="AF714" t="s">
        <v>120</v>
      </c>
      <c r="AG714" t="s">
        <v>124</v>
      </c>
      <c r="AH714" t="s">
        <v>120</v>
      </c>
      <c r="AJ714">
        <v>0</v>
      </c>
      <c r="AK714">
        <v>16</v>
      </c>
      <c r="AL714">
        <v>12</v>
      </c>
      <c r="AM714">
        <v>4</v>
      </c>
      <c r="AN714">
        <v>0</v>
      </c>
      <c r="AO714">
        <v>28.25</v>
      </c>
      <c r="AP714">
        <v>16</v>
      </c>
      <c r="AQ714">
        <v>0</v>
      </c>
      <c r="AR714">
        <v>70.2</v>
      </c>
      <c r="AS714">
        <v>904</v>
      </c>
    </row>
    <row r="715" spans="1:45" x14ac:dyDescent="0.25">
      <c r="A715" t="s">
        <v>1648</v>
      </c>
      <c r="B715" t="s">
        <v>1649</v>
      </c>
      <c r="C715" t="s">
        <v>147</v>
      </c>
      <c r="D715" t="s">
        <v>1625</v>
      </c>
      <c r="E715" t="s">
        <v>120</v>
      </c>
      <c r="F715" t="s">
        <v>120</v>
      </c>
      <c r="G715" t="s">
        <v>120</v>
      </c>
      <c r="H715" t="s">
        <v>120</v>
      </c>
      <c r="I715" t="s">
        <v>120</v>
      </c>
      <c r="J715" t="s">
        <v>141</v>
      </c>
      <c r="K715" t="s">
        <v>120</v>
      </c>
      <c r="L715" t="s">
        <v>120</v>
      </c>
      <c r="M715" t="s">
        <v>120</v>
      </c>
      <c r="N715" t="s">
        <v>341</v>
      </c>
      <c r="O715" t="s">
        <v>120</v>
      </c>
      <c r="P715" t="s">
        <v>120</v>
      </c>
      <c r="Q715" t="s">
        <v>120</v>
      </c>
      <c r="R715" t="s">
        <v>120</v>
      </c>
      <c r="S715" t="s">
        <v>120</v>
      </c>
      <c r="T715" t="s">
        <v>120</v>
      </c>
      <c r="U715" t="s">
        <v>120</v>
      </c>
      <c r="V715" t="s">
        <v>120</v>
      </c>
      <c r="W715" t="s">
        <v>120</v>
      </c>
      <c r="X715" t="s">
        <v>120</v>
      </c>
      <c r="Y715" t="s">
        <v>141</v>
      </c>
      <c r="Z715" t="s">
        <v>120</v>
      </c>
      <c r="AA715" t="s">
        <v>120</v>
      </c>
      <c r="AB715" t="s">
        <v>120</v>
      </c>
      <c r="AC715" t="s">
        <v>120</v>
      </c>
      <c r="AD715" t="s">
        <v>120</v>
      </c>
      <c r="AE715" t="s">
        <v>120</v>
      </c>
      <c r="AF715" t="s">
        <v>120</v>
      </c>
      <c r="AG715" t="s">
        <v>124</v>
      </c>
      <c r="AH715" t="s">
        <v>120</v>
      </c>
      <c r="AJ715">
        <v>0</v>
      </c>
      <c r="AK715">
        <v>24</v>
      </c>
      <c r="AL715">
        <v>20</v>
      </c>
      <c r="AM715">
        <v>4</v>
      </c>
      <c r="AN715">
        <v>0</v>
      </c>
      <c r="AO715">
        <v>28.25</v>
      </c>
      <c r="AP715">
        <v>24</v>
      </c>
      <c r="AQ715">
        <v>0</v>
      </c>
      <c r="AR715">
        <v>70.2</v>
      </c>
      <c r="AS715">
        <v>1356</v>
      </c>
    </row>
    <row r="716" spans="1:45" x14ac:dyDescent="0.25">
      <c r="A716" t="s">
        <v>1650</v>
      </c>
      <c r="B716" t="s">
        <v>1651</v>
      </c>
      <c r="C716" t="s">
        <v>147</v>
      </c>
      <c r="D716" t="s">
        <v>1625</v>
      </c>
      <c r="E716" t="s">
        <v>120</v>
      </c>
      <c r="F716" t="s">
        <v>120</v>
      </c>
      <c r="G716" t="s">
        <v>120</v>
      </c>
      <c r="H716" t="s">
        <v>120</v>
      </c>
      <c r="I716" t="s">
        <v>120</v>
      </c>
      <c r="J716" t="s">
        <v>120</v>
      </c>
      <c r="K716" t="s">
        <v>120</v>
      </c>
      <c r="L716" t="s">
        <v>120</v>
      </c>
      <c r="M716" t="s">
        <v>120</v>
      </c>
      <c r="N716" t="s">
        <v>120</v>
      </c>
      <c r="O716" t="s">
        <v>120</v>
      </c>
      <c r="P716" t="s">
        <v>120</v>
      </c>
      <c r="Q716" t="s">
        <v>120</v>
      </c>
      <c r="R716" t="s">
        <v>120</v>
      </c>
      <c r="S716" t="s">
        <v>120</v>
      </c>
      <c r="T716" t="s">
        <v>120</v>
      </c>
      <c r="U716" t="s">
        <v>120</v>
      </c>
      <c r="V716" t="s">
        <v>120</v>
      </c>
      <c r="W716" t="s">
        <v>120</v>
      </c>
      <c r="X716" t="s">
        <v>120</v>
      </c>
      <c r="Y716" t="s">
        <v>120</v>
      </c>
      <c r="Z716" t="s">
        <v>120</v>
      </c>
      <c r="AA716" t="s">
        <v>120</v>
      </c>
      <c r="AB716" t="s">
        <v>120</v>
      </c>
      <c r="AC716" t="s">
        <v>120</v>
      </c>
      <c r="AD716" t="s">
        <v>120</v>
      </c>
      <c r="AE716" t="s">
        <v>120</v>
      </c>
      <c r="AF716" t="s">
        <v>120</v>
      </c>
      <c r="AG716" t="s">
        <v>120</v>
      </c>
      <c r="AH716" t="s">
        <v>120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31.55</v>
      </c>
      <c r="AP716">
        <v>0</v>
      </c>
      <c r="AQ716">
        <v>0</v>
      </c>
      <c r="AR716">
        <v>70.2</v>
      </c>
      <c r="AS716">
        <v>0</v>
      </c>
    </row>
    <row r="717" spans="1:45" x14ac:dyDescent="0.25">
      <c r="A717" t="s">
        <v>1652</v>
      </c>
      <c r="B717" t="s">
        <v>1653</v>
      </c>
      <c r="C717" t="s">
        <v>147</v>
      </c>
      <c r="D717" t="s">
        <v>1625</v>
      </c>
      <c r="E717" t="s">
        <v>120</v>
      </c>
      <c r="F717" t="s">
        <v>120</v>
      </c>
      <c r="G717" t="s">
        <v>120</v>
      </c>
      <c r="H717" t="s">
        <v>120</v>
      </c>
      <c r="I717" t="s">
        <v>120</v>
      </c>
      <c r="J717" t="s">
        <v>120</v>
      </c>
      <c r="K717" t="s">
        <v>120</v>
      </c>
      <c r="L717" t="s">
        <v>120</v>
      </c>
      <c r="M717" t="s">
        <v>120</v>
      </c>
      <c r="N717" t="s">
        <v>120</v>
      </c>
      <c r="O717" t="s">
        <v>120</v>
      </c>
      <c r="P717" t="s">
        <v>120</v>
      </c>
      <c r="Q717" t="s">
        <v>120</v>
      </c>
      <c r="R717" t="s">
        <v>120</v>
      </c>
      <c r="S717" t="s">
        <v>120</v>
      </c>
      <c r="T717" t="s">
        <v>120</v>
      </c>
      <c r="U717" t="s">
        <v>120</v>
      </c>
      <c r="V717" t="s">
        <v>120</v>
      </c>
      <c r="W717" t="s">
        <v>120</v>
      </c>
      <c r="X717" t="s">
        <v>120</v>
      </c>
      <c r="Y717" t="s">
        <v>120</v>
      </c>
      <c r="Z717" t="s">
        <v>120</v>
      </c>
      <c r="AA717" t="s">
        <v>120</v>
      </c>
      <c r="AB717" t="s">
        <v>120</v>
      </c>
      <c r="AC717" t="s">
        <v>120</v>
      </c>
      <c r="AD717" t="s">
        <v>120</v>
      </c>
      <c r="AE717" t="s">
        <v>120</v>
      </c>
      <c r="AF717" t="s">
        <v>120</v>
      </c>
      <c r="AG717" t="s">
        <v>330</v>
      </c>
      <c r="AH717" t="s">
        <v>120</v>
      </c>
      <c r="AJ717">
        <v>0</v>
      </c>
      <c r="AK717">
        <v>3</v>
      </c>
      <c r="AL717">
        <v>0</v>
      </c>
      <c r="AM717">
        <v>3</v>
      </c>
      <c r="AN717">
        <v>0</v>
      </c>
      <c r="AO717">
        <v>28.25</v>
      </c>
      <c r="AP717">
        <v>3</v>
      </c>
      <c r="AQ717">
        <v>0</v>
      </c>
      <c r="AR717">
        <v>70.2</v>
      </c>
      <c r="AS717">
        <v>169.5</v>
      </c>
    </row>
    <row r="718" spans="1:45" x14ac:dyDescent="0.25">
      <c r="A718" t="s">
        <v>1654</v>
      </c>
      <c r="B718" t="s">
        <v>1655</v>
      </c>
      <c r="C718" t="s">
        <v>147</v>
      </c>
      <c r="D718" t="s">
        <v>1625</v>
      </c>
      <c r="E718" t="s">
        <v>120</v>
      </c>
      <c r="F718" t="s">
        <v>120</v>
      </c>
      <c r="G718" t="s">
        <v>120</v>
      </c>
      <c r="H718" t="s">
        <v>120</v>
      </c>
      <c r="I718" t="s">
        <v>120</v>
      </c>
      <c r="J718" t="s">
        <v>120</v>
      </c>
      <c r="K718" t="s">
        <v>120</v>
      </c>
      <c r="L718" t="s">
        <v>120</v>
      </c>
      <c r="M718" t="s">
        <v>120</v>
      </c>
      <c r="N718" t="s">
        <v>120</v>
      </c>
      <c r="O718" t="s">
        <v>120</v>
      </c>
      <c r="P718" t="s">
        <v>120</v>
      </c>
      <c r="Q718" t="s">
        <v>120</v>
      </c>
      <c r="R718" t="s">
        <v>120</v>
      </c>
      <c r="S718" t="s">
        <v>120</v>
      </c>
      <c r="T718" t="s">
        <v>120</v>
      </c>
      <c r="U718" t="s">
        <v>120</v>
      </c>
      <c r="V718" t="s">
        <v>120</v>
      </c>
      <c r="W718" t="s">
        <v>120</v>
      </c>
      <c r="X718" t="s">
        <v>120</v>
      </c>
      <c r="Y718" t="s">
        <v>120</v>
      </c>
      <c r="Z718" t="s">
        <v>120</v>
      </c>
      <c r="AA718" t="s">
        <v>120</v>
      </c>
      <c r="AB718" t="s">
        <v>120</v>
      </c>
      <c r="AC718" t="s">
        <v>120</v>
      </c>
      <c r="AD718" t="s">
        <v>120</v>
      </c>
      <c r="AE718" t="s">
        <v>120</v>
      </c>
      <c r="AF718" t="s">
        <v>120</v>
      </c>
      <c r="AG718" t="s">
        <v>120</v>
      </c>
      <c r="AH718" t="s">
        <v>120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31.55</v>
      </c>
      <c r="AP718">
        <v>0</v>
      </c>
      <c r="AQ718">
        <v>0</v>
      </c>
      <c r="AR718">
        <v>70.2</v>
      </c>
      <c r="AS718">
        <v>0</v>
      </c>
    </row>
    <row r="719" spans="1:45" x14ac:dyDescent="0.25">
      <c r="A719" t="s">
        <v>1656</v>
      </c>
      <c r="B719" t="s">
        <v>1657</v>
      </c>
      <c r="C719" t="s">
        <v>147</v>
      </c>
      <c r="D719" t="s">
        <v>1625</v>
      </c>
      <c r="E719" t="s">
        <v>120</v>
      </c>
      <c r="F719" t="s">
        <v>120</v>
      </c>
      <c r="G719" t="s">
        <v>120</v>
      </c>
      <c r="H719" t="s">
        <v>120</v>
      </c>
      <c r="I719" t="s">
        <v>120</v>
      </c>
      <c r="J719" t="s">
        <v>120</v>
      </c>
      <c r="K719" t="s">
        <v>120</v>
      </c>
      <c r="L719" t="s">
        <v>120</v>
      </c>
      <c r="M719" t="s">
        <v>120</v>
      </c>
      <c r="N719" t="s">
        <v>120</v>
      </c>
      <c r="O719" t="s">
        <v>120</v>
      </c>
      <c r="P719" t="s">
        <v>120</v>
      </c>
      <c r="Q719" t="s">
        <v>120</v>
      </c>
      <c r="R719" t="s">
        <v>120</v>
      </c>
      <c r="S719" t="s">
        <v>120</v>
      </c>
      <c r="T719" t="s">
        <v>120</v>
      </c>
      <c r="U719" t="s">
        <v>120</v>
      </c>
      <c r="V719" t="s">
        <v>120</v>
      </c>
      <c r="W719" t="s">
        <v>120</v>
      </c>
      <c r="X719" t="s">
        <v>120</v>
      </c>
      <c r="Y719" t="s">
        <v>120</v>
      </c>
      <c r="Z719" t="s">
        <v>120</v>
      </c>
      <c r="AA719" t="s">
        <v>120</v>
      </c>
      <c r="AB719" t="s">
        <v>120</v>
      </c>
      <c r="AC719" t="s">
        <v>120</v>
      </c>
      <c r="AD719" t="s">
        <v>120</v>
      </c>
      <c r="AE719" t="s">
        <v>120</v>
      </c>
      <c r="AF719" t="s">
        <v>120</v>
      </c>
      <c r="AG719" t="s">
        <v>120</v>
      </c>
      <c r="AH719" t="s">
        <v>120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28.25</v>
      </c>
      <c r="AP719">
        <v>0</v>
      </c>
      <c r="AQ719">
        <v>0</v>
      </c>
      <c r="AR719">
        <v>70.2</v>
      </c>
      <c r="AS719">
        <v>0</v>
      </c>
    </row>
    <row r="720" spans="1:45" x14ac:dyDescent="0.25">
      <c r="A720" t="s">
        <v>1658</v>
      </c>
      <c r="B720" t="s">
        <v>1659</v>
      </c>
      <c r="C720" t="s">
        <v>127</v>
      </c>
      <c r="D720" t="s">
        <v>1625</v>
      </c>
      <c r="E720" t="s">
        <v>120</v>
      </c>
      <c r="F720" t="s">
        <v>120</v>
      </c>
      <c r="G720" t="s">
        <v>120</v>
      </c>
      <c r="H720" t="s">
        <v>120</v>
      </c>
      <c r="I720" t="s">
        <v>120</v>
      </c>
      <c r="J720" t="s">
        <v>141</v>
      </c>
      <c r="K720" t="s">
        <v>120</v>
      </c>
      <c r="L720" t="s">
        <v>120</v>
      </c>
      <c r="M720" t="s">
        <v>120</v>
      </c>
      <c r="N720" t="s">
        <v>1660</v>
      </c>
      <c r="O720" t="s">
        <v>341</v>
      </c>
      <c r="P720" t="s">
        <v>120</v>
      </c>
      <c r="Q720" t="s">
        <v>120</v>
      </c>
      <c r="R720" t="s">
        <v>120</v>
      </c>
      <c r="S720" t="s">
        <v>120</v>
      </c>
      <c r="T720" t="s">
        <v>120</v>
      </c>
      <c r="U720" t="s">
        <v>120</v>
      </c>
      <c r="V720" t="s">
        <v>120</v>
      </c>
      <c r="W720" t="s">
        <v>120</v>
      </c>
      <c r="X720" t="s">
        <v>120</v>
      </c>
      <c r="Y720" t="s">
        <v>120</v>
      </c>
      <c r="Z720" t="s">
        <v>120</v>
      </c>
      <c r="AA720" t="s">
        <v>120</v>
      </c>
      <c r="AB720" t="s">
        <v>135</v>
      </c>
      <c r="AC720" t="s">
        <v>120</v>
      </c>
      <c r="AD720" t="s">
        <v>120</v>
      </c>
      <c r="AE720" t="s">
        <v>120</v>
      </c>
      <c r="AF720" t="s">
        <v>120</v>
      </c>
      <c r="AG720" t="s">
        <v>326</v>
      </c>
      <c r="AH720" t="s">
        <v>120</v>
      </c>
      <c r="AJ720">
        <v>0</v>
      </c>
      <c r="AK720">
        <v>25.5</v>
      </c>
      <c r="AL720">
        <v>15.499999999999998</v>
      </c>
      <c r="AM720">
        <v>10</v>
      </c>
      <c r="AN720">
        <v>0</v>
      </c>
      <c r="AO720">
        <v>33.43</v>
      </c>
      <c r="AP720">
        <v>25.5</v>
      </c>
      <c r="AQ720">
        <v>0</v>
      </c>
      <c r="AR720">
        <v>75.06</v>
      </c>
      <c r="AS720">
        <v>1704.93</v>
      </c>
    </row>
    <row r="721" spans="1:45" x14ac:dyDescent="0.25">
      <c r="A721" t="s">
        <v>1661</v>
      </c>
      <c r="B721" t="s">
        <v>1662</v>
      </c>
      <c r="C721" t="s">
        <v>147</v>
      </c>
      <c r="D721" t="s">
        <v>1625</v>
      </c>
      <c r="E721" t="s">
        <v>120</v>
      </c>
      <c r="F721" t="s">
        <v>120</v>
      </c>
      <c r="G721" t="s">
        <v>120</v>
      </c>
      <c r="H721" t="s">
        <v>120</v>
      </c>
      <c r="I721" t="s">
        <v>120</v>
      </c>
      <c r="J721" t="s">
        <v>341</v>
      </c>
      <c r="K721" t="s">
        <v>120</v>
      </c>
      <c r="L721" t="s">
        <v>120</v>
      </c>
      <c r="M721" t="s">
        <v>120</v>
      </c>
      <c r="N721" t="s">
        <v>120</v>
      </c>
      <c r="O721" t="s">
        <v>120</v>
      </c>
      <c r="P721" t="s">
        <v>120</v>
      </c>
      <c r="Q721" t="s">
        <v>120</v>
      </c>
      <c r="R721" t="s">
        <v>120</v>
      </c>
      <c r="S721" t="s">
        <v>120</v>
      </c>
      <c r="T721" t="s">
        <v>120</v>
      </c>
      <c r="U721" t="s">
        <v>120</v>
      </c>
      <c r="V721" t="s">
        <v>120</v>
      </c>
      <c r="W721" t="s">
        <v>120</v>
      </c>
      <c r="X721" t="s">
        <v>120</v>
      </c>
      <c r="Y721" t="s">
        <v>120</v>
      </c>
      <c r="Z721" t="s">
        <v>120</v>
      </c>
      <c r="AA721" t="s">
        <v>120</v>
      </c>
      <c r="AB721" t="s">
        <v>120</v>
      </c>
      <c r="AC721" t="s">
        <v>120</v>
      </c>
      <c r="AD721" t="s">
        <v>120</v>
      </c>
      <c r="AE721" t="s">
        <v>120</v>
      </c>
      <c r="AF721" t="s">
        <v>120</v>
      </c>
      <c r="AG721" t="s">
        <v>120</v>
      </c>
      <c r="AH721" t="s">
        <v>120</v>
      </c>
      <c r="AJ721">
        <v>0</v>
      </c>
      <c r="AK721">
        <v>4</v>
      </c>
      <c r="AL721">
        <v>4</v>
      </c>
      <c r="AM721">
        <v>0</v>
      </c>
      <c r="AN721">
        <v>0</v>
      </c>
      <c r="AO721">
        <v>28.25</v>
      </c>
      <c r="AP721">
        <v>4</v>
      </c>
      <c r="AQ721">
        <v>0</v>
      </c>
      <c r="AR721">
        <v>70.2</v>
      </c>
      <c r="AS721">
        <v>226</v>
      </c>
    </row>
    <row r="722" spans="1:45" x14ac:dyDescent="0.25">
      <c r="A722" t="s">
        <v>1663</v>
      </c>
      <c r="B722" t="s">
        <v>1664</v>
      </c>
      <c r="C722" t="s">
        <v>147</v>
      </c>
      <c r="D722" t="s">
        <v>1625</v>
      </c>
      <c r="E722" t="s">
        <v>120</v>
      </c>
      <c r="F722" t="s">
        <v>120</v>
      </c>
      <c r="G722" t="s">
        <v>120</v>
      </c>
      <c r="H722" t="s">
        <v>120</v>
      </c>
      <c r="I722" t="s">
        <v>120</v>
      </c>
      <c r="J722" t="s">
        <v>341</v>
      </c>
      <c r="K722" t="s">
        <v>120</v>
      </c>
      <c r="L722" t="s">
        <v>120</v>
      </c>
      <c r="M722" t="s">
        <v>120</v>
      </c>
      <c r="N722" t="s">
        <v>120</v>
      </c>
      <c r="O722" t="s">
        <v>120</v>
      </c>
      <c r="P722" t="s">
        <v>120</v>
      </c>
      <c r="Q722" t="s">
        <v>120</v>
      </c>
      <c r="R722" t="s">
        <v>120</v>
      </c>
      <c r="S722" t="s">
        <v>120</v>
      </c>
      <c r="T722" t="s">
        <v>120</v>
      </c>
      <c r="U722" t="s">
        <v>120</v>
      </c>
      <c r="V722" t="s">
        <v>120</v>
      </c>
      <c r="W722" t="s">
        <v>120</v>
      </c>
      <c r="X722" t="s">
        <v>120</v>
      </c>
      <c r="Y722" t="s">
        <v>141</v>
      </c>
      <c r="Z722" t="s">
        <v>120</v>
      </c>
      <c r="AA722" t="s">
        <v>120</v>
      </c>
      <c r="AB722" t="s">
        <v>120</v>
      </c>
      <c r="AC722" t="s">
        <v>120</v>
      </c>
      <c r="AD722" t="s">
        <v>120</v>
      </c>
      <c r="AE722" t="s">
        <v>120</v>
      </c>
      <c r="AF722" t="s">
        <v>120</v>
      </c>
      <c r="AG722" t="s">
        <v>120</v>
      </c>
      <c r="AH722" t="s">
        <v>120</v>
      </c>
      <c r="AJ722">
        <v>0</v>
      </c>
      <c r="AK722">
        <v>12</v>
      </c>
      <c r="AL722">
        <v>12</v>
      </c>
      <c r="AM722">
        <v>0</v>
      </c>
      <c r="AN722">
        <v>0</v>
      </c>
      <c r="AO722">
        <v>31.55</v>
      </c>
      <c r="AP722">
        <v>12</v>
      </c>
      <c r="AQ722">
        <v>0</v>
      </c>
      <c r="AR722">
        <v>70.2</v>
      </c>
      <c r="AS722">
        <v>757.2</v>
      </c>
    </row>
    <row r="723" spans="1:45" x14ac:dyDescent="0.25">
      <c r="A723" t="s">
        <v>1665</v>
      </c>
      <c r="B723" t="s">
        <v>1666</v>
      </c>
      <c r="C723" t="s">
        <v>147</v>
      </c>
      <c r="D723" t="s">
        <v>1625</v>
      </c>
      <c r="E723" t="s">
        <v>120</v>
      </c>
      <c r="F723" t="s">
        <v>120</v>
      </c>
      <c r="G723" t="s">
        <v>120</v>
      </c>
      <c r="H723" t="s">
        <v>120</v>
      </c>
      <c r="I723" t="s">
        <v>120</v>
      </c>
      <c r="J723" t="s">
        <v>141</v>
      </c>
      <c r="K723" t="s">
        <v>120</v>
      </c>
      <c r="L723" t="s">
        <v>120</v>
      </c>
      <c r="M723" t="s">
        <v>120</v>
      </c>
      <c r="N723" t="s">
        <v>120</v>
      </c>
      <c r="O723" t="s">
        <v>120</v>
      </c>
      <c r="P723" t="s">
        <v>120</v>
      </c>
      <c r="Q723" t="s">
        <v>120</v>
      </c>
      <c r="R723" t="s">
        <v>120</v>
      </c>
      <c r="S723" t="s">
        <v>120</v>
      </c>
      <c r="T723" t="s">
        <v>120</v>
      </c>
      <c r="U723" t="s">
        <v>120</v>
      </c>
      <c r="V723" t="s">
        <v>120</v>
      </c>
      <c r="W723" t="s">
        <v>120</v>
      </c>
      <c r="X723" t="s">
        <v>120</v>
      </c>
      <c r="Y723" t="s">
        <v>120</v>
      </c>
      <c r="Z723" t="s">
        <v>120</v>
      </c>
      <c r="AA723" t="s">
        <v>120</v>
      </c>
      <c r="AB723" t="s">
        <v>120</v>
      </c>
      <c r="AC723" t="s">
        <v>120</v>
      </c>
      <c r="AD723" t="s">
        <v>120</v>
      </c>
      <c r="AE723" t="s">
        <v>120</v>
      </c>
      <c r="AF723" t="s">
        <v>120</v>
      </c>
      <c r="AG723" t="s">
        <v>120</v>
      </c>
      <c r="AH723" t="s">
        <v>120</v>
      </c>
      <c r="AJ723">
        <v>0</v>
      </c>
      <c r="AK723">
        <v>8</v>
      </c>
      <c r="AL723">
        <v>8</v>
      </c>
      <c r="AM723">
        <v>0</v>
      </c>
      <c r="AN723">
        <v>0</v>
      </c>
      <c r="AO723">
        <v>31.55</v>
      </c>
      <c r="AP723">
        <v>8</v>
      </c>
      <c r="AQ723">
        <v>0</v>
      </c>
      <c r="AR723">
        <v>70.2</v>
      </c>
      <c r="AS723">
        <v>504.8</v>
      </c>
    </row>
    <row r="724" spans="1:45" x14ac:dyDescent="0.25">
      <c r="A724" t="s">
        <v>1667</v>
      </c>
      <c r="B724" t="s">
        <v>1668</v>
      </c>
      <c r="C724" t="s">
        <v>130</v>
      </c>
      <c r="D724" t="s">
        <v>1625</v>
      </c>
      <c r="E724" t="s">
        <v>120</v>
      </c>
      <c r="F724" t="s">
        <v>120</v>
      </c>
      <c r="G724" t="s">
        <v>120</v>
      </c>
      <c r="H724" t="s">
        <v>120</v>
      </c>
      <c r="I724" t="s">
        <v>120</v>
      </c>
      <c r="J724" t="s">
        <v>141</v>
      </c>
      <c r="K724" t="s">
        <v>120</v>
      </c>
      <c r="L724" t="s">
        <v>120</v>
      </c>
      <c r="M724" t="s">
        <v>120</v>
      </c>
      <c r="N724" t="s">
        <v>341</v>
      </c>
      <c r="O724" t="s">
        <v>331</v>
      </c>
      <c r="P724" t="s">
        <v>120</v>
      </c>
      <c r="Q724" t="s">
        <v>120</v>
      </c>
      <c r="R724" t="s">
        <v>120</v>
      </c>
      <c r="S724" t="s">
        <v>120</v>
      </c>
      <c r="T724" t="s">
        <v>120</v>
      </c>
      <c r="U724" t="s">
        <v>120</v>
      </c>
      <c r="V724" t="s">
        <v>120</v>
      </c>
      <c r="W724" t="s">
        <v>120</v>
      </c>
      <c r="X724" t="s">
        <v>120</v>
      </c>
      <c r="Y724" t="s">
        <v>141</v>
      </c>
      <c r="Z724" t="s">
        <v>120</v>
      </c>
      <c r="AA724" t="s">
        <v>120</v>
      </c>
      <c r="AB724" t="s">
        <v>120</v>
      </c>
      <c r="AC724" t="s">
        <v>120</v>
      </c>
      <c r="AD724" t="s">
        <v>120</v>
      </c>
      <c r="AE724" t="s">
        <v>120</v>
      </c>
      <c r="AF724" t="s">
        <v>120</v>
      </c>
      <c r="AG724" t="s">
        <v>124</v>
      </c>
      <c r="AH724" t="s">
        <v>120</v>
      </c>
      <c r="AJ724">
        <v>0</v>
      </c>
      <c r="AK724">
        <v>26</v>
      </c>
      <c r="AL724">
        <v>22</v>
      </c>
      <c r="AM724">
        <v>4</v>
      </c>
      <c r="AN724">
        <v>0</v>
      </c>
      <c r="AO724">
        <v>7500</v>
      </c>
      <c r="AP724">
        <v>26</v>
      </c>
      <c r="AQ724">
        <v>0</v>
      </c>
      <c r="AR724">
        <v>126.56250000000001</v>
      </c>
      <c r="AS724">
        <v>2437.5</v>
      </c>
    </row>
    <row r="725" spans="1:45" x14ac:dyDescent="0.25">
      <c r="A725" t="s">
        <v>1669</v>
      </c>
      <c r="B725" t="s">
        <v>1670</v>
      </c>
      <c r="C725" t="s">
        <v>147</v>
      </c>
      <c r="D725" t="s">
        <v>1671</v>
      </c>
      <c r="E725" t="s">
        <v>120</v>
      </c>
      <c r="F725" t="s">
        <v>120</v>
      </c>
      <c r="G725" t="s">
        <v>120</v>
      </c>
      <c r="H725" t="s">
        <v>120</v>
      </c>
      <c r="I725" t="s">
        <v>120</v>
      </c>
      <c r="J725" t="s">
        <v>120</v>
      </c>
      <c r="K725" t="s">
        <v>120</v>
      </c>
      <c r="L725" t="s">
        <v>120</v>
      </c>
      <c r="M725" t="s">
        <v>120</v>
      </c>
      <c r="N725" t="s">
        <v>120</v>
      </c>
      <c r="O725" t="s">
        <v>141</v>
      </c>
      <c r="P725" t="s">
        <v>120</v>
      </c>
      <c r="Q725" t="s">
        <v>120</v>
      </c>
      <c r="R725" t="s">
        <v>120</v>
      </c>
      <c r="S725" t="s">
        <v>120</v>
      </c>
      <c r="T725" t="s">
        <v>120</v>
      </c>
      <c r="U725" t="s">
        <v>120</v>
      </c>
      <c r="V725" t="s">
        <v>120</v>
      </c>
      <c r="W725" t="s">
        <v>120</v>
      </c>
      <c r="X725" t="s">
        <v>120</v>
      </c>
      <c r="Y725" t="s">
        <v>120</v>
      </c>
      <c r="Z725" t="s">
        <v>120</v>
      </c>
      <c r="AA725" t="s">
        <v>120</v>
      </c>
      <c r="AB725" t="s">
        <v>120</v>
      </c>
      <c r="AC725" t="s">
        <v>120</v>
      </c>
      <c r="AD725" t="s">
        <v>120</v>
      </c>
      <c r="AE725" t="s">
        <v>120</v>
      </c>
      <c r="AF725" t="s">
        <v>120</v>
      </c>
      <c r="AG725" t="s">
        <v>120</v>
      </c>
      <c r="AH725" t="s">
        <v>120</v>
      </c>
      <c r="AJ725">
        <v>0</v>
      </c>
      <c r="AK725">
        <v>8</v>
      </c>
      <c r="AL725">
        <v>8</v>
      </c>
      <c r="AM725">
        <v>0</v>
      </c>
      <c r="AN725">
        <v>0</v>
      </c>
      <c r="AO725">
        <v>31.55</v>
      </c>
      <c r="AP725">
        <v>8</v>
      </c>
      <c r="AQ725">
        <v>0</v>
      </c>
      <c r="AR725">
        <v>70.2</v>
      </c>
      <c r="AS725">
        <v>504.8</v>
      </c>
    </row>
    <row r="726" spans="1:45" x14ac:dyDescent="0.25">
      <c r="A726" t="s">
        <v>1672</v>
      </c>
      <c r="B726" t="s">
        <v>1673</v>
      </c>
      <c r="C726" t="s">
        <v>147</v>
      </c>
      <c r="D726" t="s">
        <v>1671</v>
      </c>
      <c r="E726" t="s">
        <v>120</v>
      </c>
      <c r="F726" t="s">
        <v>120</v>
      </c>
      <c r="G726" t="s">
        <v>120</v>
      </c>
      <c r="H726" t="s">
        <v>120</v>
      </c>
      <c r="I726" t="s">
        <v>120</v>
      </c>
      <c r="J726" t="s">
        <v>120</v>
      </c>
      <c r="K726" t="s">
        <v>120</v>
      </c>
      <c r="L726" t="s">
        <v>120</v>
      </c>
      <c r="M726" t="s">
        <v>120</v>
      </c>
      <c r="N726" t="s">
        <v>120</v>
      </c>
      <c r="O726" t="s">
        <v>120</v>
      </c>
      <c r="P726" t="s">
        <v>120</v>
      </c>
      <c r="Q726" t="s">
        <v>120</v>
      </c>
      <c r="R726" t="s">
        <v>120</v>
      </c>
      <c r="S726" t="s">
        <v>120</v>
      </c>
      <c r="T726" t="s">
        <v>120</v>
      </c>
      <c r="U726" t="s">
        <v>120</v>
      </c>
      <c r="V726" t="s">
        <v>120</v>
      </c>
      <c r="W726" t="s">
        <v>120</v>
      </c>
      <c r="X726" t="s">
        <v>120</v>
      </c>
      <c r="Y726" t="s">
        <v>120</v>
      </c>
      <c r="Z726" t="s">
        <v>120</v>
      </c>
      <c r="AA726" t="s">
        <v>120</v>
      </c>
      <c r="AB726" t="s">
        <v>120</v>
      </c>
      <c r="AC726" t="s">
        <v>120</v>
      </c>
      <c r="AD726" t="s">
        <v>120</v>
      </c>
      <c r="AE726" t="s">
        <v>120</v>
      </c>
      <c r="AF726" t="s">
        <v>120</v>
      </c>
      <c r="AG726" t="s">
        <v>120</v>
      </c>
      <c r="AH726" t="s">
        <v>120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31.55</v>
      </c>
      <c r="AP726">
        <v>0</v>
      </c>
      <c r="AQ726">
        <v>0</v>
      </c>
      <c r="AR726">
        <v>70.2</v>
      </c>
      <c r="AS726">
        <v>0</v>
      </c>
    </row>
    <row r="727" spans="1:45" x14ac:dyDescent="0.25">
      <c r="A727" t="s">
        <v>1674</v>
      </c>
      <c r="B727" t="s">
        <v>1675</v>
      </c>
      <c r="C727" t="s">
        <v>147</v>
      </c>
      <c r="D727" t="s">
        <v>1671</v>
      </c>
      <c r="E727" t="s">
        <v>120</v>
      </c>
      <c r="F727" t="s">
        <v>120</v>
      </c>
      <c r="G727" t="s">
        <v>120</v>
      </c>
      <c r="H727" t="s">
        <v>120</v>
      </c>
      <c r="I727" t="s">
        <v>120</v>
      </c>
      <c r="J727" t="s">
        <v>120</v>
      </c>
      <c r="K727" t="s">
        <v>120</v>
      </c>
      <c r="L727" t="s">
        <v>120</v>
      </c>
      <c r="M727" t="s">
        <v>120</v>
      </c>
      <c r="N727" t="s">
        <v>120</v>
      </c>
      <c r="O727" t="s">
        <v>341</v>
      </c>
      <c r="P727" t="s">
        <v>120</v>
      </c>
      <c r="Q727" t="s">
        <v>120</v>
      </c>
      <c r="R727" t="s">
        <v>120</v>
      </c>
      <c r="S727" t="s">
        <v>120</v>
      </c>
      <c r="T727" t="s">
        <v>120</v>
      </c>
      <c r="U727" t="s">
        <v>120</v>
      </c>
      <c r="V727" t="s">
        <v>120</v>
      </c>
      <c r="W727" t="s">
        <v>120</v>
      </c>
      <c r="X727" t="s">
        <v>120</v>
      </c>
      <c r="Y727" t="s">
        <v>120</v>
      </c>
      <c r="Z727" t="s">
        <v>120</v>
      </c>
      <c r="AA727" t="s">
        <v>120</v>
      </c>
      <c r="AB727" t="s">
        <v>120</v>
      </c>
      <c r="AC727" t="s">
        <v>120</v>
      </c>
      <c r="AD727" t="s">
        <v>120</v>
      </c>
      <c r="AE727" t="s">
        <v>120</v>
      </c>
      <c r="AF727" t="s">
        <v>120</v>
      </c>
      <c r="AG727" t="s">
        <v>120</v>
      </c>
      <c r="AH727" t="s">
        <v>120</v>
      </c>
      <c r="AJ727">
        <v>0</v>
      </c>
      <c r="AK727">
        <v>4</v>
      </c>
      <c r="AL727">
        <v>4</v>
      </c>
      <c r="AM727">
        <v>0</v>
      </c>
      <c r="AN727">
        <v>0</v>
      </c>
      <c r="AO727">
        <v>31.55</v>
      </c>
      <c r="AP727">
        <v>4</v>
      </c>
      <c r="AQ727">
        <v>0</v>
      </c>
      <c r="AR727">
        <v>70.2</v>
      </c>
      <c r="AS727">
        <v>252.4</v>
      </c>
    </row>
    <row r="728" spans="1:45" x14ac:dyDescent="0.25">
      <c r="A728" t="s">
        <v>1676</v>
      </c>
      <c r="B728" t="s">
        <v>1677</v>
      </c>
      <c r="C728" t="s">
        <v>147</v>
      </c>
      <c r="D728" t="s">
        <v>1671</v>
      </c>
      <c r="E728" t="s">
        <v>120</v>
      </c>
      <c r="F728" t="s">
        <v>120</v>
      </c>
      <c r="G728" t="s">
        <v>120</v>
      </c>
      <c r="H728" t="s">
        <v>120</v>
      </c>
      <c r="I728" t="s">
        <v>120</v>
      </c>
      <c r="J728" t="s">
        <v>120</v>
      </c>
      <c r="K728" t="s">
        <v>120</v>
      </c>
      <c r="L728" t="s">
        <v>120</v>
      </c>
      <c r="M728" t="s">
        <v>120</v>
      </c>
      <c r="N728" t="s">
        <v>120</v>
      </c>
      <c r="O728" t="s">
        <v>341</v>
      </c>
      <c r="P728" t="s">
        <v>120</v>
      </c>
      <c r="Q728" t="s">
        <v>120</v>
      </c>
      <c r="R728" t="s">
        <v>120</v>
      </c>
      <c r="S728" t="s">
        <v>120</v>
      </c>
      <c r="T728" t="s">
        <v>120</v>
      </c>
      <c r="U728" t="s">
        <v>120</v>
      </c>
      <c r="V728" t="s">
        <v>120</v>
      </c>
      <c r="W728" t="s">
        <v>120</v>
      </c>
      <c r="X728" t="s">
        <v>120</v>
      </c>
      <c r="Y728" t="s">
        <v>120</v>
      </c>
      <c r="Z728" t="s">
        <v>120</v>
      </c>
      <c r="AA728" t="s">
        <v>120</v>
      </c>
      <c r="AB728" t="s">
        <v>120</v>
      </c>
      <c r="AC728" t="s">
        <v>120</v>
      </c>
      <c r="AD728" t="s">
        <v>120</v>
      </c>
      <c r="AE728" t="s">
        <v>120</v>
      </c>
      <c r="AF728" t="s">
        <v>120</v>
      </c>
      <c r="AG728" t="s">
        <v>120</v>
      </c>
      <c r="AH728" t="s">
        <v>120</v>
      </c>
      <c r="AJ728">
        <v>0</v>
      </c>
      <c r="AK728">
        <v>4</v>
      </c>
      <c r="AL728">
        <v>4</v>
      </c>
      <c r="AM728">
        <v>0</v>
      </c>
      <c r="AN728">
        <v>0</v>
      </c>
      <c r="AO728">
        <v>31.55</v>
      </c>
      <c r="AP728">
        <v>4</v>
      </c>
      <c r="AQ728">
        <v>0</v>
      </c>
      <c r="AR728">
        <v>70.2</v>
      </c>
      <c r="AS728">
        <v>252.4</v>
      </c>
    </row>
    <row r="729" spans="1:45" x14ac:dyDescent="0.25">
      <c r="A729" t="s">
        <v>1678</v>
      </c>
      <c r="B729" t="s">
        <v>1679</v>
      </c>
      <c r="C729" t="s">
        <v>147</v>
      </c>
      <c r="D729" t="s">
        <v>1671</v>
      </c>
      <c r="E729" t="s">
        <v>120</v>
      </c>
      <c r="F729" t="s">
        <v>120</v>
      </c>
      <c r="G729" t="s">
        <v>120</v>
      </c>
      <c r="H729" t="s">
        <v>120</v>
      </c>
      <c r="I729" t="s">
        <v>120</v>
      </c>
      <c r="J729" t="s">
        <v>120</v>
      </c>
      <c r="K729" t="s">
        <v>120</v>
      </c>
      <c r="L729" t="s">
        <v>120</v>
      </c>
      <c r="M729" t="s">
        <v>120</v>
      </c>
      <c r="N729" t="s">
        <v>120</v>
      </c>
      <c r="O729" t="s">
        <v>341</v>
      </c>
      <c r="P729" t="s">
        <v>120</v>
      </c>
      <c r="Q729" t="s">
        <v>120</v>
      </c>
      <c r="R729" t="s">
        <v>120</v>
      </c>
      <c r="S729" t="s">
        <v>120</v>
      </c>
      <c r="T729" t="s">
        <v>120</v>
      </c>
      <c r="U729" t="s">
        <v>120</v>
      </c>
      <c r="V729" t="s">
        <v>120</v>
      </c>
      <c r="W729" t="s">
        <v>120</v>
      </c>
      <c r="X729" t="s">
        <v>120</v>
      </c>
      <c r="Y729" t="s">
        <v>120</v>
      </c>
      <c r="Z729" t="s">
        <v>120</v>
      </c>
      <c r="AA729" t="s">
        <v>120</v>
      </c>
      <c r="AB729" t="s">
        <v>120</v>
      </c>
      <c r="AC729" t="s">
        <v>120</v>
      </c>
      <c r="AD729" t="s">
        <v>120</v>
      </c>
      <c r="AE729" t="s">
        <v>120</v>
      </c>
      <c r="AF729" t="s">
        <v>120</v>
      </c>
      <c r="AG729" t="s">
        <v>120</v>
      </c>
      <c r="AH729" t="s">
        <v>120</v>
      </c>
      <c r="AJ729">
        <v>0</v>
      </c>
      <c r="AK729">
        <v>4</v>
      </c>
      <c r="AL729">
        <v>4</v>
      </c>
      <c r="AM729">
        <v>0</v>
      </c>
      <c r="AN729">
        <v>0</v>
      </c>
      <c r="AO729">
        <v>31.55</v>
      </c>
      <c r="AP729">
        <v>4</v>
      </c>
      <c r="AQ729">
        <v>0</v>
      </c>
      <c r="AR729">
        <v>70.2</v>
      </c>
      <c r="AS729">
        <v>252.4</v>
      </c>
    </row>
    <row r="730" spans="1:45" x14ac:dyDescent="0.25">
      <c r="A730" t="s">
        <v>1680</v>
      </c>
      <c r="B730" t="s">
        <v>1681</v>
      </c>
      <c r="C730" t="s">
        <v>147</v>
      </c>
      <c r="D730" t="s">
        <v>1671</v>
      </c>
      <c r="E730" t="s">
        <v>120</v>
      </c>
      <c r="F730" t="s">
        <v>120</v>
      </c>
      <c r="G730" t="s">
        <v>120</v>
      </c>
      <c r="H730" t="s">
        <v>120</v>
      </c>
      <c r="I730" t="s">
        <v>120</v>
      </c>
      <c r="J730" t="s">
        <v>120</v>
      </c>
      <c r="K730" t="s">
        <v>120</v>
      </c>
      <c r="L730" t="s">
        <v>120</v>
      </c>
      <c r="M730" t="s">
        <v>120</v>
      </c>
      <c r="N730" t="s">
        <v>120</v>
      </c>
      <c r="O730" t="s">
        <v>141</v>
      </c>
      <c r="P730" t="s">
        <v>120</v>
      </c>
      <c r="Q730" t="s">
        <v>120</v>
      </c>
      <c r="R730" t="s">
        <v>120</v>
      </c>
      <c r="S730" t="s">
        <v>120</v>
      </c>
      <c r="T730" t="s">
        <v>120</v>
      </c>
      <c r="U730" t="s">
        <v>120</v>
      </c>
      <c r="V730" t="s">
        <v>120</v>
      </c>
      <c r="W730" t="s">
        <v>120</v>
      </c>
      <c r="X730" t="s">
        <v>120</v>
      </c>
      <c r="Y730" t="s">
        <v>120</v>
      </c>
      <c r="Z730" t="s">
        <v>120</v>
      </c>
      <c r="AA730" t="s">
        <v>120</v>
      </c>
      <c r="AB730" t="s">
        <v>120</v>
      </c>
      <c r="AC730" t="s">
        <v>120</v>
      </c>
      <c r="AD730" t="s">
        <v>120</v>
      </c>
      <c r="AE730" t="s">
        <v>120</v>
      </c>
      <c r="AF730" t="s">
        <v>120</v>
      </c>
      <c r="AG730" t="s">
        <v>120</v>
      </c>
      <c r="AH730" t="s">
        <v>120</v>
      </c>
      <c r="AJ730">
        <v>0</v>
      </c>
      <c r="AK730">
        <v>8</v>
      </c>
      <c r="AL730">
        <v>8</v>
      </c>
      <c r="AM730">
        <v>0</v>
      </c>
      <c r="AN730">
        <v>0</v>
      </c>
      <c r="AO730">
        <v>31.55</v>
      </c>
      <c r="AP730">
        <v>8</v>
      </c>
      <c r="AQ730">
        <v>0</v>
      </c>
      <c r="AR730">
        <v>70.2</v>
      </c>
      <c r="AS730">
        <v>504.8</v>
      </c>
    </row>
    <row r="731" spans="1:45" x14ac:dyDescent="0.25">
      <c r="A731" t="s">
        <v>1682</v>
      </c>
      <c r="B731" t="s">
        <v>1683</v>
      </c>
      <c r="C731" t="s">
        <v>147</v>
      </c>
      <c r="D731" t="s">
        <v>1671</v>
      </c>
      <c r="E731" t="s">
        <v>120</v>
      </c>
      <c r="F731" t="s">
        <v>120</v>
      </c>
      <c r="G731" t="s">
        <v>120</v>
      </c>
      <c r="H731" t="s">
        <v>120</v>
      </c>
      <c r="I731" t="s">
        <v>120</v>
      </c>
      <c r="J731" t="s">
        <v>120</v>
      </c>
      <c r="K731" t="s">
        <v>120</v>
      </c>
      <c r="L731" t="s">
        <v>120</v>
      </c>
      <c r="M731" t="s">
        <v>120</v>
      </c>
      <c r="N731" t="s">
        <v>120</v>
      </c>
      <c r="O731" t="s">
        <v>141</v>
      </c>
      <c r="P731" t="s">
        <v>120</v>
      </c>
      <c r="Q731" t="s">
        <v>120</v>
      </c>
      <c r="R731" t="s">
        <v>120</v>
      </c>
      <c r="S731" t="s">
        <v>120</v>
      </c>
      <c r="T731" t="s">
        <v>120</v>
      </c>
      <c r="U731" t="s">
        <v>120</v>
      </c>
      <c r="V731" t="s">
        <v>120</v>
      </c>
      <c r="W731" t="s">
        <v>120</v>
      </c>
      <c r="X731" t="s">
        <v>120</v>
      </c>
      <c r="Y731" t="s">
        <v>120</v>
      </c>
      <c r="Z731" t="s">
        <v>120</v>
      </c>
      <c r="AA731" t="s">
        <v>120</v>
      </c>
      <c r="AB731" t="s">
        <v>120</v>
      </c>
      <c r="AC731" t="s">
        <v>120</v>
      </c>
      <c r="AD731" t="s">
        <v>120</v>
      </c>
      <c r="AE731" t="s">
        <v>120</v>
      </c>
      <c r="AF731" t="s">
        <v>120</v>
      </c>
      <c r="AG731" t="s">
        <v>120</v>
      </c>
      <c r="AH731" t="s">
        <v>120</v>
      </c>
      <c r="AJ731">
        <v>0</v>
      </c>
      <c r="AK731">
        <v>8</v>
      </c>
      <c r="AL731">
        <v>8</v>
      </c>
      <c r="AM731">
        <v>0</v>
      </c>
      <c r="AN731">
        <v>0</v>
      </c>
      <c r="AO731">
        <v>31.55</v>
      </c>
      <c r="AP731">
        <v>8</v>
      </c>
      <c r="AQ731">
        <v>0</v>
      </c>
      <c r="AR731">
        <v>70.2</v>
      </c>
      <c r="AS731">
        <v>504.8</v>
      </c>
    </row>
    <row r="732" spans="1:45" x14ac:dyDescent="0.25">
      <c r="A732" t="s">
        <v>1684</v>
      </c>
      <c r="B732" t="s">
        <v>1685</v>
      </c>
      <c r="C732" t="s">
        <v>147</v>
      </c>
      <c r="D732" t="s">
        <v>1671</v>
      </c>
      <c r="E732" t="s">
        <v>120</v>
      </c>
      <c r="F732" t="s">
        <v>120</v>
      </c>
      <c r="G732" t="s">
        <v>120</v>
      </c>
      <c r="H732" t="s">
        <v>120</v>
      </c>
      <c r="I732" t="s">
        <v>120</v>
      </c>
      <c r="J732" t="s">
        <v>120</v>
      </c>
      <c r="K732" t="s">
        <v>120</v>
      </c>
      <c r="L732" t="s">
        <v>120</v>
      </c>
      <c r="M732" t="s">
        <v>120</v>
      </c>
      <c r="N732" t="s">
        <v>120</v>
      </c>
      <c r="O732" t="s">
        <v>141</v>
      </c>
      <c r="P732" t="s">
        <v>120</v>
      </c>
      <c r="Q732" t="s">
        <v>120</v>
      </c>
      <c r="R732" t="s">
        <v>120</v>
      </c>
      <c r="S732" t="s">
        <v>120</v>
      </c>
      <c r="T732" t="s">
        <v>120</v>
      </c>
      <c r="U732" t="s">
        <v>120</v>
      </c>
      <c r="V732" t="s">
        <v>120</v>
      </c>
      <c r="W732" t="s">
        <v>120</v>
      </c>
      <c r="X732" t="s">
        <v>120</v>
      </c>
      <c r="Y732" t="s">
        <v>120</v>
      </c>
      <c r="Z732" t="s">
        <v>120</v>
      </c>
      <c r="AA732" t="s">
        <v>120</v>
      </c>
      <c r="AB732" t="s">
        <v>120</v>
      </c>
      <c r="AC732" t="s">
        <v>120</v>
      </c>
      <c r="AD732" t="s">
        <v>120</v>
      </c>
      <c r="AE732" t="s">
        <v>120</v>
      </c>
      <c r="AF732" t="s">
        <v>120</v>
      </c>
      <c r="AG732" t="s">
        <v>120</v>
      </c>
      <c r="AH732" t="s">
        <v>120</v>
      </c>
      <c r="AJ732">
        <v>0</v>
      </c>
      <c r="AK732">
        <v>8</v>
      </c>
      <c r="AL732">
        <v>8</v>
      </c>
      <c r="AM732">
        <v>0</v>
      </c>
      <c r="AN732">
        <v>0</v>
      </c>
      <c r="AO732">
        <v>31.55</v>
      </c>
      <c r="AP732">
        <v>8</v>
      </c>
      <c r="AQ732">
        <v>0</v>
      </c>
      <c r="AR732">
        <v>70.2</v>
      </c>
      <c r="AS732">
        <v>504.8</v>
      </c>
    </row>
    <row r="733" spans="1:45" x14ac:dyDescent="0.25">
      <c r="A733" t="s">
        <v>1686</v>
      </c>
      <c r="B733" t="s">
        <v>1687</v>
      </c>
      <c r="C733" t="s">
        <v>147</v>
      </c>
      <c r="D733" t="s">
        <v>1671</v>
      </c>
      <c r="E733" t="s">
        <v>120</v>
      </c>
      <c r="F733" t="s">
        <v>120</v>
      </c>
      <c r="G733" t="s">
        <v>120</v>
      </c>
      <c r="H733" t="s">
        <v>120</v>
      </c>
      <c r="I733" t="s">
        <v>120</v>
      </c>
      <c r="J733" t="s">
        <v>120</v>
      </c>
      <c r="K733" t="s">
        <v>120</v>
      </c>
      <c r="L733" t="s">
        <v>120</v>
      </c>
      <c r="M733" t="s">
        <v>120</v>
      </c>
      <c r="N733" t="s">
        <v>120</v>
      </c>
      <c r="O733" t="s">
        <v>341</v>
      </c>
      <c r="P733" t="s">
        <v>120</v>
      </c>
      <c r="Q733" t="s">
        <v>120</v>
      </c>
      <c r="R733" t="s">
        <v>120</v>
      </c>
      <c r="S733" t="s">
        <v>120</v>
      </c>
      <c r="T733" t="s">
        <v>120</v>
      </c>
      <c r="U733" t="s">
        <v>120</v>
      </c>
      <c r="V733" t="s">
        <v>598</v>
      </c>
      <c r="W733" t="s">
        <v>141</v>
      </c>
      <c r="X733" t="s">
        <v>120</v>
      </c>
      <c r="Y733" t="s">
        <v>120</v>
      </c>
      <c r="Z733" t="s">
        <v>120</v>
      </c>
      <c r="AA733" t="s">
        <v>120</v>
      </c>
      <c r="AB733" t="s">
        <v>120</v>
      </c>
      <c r="AC733" t="s">
        <v>141</v>
      </c>
      <c r="AD733" t="s">
        <v>120</v>
      </c>
      <c r="AE733" t="s">
        <v>120</v>
      </c>
      <c r="AF733" t="s">
        <v>120</v>
      </c>
      <c r="AG733" t="s">
        <v>120</v>
      </c>
      <c r="AH733" t="s">
        <v>120</v>
      </c>
      <c r="AJ733">
        <v>0</v>
      </c>
      <c r="AK733">
        <v>26</v>
      </c>
      <c r="AL733">
        <v>20</v>
      </c>
      <c r="AM733">
        <v>6</v>
      </c>
      <c r="AN733">
        <v>0</v>
      </c>
      <c r="AO733">
        <v>31.55</v>
      </c>
      <c r="AP733">
        <v>26</v>
      </c>
      <c r="AQ733">
        <v>0</v>
      </c>
      <c r="AR733">
        <v>70.2</v>
      </c>
      <c r="AS733">
        <v>1640.6000000000001</v>
      </c>
    </row>
    <row r="734" spans="1:45" x14ac:dyDescent="0.25">
      <c r="A734" t="s">
        <v>1688</v>
      </c>
      <c r="B734" t="s">
        <v>1689</v>
      </c>
      <c r="C734" t="s">
        <v>130</v>
      </c>
      <c r="D734" t="s">
        <v>1671</v>
      </c>
      <c r="E734" t="s">
        <v>285</v>
      </c>
      <c r="F734" t="s">
        <v>120</v>
      </c>
      <c r="G734" t="s">
        <v>120</v>
      </c>
      <c r="H734" t="s">
        <v>120</v>
      </c>
      <c r="I734" t="s">
        <v>120</v>
      </c>
      <c r="J734" t="s">
        <v>120</v>
      </c>
      <c r="K734" t="s">
        <v>120</v>
      </c>
      <c r="L734" t="s">
        <v>120</v>
      </c>
      <c r="M734" t="s">
        <v>120</v>
      </c>
      <c r="N734" t="s">
        <v>120</v>
      </c>
      <c r="O734" t="s">
        <v>141</v>
      </c>
      <c r="P734" t="s">
        <v>120</v>
      </c>
      <c r="Q734" t="s">
        <v>120</v>
      </c>
      <c r="R734" t="s">
        <v>120</v>
      </c>
      <c r="S734" t="s">
        <v>120</v>
      </c>
      <c r="T734" t="s">
        <v>120</v>
      </c>
      <c r="U734" t="s">
        <v>120</v>
      </c>
      <c r="V734" t="s">
        <v>120</v>
      </c>
      <c r="W734" t="s">
        <v>120</v>
      </c>
      <c r="X734" t="s">
        <v>120</v>
      </c>
      <c r="Y734" t="s">
        <v>120</v>
      </c>
      <c r="Z734" t="s">
        <v>120</v>
      </c>
      <c r="AA734" t="s">
        <v>120</v>
      </c>
      <c r="AB734" t="s">
        <v>120</v>
      </c>
      <c r="AC734" t="s">
        <v>120</v>
      </c>
      <c r="AD734" t="s">
        <v>120</v>
      </c>
      <c r="AE734" t="s">
        <v>120</v>
      </c>
      <c r="AF734" t="s">
        <v>120</v>
      </c>
      <c r="AG734" t="s">
        <v>120</v>
      </c>
      <c r="AH734" t="s">
        <v>120</v>
      </c>
      <c r="AJ734">
        <v>0</v>
      </c>
      <c r="AK734">
        <v>15</v>
      </c>
      <c r="AL734">
        <v>8</v>
      </c>
      <c r="AM734">
        <v>0</v>
      </c>
      <c r="AN734">
        <v>7</v>
      </c>
      <c r="AO734">
        <v>7500</v>
      </c>
      <c r="AP734">
        <v>8</v>
      </c>
      <c r="AQ734">
        <v>885.93750000000011</v>
      </c>
      <c r="AR734">
        <v>126.56250000000001</v>
      </c>
      <c r="AS734">
        <v>750</v>
      </c>
    </row>
    <row r="735" spans="1:45" x14ac:dyDescent="0.25">
      <c r="A735" t="s">
        <v>1690</v>
      </c>
      <c r="B735" t="s">
        <v>1691</v>
      </c>
      <c r="C735" t="s">
        <v>147</v>
      </c>
      <c r="D735" t="s">
        <v>1671</v>
      </c>
      <c r="E735" t="s">
        <v>120</v>
      </c>
      <c r="F735" t="s">
        <v>120</v>
      </c>
      <c r="G735" t="s">
        <v>120</v>
      </c>
      <c r="H735" t="s">
        <v>120</v>
      </c>
      <c r="I735" t="s">
        <v>120</v>
      </c>
      <c r="J735" t="s">
        <v>120</v>
      </c>
      <c r="K735" t="s">
        <v>120</v>
      </c>
      <c r="L735" t="s">
        <v>120</v>
      </c>
      <c r="M735" t="s">
        <v>120</v>
      </c>
      <c r="N735" t="s">
        <v>120</v>
      </c>
      <c r="O735" t="s">
        <v>341</v>
      </c>
      <c r="P735" t="s">
        <v>120</v>
      </c>
      <c r="Q735" t="s">
        <v>120</v>
      </c>
      <c r="R735" t="s">
        <v>120</v>
      </c>
      <c r="S735" t="s">
        <v>120</v>
      </c>
      <c r="T735" t="s">
        <v>120</v>
      </c>
      <c r="U735" t="s">
        <v>120</v>
      </c>
      <c r="V735" t="s">
        <v>598</v>
      </c>
      <c r="W735" t="s">
        <v>120</v>
      </c>
      <c r="X735" t="s">
        <v>120</v>
      </c>
      <c r="Y735" t="s">
        <v>120</v>
      </c>
      <c r="Z735" t="s">
        <v>120</v>
      </c>
      <c r="AA735" t="s">
        <v>120</v>
      </c>
      <c r="AB735" t="s">
        <v>120</v>
      </c>
      <c r="AC735" t="s">
        <v>120</v>
      </c>
      <c r="AD735" t="s">
        <v>120</v>
      </c>
      <c r="AE735" t="s">
        <v>120</v>
      </c>
      <c r="AF735" t="s">
        <v>120</v>
      </c>
      <c r="AG735" t="s">
        <v>120</v>
      </c>
      <c r="AH735" t="s">
        <v>120</v>
      </c>
      <c r="AJ735">
        <v>0</v>
      </c>
      <c r="AK735">
        <v>10</v>
      </c>
      <c r="AL735">
        <v>4</v>
      </c>
      <c r="AM735">
        <v>6</v>
      </c>
      <c r="AN735">
        <v>0</v>
      </c>
      <c r="AO735">
        <v>31.55</v>
      </c>
      <c r="AP735">
        <v>10</v>
      </c>
      <c r="AQ735">
        <v>0</v>
      </c>
      <c r="AR735">
        <v>70.2</v>
      </c>
      <c r="AS735">
        <v>631</v>
      </c>
    </row>
    <row r="736" spans="1:45" x14ac:dyDescent="0.25">
      <c r="A736" t="s">
        <v>1692</v>
      </c>
      <c r="B736" t="s">
        <v>1693</v>
      </c>
      <c r="C736" t="s">
        <v>147</v>
      </c>
      <c r="D736" t="s">
        <v>1671</v>
      </c>
      <c r="E736" t="s">
        <v>120</v>
      </c>
      <c r="F736" t="s">
        <v>120</v>
      </c>
      <c r="G736" t="s">
        <v>120</v>
      </c>
      <c r="H736" t="s">
        <v>120</v>
      </c>
      <c r="I736" t="s">
        <v>120</v>
      </c>
      <c r="J736" t="s">
        <v>120</v>
      </c>
      <c r="K736" t="s">
        <v>120</v>
      </c>
      <c r="L736" t="s">
        <v>120</v>
      </c>
      <c r="M736" t="s">
        <v>120</v>
      </c>
      <c r="N736" t="s">
        <v>120</v>
      </c>
      <c r="O736" t="s">
        <v>141</v>
      </c>
      <c r="P736" t="s">
        <v>120</v>
      </c>
      <c r="Q736" t="s">
        <v>120</v>
      </c>
      <c r="R736" t="s">
        <v>120</v>
      </c>
      <c r="S736" t="s">
        <v>120</v>
      </c>
      <c r="T736" t="s">
        <v>120</v>
      </c>
      <c r="U736" t="s">
        <v>120</v>
      </c>
      <c r="V736" t="s">
        <v>120</v>
      </c>
      <c r="W736" t="s">
        <v>120</v>
      </c>
      <c r="X736" t="s">
        <v>120</v>
      </c>
      <c r="Y736" t="s">
        <v>120</v>
      </c>
      <c r="Z736" t="s">
        <v>120</v>
      </c>
      <c r="AA736" t="s">
        <v>120</v>
      </c>
      <c r="AB736" t="s">
        <v>120</v>
      </c>
      <c r="AC736" t="s">
        <v>120</v>
      </c>
      <c r="AD736" t="s">
        <v>120</v>
      </c>
      <c r="AE736" t="s">
        <v>120</v>
      </c>
      <c r="AF736" t="s">
        <v>120</v>
      </c>
      <c r="AG736" t="s">
        <v>120</v>
      </c>
      <c r="AH736" t="s">
        <v>120</v>
      </c>
      <c r="AJ736">
        <v>0</v>
      </c>
      <c r="AK736">
        <v>8</v>
      </c>
      <c r="AL736">
        <v>8</v>
      </c>
      <c r="AM736">
        <v>0</v>
      </c>
      <c r="AN736">
        <v>0</v>
      </c>
      <c r="AO736">
        <v>31.55</v>
      </c>
      <c r="AP736">
        <v>8</v>
      </c>
      <c r="AQ736">
        <v>0</v>
      </c>
      <c r="AR736">
        <v>70.2</v>
      </c>
      <c r="AS736">
        <v>504.8</v>
      </c>
    </row>
    <row r="737" spans="1:45" x14ac:dyDescent="0.25">
      <c r="A737" t="s">
        <v>1694</v>
      </c>
      <c r="B737" t="s">
        <v>1695</v>
      </c>
      <c r="C737" t="s">
        <v>127</v>
      </c>
      <c r="D737" t="s">
        <v>1671</v>
      </c>
      <c r="E737" t="s">
        <v>120</v>
      </c>
      <c r="F737" t="s">
        <v>120</v>
      </c>
      <c r="G737" t="s">
        <v>120</v>
      </c>
      <c r="H737" t="s">
        <v>120</v>
      </c>
      <c r="I737" t="s">
        <v>120</v>
      </c>
      <c r="J737" t="s">
        <v>120</v>
      </c>
      <c r="K737" t="s">
        <v>120</v>
      </c>
      <c r="L737" t="s">
        <v>120</v>
      </c>
      <c r="M737" t="s">
        <v>120</v>
      </c>
      <c r="N737" t="s">
        <v>120</v>
      </c>
      <c r="O737" t="s">
        <v>120</v>
      </c>
      <c r="P737" t="s">
        <v>120</v>
      </c>
      <c r="Q737" t="s">
        <v>120</v>
      </c>
      <c r="R737" t="s">
        <v>120</v>
      </c>
      <c r="S737" t="s">
        <v>120</v>
      </c>
      <c r="T737" t="s">
        <v>120</v>
      </c>
      <c r="U737" t="s">
        <v>120</v>
      </c>
      <c r="V737" t="s">
        <v>120</v>
      </c>
      <c r="W737" t="s">
        <v>120</v>
      </c>
      <c r="X737" t="s">
        <v>120</v>
      </c>
      <c r="Y737" t="s">
        <v>120</v>
      </c>
      <c r="Z737" t="s">
        <v>120</v>
      </c>
      <c r="AA737" t="s">
        <v>120</v>
      </c>
      <c r="AB737" t="s">
        <v>120</v>
      </c>
      <c r="AC737" t="s">
        <v>120</v>
      </c>
      <c r="AD737" t="s">
        <v>120</v>
      </c>
      <c r="AE737" t="s">
        <v>120</v>
      </c>
      <c r="AF737" t="s">
        <v>120</v>
      </c>
      <c r="AG737" t="s">
        <v>120</v>
      </c>
      <c r="AH737" t="s">
        <v>120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33.43</v>
      </c>
      <c r="AP737">
        <v>0</v>
      </c>
      <c r="AQ737">
        <v>0</v>
      </c>
      <c r="AR737">
        <v>75.06</v>
      </c>
      <c r="AS737">
        <v>0</v>
      </c>
    </row>
    <row r="738" spans="1:45" x14ac:dyDescent="0.25">
      <c r="A738" t="s">
        <v>1696</v>
      </c>
      <c r="B738" t="s">
        <v>1697</v>
      </c>
      <c r="C738" t="s">
        <v>147</v>
      </c>
      <c r="D738" t="s">
        <v>1671</v>
      </c>
      <c r="E738" t="s">
        <v>120</v>
      </c>
      <c r="F738" t="s">
        <v>120</v>
      </c>
      <c r="G738" t="s">
        <v>120</v>
      </c>
      <c r="H738" t="s">
        <v>120</v>
      </c>
      <c r="I738" t="s">
        <v>120</v>
      </c>
      <c r="J738" t="s">
        <v>120</v>
      </c>
      <c r="K738" t="s">
        <v>120</v>
      </c>
      <c r="L738" t="s">
        <v>120</v>
      </c>
      <c r="M738" t="s">
        <v>120</v>
      </c>
      <c r="N738" t="s">
        <v>120</v>
      </c>
      <c r="O738" t="s">
        <v>341</v>
      </c>
      <c r="P738" t="s">
        <v>120</v>
      </c>
      <c r="Q738" t="s">
        <v>120</v>
      </c>
      <c r="R738" t="s">
        <v>120</v>
      </c>
      <c r="S738" t="s">
        <v>120</v>
      </c>
      <c r="T738" t="s">
        <v>120</v>
      </c>
      <c r="U738" t="s">
        <v>120</v>
      </c>
      <c r="V738" t="s">
        <v>120</v>
      </c>
      <c r="W738" t="s">
        <v>120</v>
      </c>
      <c r="X738" t="s">
        <v>120</v>
      </c>
      <c r="Y738" t="s">
        <v>120</v>
      </c>
      <c r="Z738" t="s">
        <v>120</v>
      </c>
      <c r="AA738" t="s">
        <v>120</v>
      </c>
      <c r="AB738" t="s">
        <v>120</v>
      </c>
      <c r="AC738" t="s">
        <v>120</v>
      </c>
      <c r="AD738" t="s">
        <v>120</v>
      </c>
      <c r="AE738" t="s">
        <v>120</v>
      </c>
      <c r="AF738" t="s">
        <v>120</v>
      </c>
      <c r="AG738" t="s">
        <v>120</v>
      </c>
      <c r="AH738" t="s">
        <v>120</v>
      </c>
      <c r="AJ738">
        <v>0</v>
      </c>
      <c r="AK738">
        <v>4</v>
      </c>
      <c r="AL738">
        <v>4</v>
      </c>
      <c r="AM738">
        <v>0</v>
      </c>
      <c r="AN738">
        <v>0</v>
      </c>
      <c r="AO738">
        <v>31.55</v>
      </c>
      <c r="AP738">
        <v>4</v>
      </c>
      <c r="AQ738">
        <v>0</v>
      </c>
      <c r="AR738">
        <v>70.2</v>
      </c>
      <c r="AS738">
        <v>252.4</v>
      </c>
    </row>
    <row r="739" spans="1:45" x14ac:dyDescent="0.25">
      <c r="A739" t="s">
        <v>1698</v>
      </c>
      <c r="B739" t="s">
        <v>1699</v>
      </c>
      <c r="C739" t="s">
        <v>147</v>
      </c>
      <c r="D739" t="s">
        <v>1671</v>
      </c>
      <c r="E739" t="s">
        <v>120</v>
      </c>
      <c r="F739" t="s">
        <v>120</v>
      </c>
      <c r="G739" t="s">
        <v>120</v>
      </c>
      <c r="H739" t="s">
        <v>120</v>
      </c>
      <c r="I739" t="s">
        <v>120</v>
      </c>
      <c r="J739" t="s">
        <v>120</v>
      </c>
      <c r="K739" t="s">
        <v>120</v>
      </c>
      <c r="L739" t="s">
        <v>120</v>
      </c>
      <c r="M739" t="s">
        <v>120</v>
      </c>
      <c r="N739" t="s">
        <v>120</v>
      </c>
      <c r="O739" t="s">
        <v>341</v>
      </c>
      <c r="P739" t="s">
        <v>120</v>
      </c>
      <c r="Q739" t="s">
        <v>120</v>
      </c>
      <c r="R739" t="s">
        <v>120</v>
      </c>
      <c r="S739" t="s">
        <v>120</v>
      </c>
      <c r="T739" t="s">
        <v>120</v>
      </c>
      <c r="U739" t="s">
        <v>120</v>
      </c>
      <c r="V739" t="s">
        <v>120</v>
      </c>
      <c r="W739" t="s">
        <v>120</v>
      </c>
      <c r="X739" t="s">
        <v>120</v>
      </c>
      <c r="Y739" t="s">
        <v>120</v>
      </c>
      <c r="Z739" t="s">
        <v>120</v>
      </c>
      <c r="AA739" t="s">
        <v>120</v>
      </c>
      <c r="AB739" t="s">
        <v>120</v>
      </c>
      <c r="AC739" t="s">
        <v>120</v>
      </c>
      <c r="AD739" t="s">
        <v>120</v>
      </c>
      <c r="AE739" t="s">
        <v>120</v>
      </c>
      <c r="AF739" t="s">
        <v>120</v>
      </c>
      <c r="AG739" t="s">
        <v>120</v>
      </c>
      <c r="AH739" t="s">
        <v>120</v>
      </c>
      <c r="AJ739">
        <v>0</v>
      </c>
      <c r="AK739">
        <v>4</v>
      </c>
      <c r="AL739">
        <v>4</v>
      </c>
      <c r="AM739">
        <v>0</v>
      </c>
      <c r="AN739">
        <v>0</v>
      </c>
      <c r="AO739">
        <v>33.43</v>
      </c>
      <c r="AP739">
        <v>4</v>
      </c>
      <c r="AQ739">
        <v>0</v>
      </c>
      <c r="AR739">
        <v>70.2</v>
      </c>
      <c r="AS739">
        <v>267.44</v>
      </c>
    </row>
    <row r="740" spans="1:45" x14ac:dyDescent="0.25">
      <c r="A740" t="s">
        <v>1700</v>
      </c>
      <c r="B740" t="s">
        <v>1701</v>
      </c>
      <c r="C740" t="s">
        <v>147</v>
      </c>
      <c r="D740" t="s">
        <v>1671</v>
      </c>
      <c r="E740" t="s">
        <v>120</v>
      </c>
      <c r="F740" t="s">
        <v>120</v>
      </c>
      <c r="G740" t="s">
        <v>120</v>
      </c>
      <c r="H740" t="s">
        <v>120</v>
      </c>
      <c r="I740" t="s">
        <v>120</v>
      </c>
      <c r="J740" t="s">
        <v>120</v>
      </c>
      <c r="K740" t="s">
        <v>120</v>
      </c>
      <c r="L740" t="s">
        <v>120</v>
      </c>
      <c r="M740" t="s">
        <v>120</v>
      </c>
      <c r="N740" t="s">
        <v>120</v>
      </c>
      <c r="O740" t="s">
        <v>341</v>
      </c>
      <c r="P740" t="s">
        <v>120</v>
      </c>
      <c r="Q740" t="s">
        <v>120</v>
      </c>
      <c r="R740" t="s">
        <v>120</v>
      </c>
      <c r="S740" t="s">
        <v>120</v>
      </c>
      <c r="T740" t="s">
        <v>120</v>
      </c>
      <c r="U740" t="s">
        <v>120</v>
      </c>
      <c r="V740" t="s">
        <v>120</v>
      </c>
      <c r="W740" t="s">
        <v>141</v>
      </c>
      <c r="X740" t="s">
        <v>120</v>
      </c>
      <c r="Y740" t="s">
        <v>120</v>
      </c>
      <c r="Z740" t="s">
        <v>120</v>
      </c>
      <c r="AA740" t="s">
        <v>120</v>
      </c>
      <c r="AB740" t="s">
        <v>120</v>
      </c>
      <c r="AC740" t="s">
        <v>141</v>
      </c>
      <c r="AD740" t="s">
        <v>120</v>
      </c>
      <c r="AE740" t="s">
        <v>120</v>
      </c>
      <c r="AF740" t="s">
        <v>120</v>
      </c>
      <c r="AG740" t="s">
        <v>120</v>
      </c>
      <c r="AH740" t="s">
        <v>120</v>
      </c>
      <c r="AJ740">
        <v>0</v>
      </c>
      <c r="AK740">
        <v>20</v>
      </c>
      <c r="AL740">
        <v>20</v>
      </c>
      <c r="AM740">
        <v>0</v>
      </c>
      <c r="AN740">
        <v>0</v>
      </c>
      <c r="AO740">
        <v>28.25</v>
      </c>
      <c r="AP740">
        <v>20</v>
      </c>
      <c r="AQ740">
        <v>0</v>
      </c>
      <c r="AR740">
        <v>70.2</v>
      </c>
      <c r="AS740">
        <v>1130</v>
      </c>
    </row>
    <row r="741" spans="1:45" x14ac:dyDescent="0.25">
      <c r="A741" t="s">
        <v>1702</v>
      </c>
      <c r="B741" t="s">
        <v>1703</v>
      </c>
      <c r="C741" t="s">
        <v>147</v>
      </c>
      <c r="D741" t="s">
        <v>1671</v>
      </c>
      <c r="E741" t="s">
        <v>120</v>
      </c>
      <c r="F741" t="s">
        <v>120</v>
      </c>
      <c r="G741" t="s">
        <v>120</v>
      </c>
      <c r="H741" t="s">
        <v>120</v>
      </c>
      <c r="I741" t="s">
        <v>120</v>
      </c>
      <c r="J741" t="s">
        <v>120</v>
      </c>
      <c r="K741" t="s">
        <v>120</v>
      </c>
      <c r="L741" t="s">
        <v>120</v>
      </c>
      <c r="M741" t="s">
        <v>120</v>
      </c>
      <c r="N741" t="s">
        <v>120</v>
      </c>
      <c r="O741" t="s">
        <v>141</v>
      </c>
      <c r="P741" t="s">
        <v>120</v>
      </c>
      <c r="Q741" t="s">
        <v>120</v>
      </c>
      <c r="R741" t="s">
        <v>120</v>
      </c>
      <c r="S741" t="s">
        <v>120</v>
      </c>
      <c r="T741" t="s">
        <v>120</v>
      </c>
      <c r="U741" t="s">
        <v>120</v>
      </c>
      <c r="V741" t="s">
        <v>120</v>
      </c>
      <c r="W741" t="s">
        <v>120</v>
      </c>
      <c r="X741" t="s">
        <v>120</v>
      </c>
      <c r="Y741" t="s">
        <v>120</v>
      </c>
      <c r="Z741" t="s">
        <v>120</v>
      </c>
      <c r="AA741" t="s">
        <v>120</v>
      </c>
      <c r="AB741" t="s">
        <v>120</v>
      </c>
      <c r="AC741" t="s">
        <v>120</v>
      </c>
      <c r="AD741" t="s">
        <v>120</v>
      </c>
      <c r="AE741" t="s">
        <v>120</v>
      </c>
      <c r="AF741" t="s">
        <v>120</v>
      </c>
      <c r="AG741" t="s">
        <v>120</v>
      </c>
      <c r="AH741" t="s">
        <v>120</v>
      </c>
      <c r="AJ741">
        <v>0</v>
      </c>
      <c r="AK741">
        <v>8</v>
      </c>
      <c r="AL741">
        <v>8</v>
      </c>
      <c r="AM741">
        <v>0</v>
      </c>
      <c r="AN741">
        <v>0</v>
      </c>
      <c r="AO741">
        <v>31.55</v>
      </c>
      <c r="AP741">
        <v>8</v>
      </c>
      <c r="AQ741">
        <v>0</v>
      </c>
      <c r="AR741">
        <v>70.2</v>
      </c>
      <c r="AS741">
        <v>504.8</v>
      </c>
    </row>
    <row r="742" spans="1:45" x14ac:dyDescent="0.25">
      <c r="A742" t="s">
        <v>1704</v>
      </c>
      <c r="B742" t="s">
        <v>1705</v>
      </c>
      <c r="C742" t="s">
        <v>147</v>
      </c>
      <c r="D742" t="s">
        <v>1671</v>
      </c>
      <c r="E742" t="s">
        <v>120</v>
      </c>
      <c r="F742" t="s">
        <v>120</v>
      </c>
      <c r="G742" t="s">
        <v>120</v>
      </c>
      <c r="H742" t="s">
        <v>120</v>
      </c>
      <c r="I742" t="s">
        <v>120</v>
      </c>
      <c r="J742" t="s">
        <v>120</v>
      </c>
      <c r="K742" t="s">
        <v>120</v>
      </c>
      <c r="L742" t="s">
        <v>120</v>
      </c>
      <c r="M742" t="s">
        <v>120</v>
      </c>
      <c r="N742" t="s">
        <v>120</v>
      </c>
      <c r="O742" t="s">
        <v>341</v>
      </c>
      <c r="P742" t="s">
        <v>120</v>
      </c>
      <c r="Q742" t="s">
        <v>120</v>
      </c>
      <c r="R742" t="s">
        <v>120</v>
      </c>
      <c r="S742" t="s">
        <v>120</v>
      </c>
      <c r="T742" t="s">
        <v>120</v>
      </c>
      <c r="U742" t="s">
        <v>120</v>
      </c>
      <c r="V742" t="s">
        <v>120</v>
      </c>
      <c r="W742" t="s">
        <v>120</v>
      </c>
      <c r="X742" t="s">
        <v>120</v>
      </c>
      <c r="Y742" t="s">
        <v>120</v>
      </c>
      <c r="Z742" t="s">
        <v>120</v>
      </c>
      <c r="AA742" t="s">
        <v>120</v>
      </c>
      <c r="AB742" t="s">
        <v>120</v>
      </c>
      <c r="AC742" t="s">
        <v>120</v>
      </c>
      <c r="AD742" t="s">
        <v>120</v>
      </c>
      <c r="AE742" t="s">
        <v>120</v>
      </c>
      <c r="AF742" t="s">
        <v>120</v>
      </c>
      <c r="AG742" t="s">
        <v>120</v>
      </c>
      <c r="AH742" t="s">
        <v>120</v>
      </c>
      <c r="AJ742">
        <v>0</v>
      </c>
      <c r="AK742">
        <v>4</v>
      </c>
      <c r="AL742">
        <v>4</v>
      </c>
      <c r="AM742">
        <v>0</v>
      </c>
      <c r="AN742">
        <v>0</v>
      </c>
      <c r="AO742">
        <v>31.55</v>
      </c>
      <c r="AP742">
        <v>4</v>
      </c>
      <c r="AQ742">
        <v>0</v>
      </c>
      <c r="AR742">
        <v>70.2</v>
      </c>
      <c r="AS742">
        <v>252.4</v>
      </c>
    </row>
    <row r="743" spans="1:45" x14ac:dyDescent="0.25">
      <c r="A743" t="s">
        <v>1706</v>
      </c>
      <c r="B743" t="s">
        <v>1707</v>
      </c>
      <c r="C743" t="s">
        <v>147</v>
      </c>
      <c r="D743" t="s">
        <v>1671</v>
      </c>
      <c r="E743" t="s">
        <v>120</v>
      </c>
      <c r="F743" t="s">
        <v>120</v>
      </c>
      <c r="G743" t="s">
        <v>120</v>
      </c>
      <c r="H743" t="s">
        <v>120</v>
      </c>
      <c r="I743" t="s">
        <v>120</v>
      </c>
      <c r="J743" t="s">
        <v>120</v>
      </c>
      <c r="K743" t="s">
        <v>120</v>
      </c>
      <c r="L743" t="s">
        <v>120</v>
      </c>
      <c r="M743" t="s">
        <v>120</v>
      </c>
      <c r="N743" t="s">
        <v>120</v>
      </c>
      <c r="O743" t="s">
        <v>141</v>
      </c>
      <c r="P743" t="s">
        <v>120</v>
      </c>
      <c r="Q743" t="s">
        <v>120</v>
      </c>
      <c r="R743" t="s">
        <v>120</v>
      </c>
      <c r="S743" t="s">
        <v>120</v>
      </c>
      <c r="T743" t="s">
        <v>120</v>
      </c>
      <c r="U743" t="s">
        <v>120</v>
      </c>
      <c r="V743" t="s">
        <v>120</v>
      </c>
      <c r="W743" t="s">
        <v>120</v>
      </c>
      <c r="X743" t="s">
        <v>120</v>
      </c>
      <c r="Y743" t="s">
        <v>120</v>
      </c>
      <c r="Z743" t="s">
        <v>120</v>
      </c>
      <c r="AA743" t="s">
        <v>120</v>
      </c>
      <c r="AB743" t="s">
        <v>120</v>
      </c>
      <c r="AC743" t="s">
        <v>120</v>
      </c>
      <c r="AD743" t="s">
        <v>120</v>
      </c>
      <c r="AE743" t="s">
        <v>120</v>
      </c>
      <c r="AF743" t="s">
        <v>120</v>
      </c>
      <c r="AG743" t="s">
        <v>120</v>
      </c>
      <c r="AH743" t="s">
        <v>120</v>
      </c>
      <c r="AJ743">
        <v>0</v>
      </c>
      <c r="AK743">
        <v>8</v>
      </c>
      <c r="AL743">
        <v>8</v>
      </c>
      <c r="AM743">
        <v>0</v>
      </c>
      <c r="AN743">
        <v>0</v>
      </c>
      <c r="AO743">
        <v>31.55</v>
      </c>
      <c r="AP743">
        <v>8</v>
      </c>
      <c r="AQ743">
        <v>0</v>
      </c>
      <c r="AR743">
        <v>70.2</v>
      </c>
      <c r="AS743">
        <v>504.8</v>
      </c>
    </row>
    <row r="744" spans="1:45" x14ac:dyDescent="0.25">
      <c r="A744" t="s">
        <v>1708</v>
      </c>
      <c r="B744" t="s">
        <v>1709</v>
      </c>
      <c r="C744" t="s">
        <v>147</v>
      </c>
      <c r="D744" t="s">
        <v>1671</v>
      </c>
      <c r="E744" t="s">
        <v>120</v>
      </c>
      <c r="F744" t="s">
        <v>120</v>
      </c>
      <c r="G744" t="s">
        <v>120</v>
      </c>
      <c r="H744" t="s">
        <v>120</v>
      </c>
      <c r="I744" t="s">
        <v>120</v>
      </c>
      <c r="J744" t="s">
        <v>120</v>
      </c>
      <c r="K744" t="s">
        <v>120</v>
      </c>
      <c r="L744" t="s">
        <v>120</v>
      </c>
      <c r="M744" t="s">
        <v>120</v>
      </c>
      <c r="N744" t="s">
        <v>120</v>
      </c>
      <c r="O744" t="s">
        <v>141</v>
      </c>
      <c r="P744" t="s">
        <v>120</v>
      </c>
      <c r="Q744" t="s">
        <v>120</v>
      </c>
      <c r="R744" t="s">
        <v>120</v>
      </c>
      <c r="S744" t="s">
        <v>120</v>
      </c>
      <c r="T744" t="s">
        <v>120</v>
      </c>
      <c r="U744" t="s">
        <v>120</v>
      </c>
      <c r="V744" t="s">
        <v>120</v>
      </c>
      <c r="W744" t="s">
        <v>120</v>
      </c>
      <c r="X744" t="s">
        <v>120</v>
      </c>
      <c r="Y744" t="s">
        <v>120</v>
      </c>
      <c r="Z744" t="s">
        <v>120</v>
      </c>
      <c r="AA744" t="s">
        <v>120</v>
      </c>
      <c r="AB744" t="s">
        <v>120</v>
      </c>
      <c r="AC744" t="s">
        <v>120</v>
      </c>
      <c r="AD744" t="s">
        <v>120</v>
      </c>
      <c r="AE744" t="s">
        <v>120</v>
      </c>
      <c r="AF744" t="s">
        <v>120</v>
      </c>
      <c r="AG744" t="s">
        <v>120</v>
      </c>
      <c r="AH744" t="s">
        <v>120</v>
      </c>
      <c r="AJ744">
        <v>0</v>
      </c>
      <c r="AK744">
        <v>8</v>
      </c>
      <c r="AL744">
        <v>8</v>
      </c>
      <c r="AM744">
        <v>0</v>
      </c>
      <c r="AN744">
        <v>0</v>
      </c>
      <c r="AO744">
        <v>31.55</v>
      </c>
      <c r="AP744">
        <v>8</v>
      </c>
      <c r="AQ744">
        <v>0</v>
      </c>
      <c r="AR744">
        <v>70.2</v>
      </c>
      <c r="AS744">
        <v>504.8</v>
      </c>
    </row>
    <row r="745" spans="1:45" x14ac:dyDescent="0.25">
      <c r="A745" t="s">
        <v>1710</v>
      </c>
      <c r="B745" t="s">
        <v>1711</v>
      </c>
      <c r="C745" t="s">
        <v>147</v>
      </c>
      <c r="D745" t="s">
        <v>1671</v>
      </c>
      <c r="E745" t="s">
        <v>120</v>
      </c>
      <c r="F745" t="s">
        <v>120</v>
      </c>
      <c r="G745" t="s">
        <v>120</v>
      </c>
      <c r="H745" t="s">
        <v>120</v>
      </c>
      <c r="I745" t="s">
        <v>120</v>
      </c>
      <c r="J745" t="s">
        <v>120</v>
      </c>
      <c r="K745" t="s">
        <v>120</v>
      </c>
      <c r="L745" t="s">
        <v>120</v>
      </c>
      <c r="M745" t="s">
        <v>120</v>
      </c>
      <c r="N745" t="s">
        <v>120</v>
      </c>
      <c r="O745" t="s">
        <v>141</v>
      </c>
      <c r="P745" t="s">
        <v>120</v>
      </c>
      <c r="Q745" t="s">
        <v>120</v>
      </c>
      <c r="R745" t="s">
        <v>120</v>
      </c>
      <c r="S745" t="s">
        <v>120</v>
      </c>
      <c r="T745" t="s">
        <v>120</v>
      </c>
      <c r="U745" t="s">
        <v>120</v>
      </c>
      <c r="V745" t="s">
        <v>120</v>
      </c>
      <c r="W745" t="s">
        <v>120</v>
      </c>
      <c r="X745" t="s">
        <v>120</v>
      </c>
      <c r="Y745" t="s">
        <v>120</v>
      </c>
      <c r="Z745" t="s">
        <v>120</v>
      </c>
      <c r="AA745" t="s">
        <v>120</v>
      </c>
      <c r="AB745" t="s">
        <v>120</v>
      </c>
      <c r="AC745" t="s">
        <v>120</v>
      </c>
      <c r="AD745" t="s">
        <v>120</v>
      </c>
      <c r="AE745" t="s">
        <v>120</v>
      </c>
      <c r="AF745" t="s">
        <v>120</v>
      </c>
      <c r="AG745" t="s">
        <v>120</v>
      </c>
      <c r="AH745" t="s">
        <v>120</v>
      </c>
      <c r="AJ745">
        <v>0</v>
      </c>
      <c r="AK745">
        <v>8</v>
      </c>
      <c r="AL745">
        <v>8</v>
      </c>
      <c r="AM745">
        <v>0</v>
      </c>
      <c r="AN745">
        <v>0</v>
      </c>
      <c r="AO745">
        <v>31.55</v>
      </c>
      <c r="AP745">
        <v>8</v>
      </c>
      <c r="AQ745">
        <v>0</v>
      </c>
      <c r="AR745">
        <v>70.2</v>
      </c>
      <c r="AS745">
        <v>504.8</v>
      </c>
    </row>
    <row r="746" spans="1:45" x14ac:dyDescent="0.25">
      <c r="A746" t="s">
        <v>1712</v>
      </c>
      <c r="B746" t="s">
        <v>1713</v>
      </c>
      <c r="C746" t="s">
        <v>147</v>
      </c>
      <c r="D746" t="s">
        <v>1714</v>
      </c>
      <c r="E746" t="s">
        <v>120</v>
      </c>
      <c r="F746" t="s">
        <v>120</v>
      </c>
      <c r="G746" t="s">
        <v>120</v>
      </c>
      <c r="H746" t="s">
        <v>120</v>
      </c>
      <c r="I746" t="s">
        <v>120</v>
      </c>
      <c r="J746" t="s">
        <v>120</v>
      </c>
      <c r="K746" t="s">
        <v>120</v>
      </c>
      <c r="L746" t="s">
        <v>120</v>
      </c>
      <c r="M746" t="s">
        <v>120</v>
      </c>
      <c r="N746" t="s">
        <v>120</v>
      </c>
      <c r="O746" t="s">
        <v>120</v>
      </c>
      <c r="P746" t="s">
        <v>120</v>
      </c>
      <c r="Q746" t="s">
        <v>120</v>
      </c>
      <c r="R746" t="s">
        <v>120</v>
      </c>
      <c r="S746" t="s">
        <v>120</v>
      </c>
      <c r="T746" t="s">
        <v>120</v>
      </c>
      <c r="U746" t="s">
        <v>120</v>
      </c>
      <c r="V746" t="s">
        <v>120</v>
      </c>
      <c r="W746" t="s">
        <v>120</v>
      </c>
      <c r="X746" t="s">
        <v>120</v>
      </c>
      <c r="Y746" t="s">
        <v>120</v>
      </c>
      <c r="Z746" t="s">
        <v>120</v>
      </c>
      <c r="AA746" t="s">
        <v>120</v>
      </c>
      <c r="AB746" t="s">
        <v>120</v>
      </c>
      <c r="AC746" t="s">
        <v>120</v>
      </c>
      <c r="AD746" t="s">
        <v>120</v>
      </c>
      <c r="AE746" t="s">
        <v>120</v>
      </c>
      <c r="AF746" t="s">
        <v>120</v>
      </c>
      <c r="AG746" t="s">
        <v>120</v>
      </c>
      <c r="AH746" t="s">
        <v>120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31.55</v>
      </c>
      <c r="AP746">
        <v>0</v>
      </c>
      <c r="AQ746">
        <v>0</v>
      </c>
      <c r="AR746">
        <v>70.2</v>
      </c>
      <c r="AS746">
        <v>0</v>
      </c>
    </row>
    <row r="747" spans="1:45" x14ac:dyDescent="0.25">
      <c r="A747" t="s">
        <v>1715</v>
      </c>
      <c r="B747" t="s">
        <v>1716</v>
      </c>
      <c r="C747" t="s">
        <v>147</v>
      </c>
      <c r="D747" t="s">
        <v>1714</v>
      </c>
      <c r="E747" t="s">
        <v>120</v>
      </c>
      <c r="F747" t="s">
        <v>120</v>
      </c>
      <c r="G747" t="s">
        <v>120</v>
      </c>
      <c r="H747" t="s">
        <v>120</v>
      </c>
      <c r="I747" t="s">
        <v>120</v>
      </c>
      <c r="J747" t="s">
        <v>120</v>
      </c>
      <c r="K747" t="s">
        <v>120</v>
      </c>
      <c r="L747" t="s">
        <v>120</v>
      </c>
      <c r="M747" t="s">
        <v>120</v>
      </c>
      <c r="N747" t="s">
        <v>120</v>
      </c>
      <c r="O747" t="s">
        <v>120</v>
      </c>
      <c r="P747" t="s">
        <v>120</v>
      </c>
      <c r="Q747" t="s">
        <v>120</v>
      </c>
      <c r="R747" t="s">
        <v>120</v>
      </c>
      <c r="S747" t="s">
        <v>120</v>
      </c>
      <c r="T747" t="s">
        <v>120</v>
      </c>
      <c r="U747" t="s">
        <v>120</v>
      </c>
      <c r="V747" t="s">
        <v>120</v>
      </c>
      <c r="W747" t="s">
        <v>120</v>
      </c>
      <c r="X747" t="s">
        <v>120</v>
      </c>
      <c r="Y747" t="s">
        <v>120</v>
      </c>
      <c r="Z747" t="s">
        <v>120</v>
      </c>
      <c r="AA747" t="s">
        <v>120</v>
      </c>
      <c r="AB747" t="s">
        <v>120</v>
      </c>
      <c r="AC747" t="s">
        <v>120</v>
      </c>
      <c r="AD747" t="s">
        <v>120</v>
      </c>
      <c r="AE747" t="s">
        <v>120</v>
      </c>
      <c r="AF747" t="s">
        <v>120</v>
      </c>
      <c r="AG747" t="s">
        <v>120</v>
      </c>
      <c r="AH747" t="s">
        <v>120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31.55</v>
      </c>
      <c r="AP747">
        <v>0</v>
      </c>
      <c r="AQ747">
        <v>0</v>
      </c>
      <c r="AR747">
        <v>70.2</v>
      </c>
      <c r="AS747">
        <v>0</v>
      </c>
    </row>
    <row r="748" spans="1:45" x14ac:dyDescent="0.25">
      <c r="A748" t="s">
        <v>1717</v>
      </c>
      <c r="B748" t="s">
        <v>1718</v>
      </c>
      <c r="C748" t="s">
        <v>147</v>
      </c>
      <c r="D748" t="s">
        <v>1714</v>
      </c>
      <c r="E748" t="s">
        <v>135</v>
      </c>
      <c r="F748" t="s">
        <v>135</v>
      </c>
      <c r="G748" t="s">
        <v>135</v>
      </c>
      <c r="H748" t="s">
        <v>120</v>
      </c>
      <c r="I748" t="s">
        <v>120</v>
      </c>
      <c r="J748" t="s">
        <v>120</v>
      </c>
      <c r="K748" t="s">
        <v>120</v>
      </c>
      <c r="L748" t="s">
        <v>120</v>
      </c>
      <c r="M748" t="s">
        <v>120</v>
      </c>
      <c r="N748" t="s">
        <v>120</v>
      </c>
      <c r="O748" t="s">
        <v>120</v>
      </c>
      <c r="P748" t="s">
        <v>120</v>
      </c>
      <c r="Q748" t="s">
        <v>120</v>
      </c>
      <c r="R748" t="s">
        <v>120</v>
      </c>
      <c r="S748" t="s">
        <v>120</v>
      </c>
      <c r="T748" t="s">
        <v>120</v>
      </c>
      <c r="U748" t="s">
        <v>120</v>
      </c>
      <c r="V748" t="s">
        <v>120</v>
      </c>
      <c r="W748" t="s">
        <v>120</v>
      </c>
      <c r="X748" t="s">
        <v>120</v>
      </c>
      <c r="Y748" t="s">
        <v>120</v>
      </c>
      <c r="Z748" t="s">
        <v>120</v>
      </c>
      <c r="AA748" t="s">
        <v>120</v>
      </c>
      <c r="AB748" t="s">
        <v>120</v>
      </c>
      <c r="AC748" t="s">
        <v>120</v>
      </c>
      <c r="AD748" t="s">
        <v>120</v>
      </c>
      <c r="AE748" t="s">
        <v>120</v>
      </c>
      <c r="AF748" t="s">
        <v>120</v>
      </c>
      <c r="AG748" t="s">
        <v>120</v>
      </c>
      <c r="AH748" t="s">
        <v>120</v>
      </c>
      <c r="AJ748">
        <v>0</v>
      </c>
      <c r="AK748">
        <v>24</v>
      </c>
      <c r="AL748">
        <v>0</v>
      </c>
      <c r="AM748">
        <v>24</v>
      </c>
      <c r="AN748">
        <v>0</v>
      </c>
      <c r="AO748">
        <v>31.55</v>
      </c>
      <c r="AP748">
        <v>24</v>
      </c>
      <c r="AQ748">
        <v>0</v>
      </c>
      <c r="AR748">
        <v>70.2</v>
      </c>
      <c r="AS748">
        <v>1514.4</v>
      </c>
    </row>
    <row r="749" spans="1:45" x14ac:dyDescent="0.25">
      <c r="A749" t="s">
        <v>1719</v>
      </c>
      <c r="B749" t="s">
        <v>1720</v>
      </c>
      <c r="C749" t="s">
        <v>147</v>
      </c>
      <c r="D749" t="s">
        <v>1714</v>
      </c>
      <c r="E749" t="s">
        <v>120</v>
      </c>
      <c r="F749" t="s">
        <v>120</v>
      </c>
      <c r="G749" t="s">
        <v>120</v>
      </c>
      <c r="H749" t="s">
        <v>120</v>
      </c>
      <c r="I749" t="s">
        <v>120</v>
      </c>
      <c r="J749" t="s">
        <v>120</v>
      </c>
      <c r="K749" t="s">
        <v>120</v>
      </c>
      <c r="L749" t="s">
        <v>120</v>
      </c>
      <c r="M749" t="s">
        <v>120</v>
      </c>
      <c r="N749" t="s">
        <v>120</v>
      </c>
      <c r="O749" t="s">
        <v>120</v>
      </c>
      <c r="P749" t="s">
        <v>120</v>
      </c>
      <c r="Q749" t="s">
        <v>120</v>
      </c>
      <c r="R749" t="s">
        <v>120</v>
      </c>
      <c r="S749" t="s">
        <v>120</v>
      </c>
      <c r="T749" t="s">
        <v>120</v>
      </c>
      <c r="U749" t="s">
        <v>120</v>
      </c>
      <c r="V749" t="s">
        <v>120</v>
      </c>
      <c r="W749" t="s">
        <v>120</v>
      </c>
      <c r="X749" t="s">
        <v>120</v>
      </c>
      <c r="Y749" t="s">
        <v>120</v>
      </c>
      <c r="Z749" t="s">
        <v>120</v>
      </c>
      <c r="AA749" t="s">
        <v>120</v>
      </c>
      <c r="AB749" t="s">
        <v>120</v>
      </c>
      <c r="AC749" t="s">
        <v>120</v>
      </c>
      <c r="AD749" t="s">
        <v>120</v>
      </c>
      <c r="AE749" t="s">
        <v>120</v>
      </c>
      <c r="AF749" t="s">
        <v>120</v>
      </c>
      <c r="AG749" t="s">
        <v>120</v>
      </c>
      <c r="AH749" t="s">
        <v>120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31.55</v>
      </c>
      <c r="AP749">
        <v>0</v>
      </c>
      <c r="AQ749">
        <v>0</v>
      </c>
      <c r="AR749">
        <v>70.2</v>
      </c>
      <c r="AS749">
        <v>0</v>
      </c>
    </row>
    <row r="750" spans="1:45" x14ac:dyDescent="0.25">
      <c r="A750" t="s">
        <v>1721</v>
      </c>
      <c r="B750" t="s">
        <v>1722</v>
      </c>
      <c r="C750" t="s">
        <v>147</v>
      </c>
      <c r="D750" t="s">
        <v>1714</v>
      </c>
      <c r="E750" t="s">
        <v>120</v>
      </c>
      <c r="F750" t="s">
        <v>120</v>
      </c>
      <c r="G750" t="s">
        <v>120</v>
      </c>
      <c r="H750" t="s">
        <v>120</v>
      </c>
      <c r="I750" t="s">
        <v>120</v>
      </c>
      <c r="J750" t="s">
        <v>120</v>
      </c>
      <c r="K750" t="s">
        <v>120</v>
      </c>
      <c r="L750" t="s">
        <v>120</v>
      </c>
      <c r="M750" t="s">
        <v>120</v>
      </c>
      <c r="N750" t="s">
        <v>120</v>
      </c>
      <c r="O750" t="s">
        <v>120</v>
      </c>
      <c r="P750" t="s">
        <v>120</v>
      </c>
      <c r="Q750" t="s">
        <v>120</v>
      </c>
      <c r="R750" t="s">
        <v>120</v>
      </c>
      <c r="S750" t="s">
        <v>120</v>
      </c>
      <c r="T750" t="s">
        <v>120</v>
      </c>
      <c r="U750" t="s">
        <v>120</v>
      </c>
      <c r="V750" t="s">
        <v>120</v>
      </c>
      <c r="W750" t="s">
        <v>120</v>
      </c>
      <c r="X750" t="s">
        <v>120</v>
      </c>
      <c r="Y750" t="s">
        <v>120</v>
      </c>
      <c r="Z750" t="s">
        <v>120</v>
      </c>
      <c r="AA750" t="s">
        <v>120</v>
      </c>
      <c r="AB750" t="s">
        <v>120</v>
      </c>
      <c r="AC750" t="s">
        <v>120</v>
      </c>
      <c r="AD750" t="s">
        <v>120</v>
      </c>
      <c r="AE750" t="s">
        <v>120</v>
      </c>
      <c r="AF750" t="s">
        <v>120</v>
      </c>
      <c r="AG750" t="s">
        <v>120</v>
      </c>
      <c r="AH750" t="s">
        <v>120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31.55</v>
      </c>
      <c r="AP750">
        <v>0</v>
      </c>
      <c r="AQ750">
        <v>0</v>
      </c>
      <c r="AR750">
        <v>70.2</v>
      </c>
      <c r="AS750">
        <v>0</v>
      </c>
    </row>
    <row r="751" spans="1:45" x14ac:dyDescent="0.25">
      <c r="A751" t="s">
        <v>1723</v>
      </c>
      <c r="B751" t="s">
        <v>1724</v>
      </c>
      <c r="C751" t="s">
        <v>147</v>
      </c>
      <c r="D751" t="s">
        <v>1714</v>
      </c>
      <c r="E751" t="s">
        <v>120</v>
      </c>
      <c r="F751" t="s">
        <v>120</v>
      </c>
      <c r="G751" t="s">
        <v>120</v>
      </c>
      <c r="H751" t="s">
        <v>120</v>
      </c>
      <c r="I751" t="s">
        <v>120</v>
      </c>
      <c r="J751" t="s">
        <v>120</v>
      </c>
      <c r="K751" t="s">
        <v>120</v>
      </c>
      <c r="L751" t="s">
        <v>120</v>
      </c>
      <c r="M751" t="s">
        <v>120</v>
      </c>
      <c r="N751" t="s">
        <v>120</v>
      </c>
      <c r="O751" t="s">
        <v>120</v>
      </c>
      <c r="P751" t="s">
        <v>120</v>
      </c>
      <c r="Q751" t="s">
        <v>120</v>
      </c>
      <c r="R751" t="s">
        <v>120</v>
      </c>
      <c r="S751" t="s">
        <v>120</v>
      </c>
      <c r="T751" t="s">
        <v>120</v>
      </c>
      <c r="U751" t="s">
        <v>120</v>
      </c>
      <c r="V751" t="s">
        <v>120</v>
      </c>
      <c r="W751" t="s">
        <v>120</v>
      </c>
      <c r="X751" t="s">
        <v>120</v>
      </c>
      <c r="Y751" t="s">
        <v>120</v>
      </c>
      <c r="Z751" t="s">
        <v>120</v>
      </c>
      <c r="AA751" t="s">
        <v>120</v>
      </c>
      <c r="AB751" t="s">
        <v>120</v>
      </c>
      <c r="AC751" t="s">
        <v>120</v>
      </c>
      <c r="AD751" t="s">
        <v>120</v>
      </c>
      <c r="AE751" t="s">
        <v>120</v>
      </c>
      <c r="AF751" t="s">
        <v>120</v>
      </c>
      <c r="AG751" t="s">
        <v>120</v>
      </c>
      <c r="AH751" t="s">
        <v>120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31.55</v>
      </c>
      <c r="AP751">
        <v>0</v>
      </c>
      <c r="AQ751">
        <v>0</v>
      </c>
      <c r="AR751">
        <v>70.2</v>
      </c>
      <c r="AS751">
        <v>0</v>
      </c>
    </row>
    <row r="752" spans="1:45" x14ac:dyDescent="0.25">
      <c r="A752" t="s">
        <v>1725</v>
      </c>
      <c r="B752" t="s">
        <v>1726</v>
      </c>
      <c r="C752" t="s">
        <v>127</v>
      </c>
      <c r="D752" t="s">
        <v>1714</v>
      </c>
      <c r="E752" t="s">
        <v>120</v>
      </c>
      <c r="F752" t="s">
        <v>120</v>
      </c>
      <c r="G752" t="s">
        <v>120</v>
      </c>
      <c r="H752" t="s">
        <v>120</v>
      </c>
      <c r="I752" t="s">
        <v>120</v>
      </c>
      <c r="J752" t="s">
        <v>120</v>
      </c>
      <c r="K752" t="s">
        <v>120</v>
      </c>
      <c r="L752" t="s">
        <v>120</v>
      </c>
      <c r="M752" t="s">
        <v>120</v>
      </c>
      <c r="N752" t="s">
        <v>120</v>
      </c>
      <c r="O752" t="s">
        <v>120</v>
      </c>
      <c r="P752" t="s">
        <v>120</v>
      </c>
      <c r="Q752" t="s">
        <v>120</v>
      </c>
      <c r="R752" t="s">
        <v>120</v>
      </c>
      <c r="S752" t="s">
        <v>120</v>
      </c>
      <c r="T752" t="s">
        <v>120</v>
      </c>
      <c r="U752" t="s">
        <v>120</v>
      </c>
      <c r="V752" t="s">
        <v>120</v>
      </c>
      <c r="W752" t="s">
        <v>120</v>
      </c>
      <c r="X752" t="s">
        <v>120</v>
      </c>
      <c r="Y752" t="s">
        <v>120</v>
      </c>
      <c r="Z752" t="s">
        <v>120</v>
      </c>
      <c r="AA752" t="s">
        <v>120</v>
      </c>
      <c r="AB752" t="s">
        <v>120</v>
      </c>
      <c r="AC752" t="s">
        <v>120</v>
      </c>
      <c r="AD752" t="s">
        <v>120</v>
      </c>
      <c r="AE752" t="s">
        <v>120</v>
      </c>
      <c r="AF752" t="s">
        <v>120</v>
      </c>
      <c r="AG752" t="s">
        <v>120</v>
      </c>
      <c r="AH752" t="s">
        <v>120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33.43</v>
      </c>
      <c r="AP752">
        <v>0</v>
      </c>
      <c r="AQ752">
        <v>0</v>
      </c>
      <c r="AR752">
        <v>75.06</v>
      </c>
      <c r="AS752">
        <v>0</v>
      </c>
    </row>
    <row r="753" spans="1:45" x14ac:dyDescent="0.25">
      <c r="A753" t="s">
        <v>1727</v>
      </c>
      <c r="B753" t="s">
        <v>1728</v>
      </c>
      <c r="C753" t="s">
        <v>147</v>
      </c>
      <c r="D753" t="s">
        <v>1714</v>
      </c>
      <c r="E753" t="s">
        <v>120</v>
      </c>
      <c r="F753" t="s">
        <v>120</v>
      </c>
      <c r="G753" t="s">
        <v>120</v>
      </c>
      <c r="H753" t="s">
        <v>120</v>
      </c>
      <c r="I753" t="s">
        <v>120</v>
      </c>
      <c r="J753" t="s">
        <v>120</v>
      </c>
      <c r="K753" t="s">
        <v>120</v>
      </c>
      <c r="L753" t="s">
        <v>120</v>
      </c>
      <c r="M753" t="s">
        <v>120</v>
      </c>
      <c r="N753" t="s">
        <v>120</v>
      </c>
      <c r="O753" t="s">
        <v>120</v>
      </c>
      <c r="P753" t="s">
        <v>120</v>
      </c>
      <c r="Q753" t="s">
        <v>120</v>
      </c>
      <c r="R753" t="s">
        <v>120</v>
      </c>
      <c r="S753" t="s">
        <v>120</v>
      </c>
      <c r="T753" t="s">
        <v>120</v>
      </c>
      <c r="U753" t="s">
        <v>120</v>
      </c>
      <c r="V753" t="s">
        <v>120</v>
      </c>
      <c r="W753" t="s">
        <v>120</v>
      </c>
      <c r="X753" t="s">
        <v>120</v>
      </c>
      <c r="Y753" t="s">
        <v>120</v>
      </c>
      <c r="Z753" t="s">
        <v>120</v>
      </c>
      <c r="AA753" t="s">
        <v>120</v>
      </c>
      <c r="AB753" t="s">
        <v>120</v>
      </c>
      <c r="AC753" t="s">
        <v>120</v>
      </c>
      <c r="AD753" t="s">
        <v>120</v>
      </c>
      <c r="AE753" t="s">
        <v>120</v>
      </c>
      <c r="AF753" t="s">
        <v>120</v>
      </c>
      <c r="AG753" t="s">
        <v>120</v>
      </c>
      <c r="AH753" t="s">
        <v>120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31.55</v>
      </c>
      <c r="AP753">
        <v>0</v>
      </c>
      <c r="AQ753">
        <v>0</v>
      </c>
      <c r="AR753">
        <v>70.2</v>
      </c>
      <c r="AS753">
        <v>0</v>
      </c>
    </row>
    <row r="754" spans="1:45" x14ac:dyDescent="0.25">
      <c r="A754" t="s">
        <v>1729</v>
      </c>
      <c r="B754" t="s">
        <v>1730</v>
      </c>
      <c r="C754" t="s">
        <v>147</v>
      </c>
      <c r="D754" t="s">
        <v>1714</v>
      </c>
      <c r="E754" t="s">
        <v>120</v>
      </c>
      <c r="F754" t="s">
        <v>120</v>
      </c>
      <c r="G754" t="s">
        <v>120</v>
      </c>
      <c r="H754" t="s">
        <v>120</v>
      </c>
      <c r="I754" t="s">
        <v>120</v>
      </c>
      <c r="J754" t="s">
        <v>120</v>
      </c>
      <c r="K754" t="s">
        <v>120</v>
      </c>
      <c r="L754" t="s">
        <v>120</v>
      </c>
      <c r="M754" t="s">
        <v>120</v>
      </c>
      <c r="N754" t="s">
        <v>120</v>
      </c>
      <c r="O754" t="s">
        <v>120</v>
      </c>
      <c r="P754" t="s">
        <v>120</v>
      </c>
      <c r="Q754" t="s">
        <v>120</v>
      </c>
      <c r="R754" t="s">
        <v>120</v>
      </c>
      <c r="S754" t="s">
        <v>120</v>
      </c>
      <c r="T754" t="s">
        <v>120</v>
      </c>
      <c r="U754" t="s">
        <v>120</v>
      </c>
      <c r="V754" t="s">
        <v>120</v>
      </c>
      <c r="W754" t="s">
        <v>120</v>
      </c>
      <c r="X754" t="s">
        <v>120</v>
      </c>
      <c r="Y754" t="s">
        <v>120</v>
      </c>
      <c r="Z754" t="s">
        <v>120</v>
      </c>
      <c r="AA754" t="s">
        <v>120</v>
      </c>
      <c r="AB754" t="s">
        <v>120</v>
      </c>
      <c r="AC754" t="s">
        <v>120</v>
      </c>
      <c r="AD754" t="s">
        <v>120</v>
      </c>
      <c r="AE754" t="s">
        <v>120</v>
      </c>
      <c r="AF754" t="s">
        <v>120</v>
      </c>
      <c r="AG754" t="s">
        <v>120</v>
      </c>
      <c r="AH754" t="s">
        <v>120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31.55</v>
      </c>
      <c r="AP754">
        <v>0</v>
      </c>
      <c r="AQ754">
        <v>0</v>
      </c>
      <c r="AR754">
        <v>70.2</v>
      </c>
      <c r="AS754">
        <v>0</v>
      </c>
    </row>
    <row r="755" spans="1:45" x14ac:dyDescent="0.25">
      <c r="A755" t="s">
        <v>1731</v>
      </c>
      <c r="B755" t="s">
        <v>1732</v>
      </c>
      <c r="C755" t="s">
        <v>147</v>
      </c>
      <c r="D755" t="s">
        <v>1714</v>
      </c>
      <c r="E755" t="s">
        <v>120</v>
      </c>
      <c r="F755" t="s">
        <v>120</v>
      </c>
      <c r="G755" t="s">
        <v>120</v>
      </c>
      <c r="H755" t="s">
        <v>120</v>
      </c>
      <c r="I755" t="s">
        <v>120</v>
      </c>
      <c r="J755" t="s">
        <v>120</v>
      </c>
      <c r="K755" t="s">
        <v>120</v>
      </c>
      <c r="L755" t="s">
        <v>120</v>
      </c>
      <c r="M755" t="s">
        <v>120</v>
      </c>
      <c r="N755" t="s">
        <v>120</v>
      </c>
      <c r="O755" t="s">
        <v>120</v>
      </c>
      <c r="P755" t="s">
        <v>120</v>
      </c>
      <c r="Q755" t="s">
        <v>120</v>
      </c>
      <c r="R755" t="s">
        <v>120</v>
      </c>
      <c r="S755" t="s">
        <v>120</v>
      </c>
      <c r="T755" t="s">
        <v>120</v>
      </c>
      <c r="U755" t="s">
        <v>120</v>
      </c>
      <c r="V755" t="s">
        <v>120</v>
      </c>
      <c r="W755" t="s">
        <v>120</v>
      </c>
      <c r="X755" t="s">
        <v>120</v>
      </c>
      <c r="Y755" t="s">
        <v>120</v>
      </c>
      <c r="Z755" t="s">
        <v>120</v>
      </c>
      <c r="AA755" t="s">
        <v>120</v>
      </c>
      <c r="AB755" t="s">
        <v>120</v>
      </c>
      <c r="AC755" t="s">
        <v>120</v>
      </c>
      <c r="AD755" t="s">
        <v>120</v>
      </c>
      <c r="AE755" t="s">
        <v>120</v>
      </c>
      <c r="AF755" t="s">
        <v>120</v>
      </c>
      <c r="AG755" t="s">
        <v>120</v>
      </c>
      <c r="AH755" t="s">
        <v>120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31.55</v>
      </c>
      <c r="AP755">
        <v>0</v>
      </c>
      <c r="AQ755">
        <v>0</v>
      </c>
      <c r="AR755">
        <v>70.2</v>
      </c>
      <c r="AS755">
        <v>0</v>
      </c>
    </row>
    <row r="756" spans="1:45" x14ac:dyDescent="0.25">
      <c r="A756" t="s">
        <v>1733</v>
      </c>
      <c r="B756" t="s">
        <v>1734</v>
      </c>
      <c r="C756" t="s">
        <v>147</v>
      </c>
      <c r="D756" t="s">
        <v>1714</v>
      </c>
      <c r="E756" t="s">
        <v>120</v>
      </c>
      <c r="F756" t="s">
        <v>120</v>
      </c>
      <c r="G756" t="s">
        <v>120</v>
      </c>
      <c r="H756" t="s">
        <v>120</v>
      </c>
      <c r="I756" t="s">
        <v>120</v>
      </c>
      <c r="J756" t="s">
        <v>120</v>
      </c>
      <c r="K756" t="s">
        <v>120</v>
      </c>
      <c r="L756" t="s">
        <v>120</v>
      </c>
      <c r="M756" t="s">
        <v>120</v>
      </c>
      <c r="N756" t="s">
        <v>120</v>
      </c>
      <c r="O756" t="s">
        <v>120</v>
      </c>
      <c r="P756" t="s">
        <v>120</v>
      </c>
      <c r="Q756" t="s">
        <v>120</v>
      </c>
      <c r="R756" t="s">
        <v>120</v>
      </c>
      <c r="S756" t="s">
        <v>120</v>
      </c>
      <c r="T756" t="s">
        <v>120</v>
      </c>
      <c r="U756" t="s">
        <v>120</v>
      </c>
      <c r="V756" t="s">
        <v>120</v>
      </c>
      <c r="W756" t="s">
        <v>120</v>
      </c>
      <c r="X756" t="s">
        <v>120</v>
      </c>
      <c r="Y756" t="s">
        <v>120</v>
      </c>
      <c r="Z756" t="s">
        <v>120</v>
      </c>
      <c r="AA756" t="s">
        <v>120</v>
      </c>
      <c r="AB756" t="s">
        <v>120</v>
      </c>
      <c r="AC756" t="s">
        <v>120</v>
      </c>
      <c r="AD756" t="s">
        <v>120</v>
      </c>
      <c r="AE756" t="s">
        <v>120</v>
      </c>
      <c r="AF756" t="s">
        <v>120</v>
      </c>
      <c r="AG756" t="s">
        <v>120</v>
      </c>
      <c r="AH756" t="s">
        <v>120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31.55</v>
      </c>
      <c r="AP756">
        <v>0</v>
      </c>
      <c r="AQ756">
        <v>0</v>
      </c>
      <c r="AR756">
        <v>70.2</v>
      </c>
      <c r="AS756">
        <v>0</v>
      </c>
    </row>
    <row r="757" spans="1:45" x14ac:dyDescent="0.25">
      <c r="A757" t="s">
        <v>1735</v>
      </c>
      <c r="B757" t="s">
        <v>1736</v>
      </c>
      <c r="C757" t="s">
        <v>147</v>
      </c>
      <c r="D757" t="s">
        <v>1714</v>
      </c>
      <c r="E757" t="s">
        <v>120</v>
      </c>
      <c r="F757" t="s">
        <v>120</v>
      </c>
      <c r="G757" t="s">
        <v>120</v>
      </c>
      <c r="H757" t="s">
        <v>120</v>
      </c>
      <c r="I757" t="s">
        <v>120</v>
      </c>
      <c r="J757" t="s">
        <v>120</v>
      </c>
      <c r="K757" t="s">
        <v>120</v>
      </c>
      <c r="L757" t="s">
        <v>120</v>
      </c>
      <c r="M757" t="s">
        <v>120</v>
      </c>
      <c r="N757" t="s">
        <v>120</v>
      </c>
      <c r="O757" t="s">
        <v>120</v>
      </c>
      <c r="P757" t="s">
        <v>120</v>
      </c>
      <c r="Q757" t="s">
        <v>120</v>
      </c>
      <c r="R757" t="s">
        <v>120</v>
      </c>
      <c r="S757" t="s">
        <v>120</v>
      </c>
      <c r="T757" t="s">
        <v>120</v>
      </c>
      <c r="U757" t="s">
        <v>120</v>
      </c>
      <c r="V757" t="s">
        <v>120</v>
      </c>
      <c r="W757" t="s">
        <v>120</v>
      </c>
      <c r="X757" t="s">
        <v>120</v>
      </c>
      <c r="Y757" t="s">
        <v>120</v>
      </c>
      <c r="Z757" t="s">
        <v>120</v>
      </c>
      <c r="AA757" t="s">
        <v>120</v>
      </c>
      <c r="AB757" t="s">
        <v>120</v>
      </c>
      <c r="AC757" t="s">
        <v>120</v>
      </c>
      <c r="AD757" t="s">
        <v>120</v>
      </c>
      <c r="AE757" t="s">
        <v>120</v>
      </c>
      <c r="AF757" t="s">
        <v>120</v>
      </c>
      <c r="AG757" t="s">
        <v>120</v>
      </c>
      <c r="AH757" t="s">
        <v>120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31.55</v>
      </c>
      <c r="AP757">
        <v>0</v>
      </c>
      <c r="AQ757">
        <v>0</v>
      </c>
      <c r="AR757">
        <v>70.2</v>
      </c>
      <c r="AS757">
        <v>0</v>
      </c>
    </row>
    <row r="758" spans="1:45" x14ac:dyDescent="0.25">
      <c r="A758" t="s">
        <v>1737</v>
      </c>
      <c r="B758" t="s">
        <v>1738</v>
      </c>
      <c r="C758" t="s">
        <v>147</v>
      </c>
      <c r="D758" t="s">
        <v>1714</v>
      </c>
      <c r="E758" t="s">
        <v>120</v>
      </c>
      <c r="F758" t="s">
        <v>120</v>
      </c>
      <c r="G758" t="s">
        <v>120</v>
      </c>
      <c r="H758" t="s">
        <v>120</v>
      </c>
      <c r="I758" t="s">
        <v>120</v>
      </c>
      <c r="J758" t="s">
        <v>331</v>
      </c>
      <c r="K758" t="s">
        <v>120</v>
      </c>
      <c r="L758" t="s">
        <v>120</v>
      </c>
      <c r="M758" t="s">
        <v>120</v>
      </c>
      <c r="N758" t="s">
        <v>120</v>
      </c>
      <c r="O758" t="s">
        <v>120</v>
      </c>
      <c r="P758" t="s">
        <v>120</v>
      </c>
      <c r="Q758" t="s">
        <v>120</v>
      </c>
      <c r="R758" t="s">
        <v>120</v>
      </c>
      <c r="S758" t="s">
        <v>120</v>
      </c>
      <c r="T758" t="s">
        <v>120</v>
      </c>
      <c r="U758" t="s">
        <v>120</v>
      </c>
      <c r="V758" t="s">
        <v>120</v>
      </c>
      <c r="W758" t="s">
        <v>120</v>
      </c>
      <c r="X758" t="s">
        <v>120</v>
      </c>
      <c r="Y758" t="s">
        <v>120</v>
      </c>
      <c r="Z758" t="s">
        <v>120</v>
      </c>
      <c r="AA758" t="s">
        <v>120</v>
      </c>
      <c r="AB758" t="s">
        <v>120</v>
      </c>
      <c r="AC758" t="s">
        <v>120</v>
      </c>
      <c r="AD758" t="s">
        <v>120</v>
      </c>
      <c r="AE758" t="s">
        <v>120</v>
      </c>
      <c r="AF758" t="s">
        <v>120</v>
      </c>
      <c r="AG758" t="s">
        <v>120</v>
      </c>
      <c r="AH758" t="s">
        <v>120</v>
      </c>
      <c r="AJ758">
        <v>0</v>
      </c>
      <c r="AK758">
        <v>2</v>
      </c>
      <c r="AL758">
        <v>2</v>
      </c>
      <c r="AM758">
        <v>0</v>
      </c>
      <c r="AN758">
        <v>0</v>
      </c>
      <c r="AO758">
        <v>31.55</v>
      </c>
      <c r="AP758">
        <v>2</v>
      </c>
      <c r="AQ758">
        <v>0</v>
      </c>
      <c r="AR758">
        <v>70.2</v>
      </c>
      <c r="AS758">
        <v>126.2</v>
      </c>
    </row>
    <row r="759" spans="1:45" x14ac:dyDescent="0.25">
      <c r="A759" t="s">
        <v>1739</v>
      </c>
      <c r="B759" t="s">
        <v>1740</v>
      </c>
      <c r="C759" t="s">
        <v>147</v>
      </c>
      <c r="D759" t="s">
        <v>1714</v>
      </c>
      <c r="E759" t="s">
        <v>120</v>
      </c>
      <c r="F759" t="s">
        <v>120</v>
      </c>
      <c r="G759" t="s">
        <v>120</v>
      </c>
      <c r="H759" t="s">
        <v>120</v>
      </c>
      <c r="I759" t="s">
        <v>120</v>
      </c>
      <c r="J759" t="s">
        <v>120</v>
      </c>
      <c r="K759" t="s">
        <v>120</v>
      </c>
      <c r="L759" t="s">
        <v>120</v>
      </c>
      <c r="M759" t="s">
        <v>120</v>
      </c>
      <c r="N759" t="s">
        <v>120</v>
      </c>
      <c r="O759" t="s">
        <v>120</v>
      </c>
      <c r="P759" t="s">
        <v>120</v>
      </c>
      <c r="Q759" t="s">
        <v>120</v>
      </c>
      <c r="R759" t="s">
        <v>120</v>
      </c>
      <c r="S759" t="s">
        <v>120</v>
      </c>
      <c r="T759" t="s">
        <v>120</v>
      </c>
      <c r="U759" t="s">
        <v>120</v>
      </c>
      <c r="V759" t="s">
        <v>120</v>
      </c>
      <c r="W759" t="s">
        <v>120</v>
      </c>
      <c r="X759" t="s">
        <v>120</v>
      </c>
      <c r="Y759" t="s">
        <v>120</v>
      </c>
      <c r="Z759" t="s">
        <v>120</v>
      </c>
      <c r="AA759" t="s">
        <v>120</v>
      </c>
      <c r="AB759" t="s">
        <v>120</v>
      </c>
      <c r="AC759" t="s">
        <v>120</v>
      </c>
      <c r="AD759" t="s">
        <v>120</v>
      </c>
      <c r="AE759" t="s">
        <v>120</v>
      </c>
      <c r="AF759" t="s">
        <v>120</v>
      </c>
      <c r="AG759" t="s">
        <v>120</v>
      </c>
      <c r="AH759" t="s">
        <v>120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31.55</v>
      </c>
      <c r="AP759">
        <v>0</v>
      </c>
      <c r="AQ759">
        <v>0</v>
      </c>
      <c r="AR759">
        <v>70.2</v>
      </c>
      <c r="AS759">
        <v>0</v>
      </c>
    </row>
    <row r="760" spans="1:45" x14ac:dyDescent="0.25">
      <c r="A760" t="s">
        <v>1741</v>
      </c>
      <c r="B760" t="s">
        <v>1742</v>
      </c>
      <c r="C760" t="s">
        <v>130</v>
      </c>
      <c r="D760" t="s">
        <v>1714</v>
      </c>
      <c r="E760" t="s">
        <v>120</v>
      </c>
      <c r="F760" t="s">
        <v>1743</v>
      </c>
      <c r="G760" t="s">
        <v>120</v>
      </c>
      <c r="H760" t="s">
        <v>120</v>
      </c>
      <c r="I760" t="s">
        <v>120</v>
      </c>
      <c r="J760" t="s">
        <v>120</v>
      </c>
      <c r="K760" t="s">
        <v>120</v>
      </c>
      <c r="L760" t="s">
        <v>120</v>
      </c>
      <c r="M760" t="s">
        <v>120</v>
      </c>
      <c r="N760" t="s">
        <v>120</v>
      </c>
      <c r="O760" t="s">
        <v>120</v>
      </c>
      <c r="P760" t="s">
        <v>120</v>
      </c>
      <c r="Q760" t="s">
        <v>120</v>
      </c>
      <c r="R760" t="s">
        <v>120</v>
      </c>
      <c r="S760" t="s">
        <v>120</v>
      </c>
      <c r="T760" t="s">
        <v>120</v>
      </c>
      <c r="U760" t="s">
        <v>120</v>
      </c>
      <c r="V760" t="s">
        <v>120</v>
      </c>
      <c r="W760" t="s">
        <v>120</v>
      </c>
      <c r="X760" t="s">
        <v>120</v>
      </c>
      <c r="Y760" t="s">
        <v>120</v>
      </c>
      <c r="Z760" t="s">
        <v>120</v>
      </c>
      <c r="AA760" t="s">
        <v>120</v>
      </c>
      <c r="AB760" t="s">
        <v>120</v>
      </c>
      <c r="AC760" t="s">
        <v>120</v>
      </c>
      <c r="AD760" t="s">
        <v>120</v>
      </c>
      <c r="AE760" t="s">
        <v>120</v>
      </c>
      <c r="AF760" t="s">
        <v>120</v>
      </c>
      <c r="AG760" t="s">
        <v>120</v>
      </c>
      <c r="AH760" t="s">
        <v>120</v>
      </c>
      <c r="AJ760">
        <v>0</v>
      </c>
      <c r="AK760">
        <v>23</v>
      </c>
      <c r="AL760">
        <v>0</v>
      </c>
      <c r="AM760">
        <v>23</v>
      </c>
      <c r="AN760">
        <v>0</v>
      </c>
      <c r="AO760">
        <v>7500</v>
      </c>
      <c r="AP760">
        <v>23</v>
      </c>
      <c r="AQ760">
        <v>0</v>
      </c>
      <c r="AR760">
        <v>126.56250000000001</v>
      </c>
      <c r="AS760">
        <v>2156.25</v>
      </c>
    </row>
    <row r="761" spans="1:45" x14ac:dyDescent="0.25">
      <c r="A761" t="s">
        <v>1744</v>
      </c>
      <c r="B761" t="s">
        <v>1745</v>
      </c>
      <c r="C761" t="s">
        <v>147</v>
      </c>
      <c r="D761" t="s">
        <v>1714</v>
      </c>
      <c r="E761" t="s">
        <v>135</v>
      </c>
      <c r="F761" t="s">
        <v>135</v>
      </c>
      <c r="G761" t="s">
        <v>135</v>
      </c>
      <c r="H761" t="s">
        <v>120</v>
      </c>
      <c r="I761" t="s">
        <v>120</v>
      </c>
      <c r="J761" t="s">
        <v>120</v>
      </c>
      <c r="K761" t="s">
        <v>120</v>
      </c>
      <c r="L761" t="s">
        <v>120</v>
      </c>
      <c r="M761" t="s">
        <v>135</v>
      </c>
      <c r="N761" t="s">
        <v>120</v>
      </c>
      <c r="O761" t="s">
        <v>120</v>
      </c>
      <c r="P761" t="s">
        <v>120</v>
      </c>
      <c r="Q761" t="s">
        <v>120</v>
      </c>
      <c r="R761" t="s">
        <v>120</v>
      </c>
      <c r="S761" t="s">
        <v>120</v>
      </c>
      <c r="T761" t="s">
        <v>120</v>
      </c>
      <c r="U761" t="s">
        <v>120</v>
      </c>
      <c r="V761" t="s">
        <v>120</v>
      </c>
      <c r="W761" t="s">
        <v>120</v>
      </c>
      <c r="X761" t="s">
        <v>120</v>
      </c>
      <c r="Y761" t="s">
        <v>120</v>
      </c>
      <c r="Z761" t="s">
        <v>120</v>
      </c>
      <c r="AA761" t="s">
        <v>120</v>
      </c>
      <c r="AB761" t="s">
        <v>120</v>
      </c>
      <c r="AC761" t="s">
        <v>120</v>
      </c>
      <c r="AD761" t="s">
        <v>120</v>
      </c>
      <c r="AE761" t="s">
        <v>120</v>
      </c>
      <c r="AF761" t="s">
        <v>120</v>
      </c>
      <c r="AG761" t="s">
        <v>120</v>
      </c>
      <c r="AH761" t="s">
        <v>120</v>
      </c>
      <c r="AJ761">
        <v>0</v>
      </c>
      <c r="AK761">
        <v>32</v>
      </c>
      <c r="AL761">
        <v>0</v>
      </c>
      <c r="AM761">
        <v>32</v>
      </c>
      <c r="AN761">
        <v>0</v>
      </c>
      <c r="AO761">
        <v>31.55</v>
      </c>
      <c r="AP761">
        <v>32</v>
      </c>
      <c r="AQ761">
        <v>0</v>
      </c>
      <c r="AR761">
        <v>70.2</v>
      </c>
      <c r="AS761">
        <v>2019.2</v>
      </c>
    </row>
    <row r="762" spans="1:45" x14ac:dyDescent="0.25">
      <c r="A762" t="s">
        <v>1746</v>
      </c>
      <c r="B762" t="s">
        <v>1747</v>
      </c>
      <c r="C762" t="s">
        <v>147</v>
      </c>
      <c r="D762" t="s">
        <v>1714</v>
      </c>
      <c r="E762" t="s">
        <v>120</v>
      </c>
      <c r="F762" t="s">
        <v>120</v>
      </c>
      <c r="G762" t="s">
        <v>120</v>
      </c>
      <c r="H762" t="s">
        <v>120</v>
      </c>
      <c r="I762" t="s">
        <v>120</v>
      </c>
      <c r="J762" t="s">
        <v>120</v>
      </c>
      <c r="K762" t="s">
        <v>120</v>
      </c>
      <c r="L762" t="s">
        <v>120</v>
      </c>
      <c r="M762" t="s">
        <v>120</v>
      </c>
      <c r="N762" t="s">
        <v>120</v>
      </c>
      <c r="O762" t="s">
        <v>120</v>
      </c>
      <c r="P762" t="s">
        <v>120</v>
      </c>
      <c r="Q762" t="s">
        <v>120</v>
      </c>
      <c r="R762" t="s">
        <v>120</v>
      </c>
      <c r="S762" t="s">
        <v>120</v>
      </c>
      <c r="T762" t="s">
        <v>120</v>
      </c>
      <c r="U762" t="s">
        <v>120</v>
      </c>
      <c r="V762" t="s">
        <v>120</v>
      </c>
      <c r="W762" t="s">
        <v>120</v>
      </c>
      <c r="X762" t="s">
        <v>120</v>
      </c>
      <c r="Y762" t="s">
        <v>120</v>
      </c>
      <c r="Z762" t="s">
        <v>120</v>
      </c>
      <c r="AA762" t="s">
        <v>120</v>
      </c>
      <c r="AB762" t="s">
        <v>120</v>
      </c>
      <c r="AC762" t="s">
        <v>120</v>
      </c>
      <c r="AD762" t="s">
        <v>120</v>
      </c>
      <c r="AE762" t="s">
        <v>120</v>
      </c>
      <c r="AF762" t="s">
        <v>120</v>
      </c>
      <c r="AG762" t="s">
        <v>120</v>
      </c>
      <c r="AH762" t="s">
        <v>120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31.55</v>
      </c>
      <c r="AP762">
        <v>0</v>
      </c>
      <c r="AQ762">
        <v>0</v>
      </c>
      <c r="AR762">
        <v>70.2</v>
      </c>
      <c r="AS762">
        <v>0</v>
      </c>
    </row>
    <row r="763" spans="1:45" x14ac:dyDescent="0.25">
      <c r="A763" t="s">
        <v>1748</v>
      </c>
      <c r="B763" t="s">
        <v>1749</v>
      </c>
      <c r="C763" t="s">
        <v>127</v>
      </c>
      <c r="D763" t="s">
        <v>1714</v>
      </c>
      <c r="E763" t="s">
        <v>120</v>
      </c>
      <c r="F763" t="s">
        <v>120</v>
      </c>
      <c r="G763" t="s">
        <v>120</v>
      </c>
      <c r="H763" t="s">
        <v>120</v>
      </c>
      <c r="I763" t="s">
        <v>120</v>
      </c>
      <c r="J763" t="s">
        <v>120</v>
      </c>
      <c r="K763" t="s">
        <v>120</v>
      </c>
      <c r="L763" t="s">
        <v>120</v>
      </c>
      <c r="M763" t="s">
        <v>120</v>
      </c>
      <c r="N763" t="s">
        <v>120</v>
      </c>
      <c r="O763" t="s">
        <v>120</v>
      </c>
      <c r="P763" t="s">
        <v>120</v>
      </c>
      <c r="Q763" t="s">
        <v>120</v>
      </c>
      <c r="R763" t="s">
        <v>120</v>
      </c>
      <c r="S763" t="s">
        <v>120</v>
      </c>
      <c r="T763" t="s">
        <v>120</v>
      </c>
      <c r="U763" t="s">
        <v>120</v>
      </c>
      <c r="V763" t="s">
        <v>120</v>
      </c>
      <c r="W763" t="s">
        <v>120</v>
      </c>
      <c r="X763" t="s">
        <v>120</v>
      </c>
      <c r="Y763" t="s">
        <v>120</v>
      </c>
      <c r="Z763" t="s">
        <v>120</v>
      </c>
      <c r="AA763" t="s">
        <v>120</v>
      </c>
      <c r="AB763" t="s">
        <v>120</v>
      </c>
      <c r="AC763" t="s">
        <v>120</v>
      </c>
      <c r="AD763" t="s">
        <v>120</v>
      </c>
      <c r="AE763" t="s">
        <v>120</v>
      </c>
      <c r="AF763" t="s">
        <v>120</v>
      </c>
      <c r="AG763" t="s">
        <v>120</v>
      </c>
      <c r="AH763" t="s">
        <v>120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33.43</v>
      </c>
      <c r="AP763">
        <v>0</v>
      </c>
      <c r="AQ763">
        <v>0</v>
      </c>
      <c r="AR763">
        <v>75.06</v>
      </c>
      <c r="AS763">
        <v>0</v>
      </c>
    </row>
    <row r="764" spans="1:45" x14ac:dyDescent="0.25">
      <c r="A764" t="s">
        <v>1750</v>
      </c>
      <c r="B764" t="s">
        <v>1751</v>
      </c>
      <c r="C764" t="s">
        <v>127</v>
      </c>
      <c r="D764" t="s">
        <v>1714</v>
      </c>
      <c r="E764" t="s">
        <v>1752</v>
      </c>
      <c r="F764" t="s">
        <v>141</v>
      </c>
      <c r="G764" t="s">
        <v>120</v>
      </c>
      <c r="H764" t="s">
        <v>120</v>
      </c>
      <c r="I764" t="s">
        <v>120</v>
      </c>
      <c r="J764" t="s">
        <v>120</v>
      </c>
      <c r="K764" t="s">
        <v>120</v>
      </c>
      <c r="L764" t="s">
        <v>120</v>
      </c>
      <c r="M764" t="s">
        <v>120</v>
      </c>
      <c r="N764" t="s">
        <v>120</v>
      </c>
      <c r="O764" t="s">
        <v>120</v>
      </c>
      <c r="P764" t="s">
        <v>120</v>
      </c>
      <c r="Q764" t="s">
        <v>120</v>
      </c>
      <c r="R764" t="s">
        <v>141</v>
      </c>
      <c r="S764" t="s">
        <v>141</v>
      </c>
      <c r="T764" t="s">
        <v>120</v>
      </c>
      <c r="U764" t="s">
        <v>120</v>
      </c>
      <c r="V764" t="s">
        <v>120</v>
      </c>
      <c r="W764" t="s">
        <v>120</v>
      </c>
      <c r="X764" t="s">
        <v>135</v>
      </c>
      <c r="Y764" t="s">
        <v>120</v>
      </c>
      <c r="Z764" t="s">
        <v>120</v>
      </c>
      <c r="AA764" t="s">
        <v>120</v>
      </c>
      <c r="AB764" t="s">
        <v>120</v>
      </c>
      <c r="AC764" t="s">
        <v>120</v>
      </c>
      <c r="AD764" t="s">
        <v>141</v>
      </c>
      <c r="AE764" t="s">
        <v>141</v>
      </c>
      <c r="AF764" t="s">
        <v>120</v>
      </c>
      <c r="AG764" t="s">
        <v>120</v>
      </c>
      <c r="AH764" t="s">
        <v>120</v>
      </c>
      <c r="AJ764">
        <v>0</v>
      </c>
      <c r="AK764">
        <v>60</v>
      </c>
      <c r="AL764">
        <v>36</v>
      </c>
      <c r="AM764">
        <v>24</v>
      </c>
      <c r="AN764">
        <v>0</v>
      </c>
      <c r="AO764">
        <v>33.43</v>
      </c>
      <c r="AP764">
        <v>60</v>
      </c>
      <c r="AQ764">
        <v>0</v>
      </c>
      <c r="AR764">
        <v>75.06</v>
      </c>
      <c r="AS764">
        <v>4011.6</v>
      </c>
    </row>
    <row r="765" spans="1:45" x14ac:dyDescent="0.25">
      <c r="A765" t="s">
        <v>1753</v>
      </c>
      <c r="B765" t="s">
        <v>1754</v>
      </c>
      <c r="C765" t="s">
        <v>147</v>
      </c>
      <c r="D765" t="s">
        <v>1714</v>
      </c>
      <c r="E765" t="s">
        <v>120</v>
      </c>
      <c r="F765" t="s">
        <v>120</v>
      </c>
      <c r="G765" t="s">
        <v>120</v>
      </c>
      <c r="H765" t="s">
        <v>120</v>
      </c>
      <c r="I765" t="s">
        <v>120</v>
      </c>
      <c r="J765" t="s">
        <v>120</v>
      </c>
      <c r="K765" t="s">
        <v>120</v>
      </c>
      <c r="L765" t="s">
        <v>120</v>
      </c>
      <c r="M765" t="s">
        <v>120</v>
      </c>
      <c r="N765" t="s">
        <v>120</v>
      </c>
      <c r="O765" t="s">
        <v>120</v>
      </c>
      <c r="P765" t="s">
        <v>120</v>
      </c>
      <c r="Q765" t="s">
        <v>120</v>
      </c>
      <c r="R765" t="s">
        <v>120</v>
      </c>
      <c r="S765" t="s">
        <v>120</v>
      </c>
      <c r="T765" t="s">
        <v>120</v>
      </c>
      <c r="U765" t="s">
        <v>120</v>
      </c>
      <c r="V765" t="s">
        <v>120</v>
      </c>
      <c r="W765" t="s">
        <v>120</v>
      </c>
      <c r="X765" t="s">
        <v>120</v>
      </c>
      <c r="Y765" t="s">
        <v>120</v>
      </c>
      <c r="Z765" t="s">
        <v>120</v>
      </c>
      <c r="AA765" t="s">
        <v>120</v>
      </c>
      <c r="AB765" t="s">
        <v>120</v>
      </c>
      <c r="AC765" t="s">
        <v>120</v>
      </c>
      <c r="AD765" t="s">
        <v>120</v>
      </c>
      <c r="AE765" t="s">
        <v>120</v>
      </c>
      <c r="AF765" t="s">
        <v>120</v>
      </c>
      <c r="AG765" t="s">
        <v>120</v>
      </c>
      <c r="AH765" t="s">
        <v>120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31.55</v>
      </c>
      <c r="AP765">
        <v>0</v>
      </c>
      <c r="AQ765">
        <v>0</v>
      </c>
      <c r="AR765">
        <v>70.2</v>
      </c>
      <c r="AS765">
        <v>0</v>
      </c>
    </row>
    <row r="766" spans="1:45" x14ac:dyDescent="0.25">
      <c r="A766" t="s">
        <v>1755</v>
      </c>
      <c r="B766" t="s">
        <v>1756</v>
      </c>
      <c r="C766" t="s">
        <v>147</v>
      </c>
      <c r="D766" t="s">
        <v>1714</v>
      </c>
      <c r="E766" t="s">
        <v>120</v>
      </c>
      <c r="F766" t="s">
        <v>120</v>
      </c>
      <c r="G766" t="s">
        <v>120</v>
      </c>
      <c r="H766" t="s">
        <v>120</v>
      </c>
      <c r="I766" t="s">
        <v>120</v>
      </c>
      <c r="J766" t="s">
        <v>120</v>
      </c>
      <c r="K766" t="s">
        <v>120</v>
      </c>
      <c r="L766" t="s">
        <v>120</v>
      </c>
      <c r="M766" t="s">
        <v>120</v>
      </c>
      <c r="N766" t="s">
        <v>120</v>
      </c>
      <c r="O766" t="s">
        <v>120</v>
      </c>
      <c r="P766" t="s">
        <v>120</v>
      </c>
      <c r="Q766" t="s">
        <v>120</v>
      </c>
      <c r="R766" t="s">
        <v>120</v>
      </c>
      <c r="S766" t="s">
        <v>120</v>
      </c>
      <c r="T766" t="s">
        <v>120</v>
      </c>
      <c r="U766" t="s">
        <v>120</v>
      </c>
      <c r="V766" t="s">
        <v>120</v>
      </c>
      <c r="W766" t="s">
        <v>120</v>
      </c>
      <c r="X766" t="s">
        <v>120</v>
      </c>
      <c r="Y766" t="s">
        <v>120</v>
      </c>
      <c r="Z766" t="s">
        <v>120</v>
      </c>
      <c r="AA766" t="s">
        <v>120</v>
      </c>
      <c r="AB766" t="s">
        <v>120</v>
      </c>
      <c r="AC766" t="s">
        <v>120</v>
      </c>
      <c r="AD766" t="s">
        <v>120</v>
      </c>
      <c r="AE766" t="s">
        <v>120</v>
      </c>
      <c r="AF766" t="s">
        <v>120</v>
      </c>
      <c r="AG766" t="s">
        <v>120</v>
      </c>
      <c r="AH766" t="s">
        <v>120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31.55</v>
      </c>
      <c r="AP766">
        <v>0</v>
      </c>
      <c r="AQ766">
        <v>0</v>
      </c>
      <c r="AR766">
        <v>70.2</v>
      </c>
      <c r="AS766">
        <v>0</v>
      </c>
    </row>
    <row r="767" spans="1:45" x14ac:dyDescent="0.25">
      <c r="A767" t="s">
        <v>1757</v>
      </c>
      <c r="B767" t="s">
        <v>1758</v>
      </c>
      <c r="C767" t="s">
        <v>130</v>
      </c>
      <c r="D767" t="s">
        <v>1759</v>
      </c>
      <c r="E767" t="s">
        <v>120</v>
      </c>
      <c r="F767" t="s">
        <v>120</v>
      </c>
      <c r="G767" t="s">
        <v>120</v>
      </c>
      <c r="H767" t="s">
        <v>120</v>
      </c>
      <c r="I767" t="s">
        <v>120</v>
      </c>
      <c r="J767" t="s">
        <v>120</v>
      </c>
      <c r="K767" t="s">
        <v>120</v>
      </c>
      <c r="L767" t="s">
        <v>120</v>
      </c>
      <c r="M767" t="s">
        <v>120</v>
      </c>
      <c r="N767" t="s">
        <v>120</v>
      </c>
      <c r="O767" t="s">
        <v>120</v>
      </c>
      <c r="P767" t="s">
        <v>120</v>
      </c>
      <c r="Q767" t="s">
        <v>120</v>
      </c>
      <c r="R767" t="s">
        <v>120</v>
      </c>
      <c r="S767" t="s">
        <v>120</v>
      </c>
      <c r="T767" t="s">
        <v>120</v>
      </c>
      <c r="U767" t="s">
        <v>120</v>
      </c>
      <c r="V767" t="s">
        <v>120</v>
      </c>
      <c r="W767" t="s">
        <v>120</v>
      </c>
      <c r="X767" t="s">
        <v>120</v>
      </c>
      <c r="Y767" t="s">
        <v>120</v>
      </c>
      <c r="Z767" t="s">
        <v>120</v>
      </c>
      <c r="AA767" t="s">
        <v>120</v>
      </c>
      <c r="AB767" t="s">
        <v>120</v>
      </c>
      <c r="AC767" t="s">
        <v>120</v>
      </c>
      <c r="AD767" t="s">
        <v>120</v>
      </c>
      <c r="AE767" t="s">
        <v>120</v>
      </c>
      <c r="AF767" t="s">
        <v>120</v>
      </c>
      <c r="AG767" t="s">
        <v>120</v>
      </c>
      <c r="AH767" t="s">
        <v>120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7500</v>
      </c>
      <c r="AP767">
        <v>0</v>
      </c>
      <c r="AQ767">
        <v>0</v>
      </c>
      <c r="AR767">
        <v>126.56250000000001</v>
      </c>
      <c r="AS767">
        <v>0</v>
      </c>
    </row>
    <row r="768" spans="1:45" x14ac:dyDescent="0.25">
      <c r="A768" t="s">
        <v>1760</v>
      </c>
      <c r="B768" t="s">
        <v>1761</v>
      </c>
      <c r="C768" t="s">
        <v>127</v>
      </c>
      <c r="D768" t="s">
        <v>1759</v>
      </c>
      <c r="E768" t="s">
        <v>120</v>
      </c>
      <c r="F768" t="s">
        <v>120</v>
      </c>
      <c r="G768" t="s">
        <v>120</v>
      </c>
      <c r="H768" t="s">
        <v>120</v>
      </c>
      <c r="I768" t="s">
        <v>120</v>
      </c>
      <c r="J768" t="s">
        <v>120</v>
      </c>
      <c r="K768" t="s">
        <v>120</v>
      </c>
      <c r="L768" t="s">
        <v>120</v>
      </c>
      <c r="M768" t="s">
        <v>120</v>
      </c>
      <c r="N768" t="s">
        <v>120</v>
      </c>
      <c r="O768" t="s">
        <v>120</v>
      </c>
      <c r="P768" t="s">
        <v>120</v>
      </c>
      <c r="Q768" t="s">
        <v>120</v>
      </c>
      <c r="R768" t="s">
        <v>120</v>
      </c>
      <c r="S768" t="s">
        <v>120</v>
      </c>
      <c r="T768" t="s">
        <v>120</v>
      </c>
      <c r="U768" t="s">
        <v>120</v>
      </c>
      <c r="V768" t="s">
        <v>120</v>
      </c>
      <c r="W768" t="s">
        <v>120</v>
      </c>
      <c r="X768" t="s">
        <v>120</v>
      </c>
      <c r="Y768" t="s">
        <v>120</v>
      </c>
      <c r="Z768" t="s">
        <v>120</v>
      </c>
      <c r="AA768" t="s">
        <v>120</v>
      </c>
      <c r="AB768" t="s">
        <v>120</v>
      </c>
      <c r="AC768" t="s">
        <v>120</v>
      </c>
      <c r="AD768" t="s">
        <v>120</v>
      </c>
      <c r="AE768" t="s">
        <v>120</v>
      </c>
      <c r="AF768" t="s">
        <v>120</v>
      </c>
      <c r="AG768" t="s">
        <v>120</v>
      </c>
      <c r="AH768" t="s">
        <v>120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33.43</v>
      </c>
      <c r="AP768">
        <v>0</v>
      </c>
      <c r="AQ768">
        <v>0</v>
      </c>
      <c r="AR768">
        <v>75.06</v>
      </c>
      <c r="AS768">
        <v>0</v>
      </c>
    </row>
    <row r="769" spans="1:45" x14ac:dyDescent="0.25">
      <c r="A769" t="s">
        <v>1762</v>
      </c>
      <c r="B769" t="s">
        <v>1763</v>
      </c>
      <c r="C769" t="s">
        <v>147</v>
      </c>
      <c r="D769" t="s">
        <v>1759</v>
      </c>
      <c r="E769" t="s">
        <v>120</v>
      </c>
      <c r="F769" t="s">
        <v>120</v>
      </c>
      <c r="G769" t="s">
        <v>120</v>
      </c>
      <c r="H769" t="s">
        <v>120</v>
      </c>
      <c r="I769" t="s">
        <v>120</v>
      </c>
      <c r="J769" t="s">
        <v>120</v>
      </c>
      <c r="K769" t="s">
        <v>120</v>
      </c>
      <c r="L769" t="s">
        <v>141</v>
      </c>
      <c r="M769" t="s">
        <v>120</v>
      </c>
      <c r="N769" t="s">
        <v>120</v>
      </c>
      <c r="O769" t="s">
        <v>120</v>
      </c>
      <c r="P769" t="s">
        <v>120</v>
      </c>
      <c r="Q769" t="s">
        <v>120</v>
      </c>
      <c r="R769" t="s">
        <v>120</v>
      </c>
      <c r="S769" t="s">
        <v>120</v>
      </c>
      <c r="T769" t="s">
        <v>120</v>
      </c>
      <c r="U769" t="s">
        <v>120</v>
      </c>
      <c r="V769" t="s">
        <v>120</v>
      </c>
      <c r="W769" t="s">
        <v>120</v>
      </c>
      <c r="X769" t="s">
        <v>120</v>
      </c>
      <c r="Y769" t="s">
        <v>120</v>
      </c>
      <c r="Z769" t="s">
        <v>120</v>
      </c>
      <c r="AA769" t="s">
        <v>120</v>
      </c>
      <c r="AB769" t="s">
        <v>120</v>
      </c>
      <c r="AC769" t="s">
        <v>120</v>
      </c>
      <c r="AD769" t="s">
        <v>120</v>
      </c>
      <c r="AE769" t="s">
        <v>120</v>
      </c>
      <c r="AF769" t="s">
        <v>120</v>
      </c>
      <c r="AG769" t="s">
        <v>120</v>
      </c>
      <c r="AH769" t="s">
        <v>120</v>
      </c>
      <c r="AJ769">
        <v>0</v>
      </c>
      <c r="AK769">
        <v>8</v>
      </c>
      <c r="AL769">
        <v>8</v>
      </c>
      <c r="AM769">
        <v>0</v>
      </c>
      <c r="AN769">
        <v>0</v>
      </c>
      <c r="AO769">
        <v>31.55</v>
      </c>
      <c r="AP769">
        <v>8</v>
      </c>
      <c r="AQ769">
        <v>0</v>
      </c>
      <c r="AR769">
        <v>70.2</v>
      </c>
      <c r="AS769">
        <v>504.8</v>
      </c>
    </row>
    <row r="770" spans="1:45" x14ac:dyDescent="0.25">
      <c r="A770" t="s">
        <v>1764</v>
      </c>
      <c r="B770" t="s">
        <v>1765</v>
      </c>
      <c r="C770" t="s">
        <v>147</v>
      </c>
      <c r="D770" t="s">
        <v>1759</v>
      </c>
      <c r="E770" t="s">
        <v>120</v>
      </c>
      <c r="F770" t="s">
        <v>120</v>
      </c>
      <c r="G770" t="s">
        <v>120</v>
      </c>
      <c r="H770" t="s">
        <v>120</v>
      </c>
      <c r="I770" t="s">
        <v>120</v>
      </c>
      <c r="J770" t="s">
        <v>120</v>
      </c>
      <c r="K770" t="s">
        <v>120</v>
      </c>
      <c r="L770" t="s">
        <v>120</v>
      </c>
      <c r="M770" t="s">
        <v>120</v>
      </c>
      <c r="N770" t="s">
        <v>120</v>
      </c>
      <c r="O770" t="s">
        <v>120</v>
      </c>
      <c r="P770" t="s">
        <v>120</v>
      </c>
      <c r="Q770" t="s">
        <v>120</v>
      </c>
      <c r="R770" t="s">
        <v>120</v>
      </c>
      <c r="S770" t="s">
        <v>120</v>
      </c>
      <c r="T770" t="s">
        <v>120</v>
      </c>
      <c r="U770" t="s">
        <v>120</v>
      </c>
      <c r="V770" t="s">
        <v>120</v>
      </c>
      <c r="W770" t="s">
        <v>120</v>
      </c>
      <c r="X770" t="s">
        <v>120</v>
      </c>
      <c r="Y770" t="s">
        <v>120</v>
      </c>
      <c r="Z770" t="s">
        <v>120</v>
      </c>
      <c r="AA770" t="s">
        <v>120</v>
      </c>
      <c r="AB770" t="s">
        <v>120</v>
      </c>
      <c r="AC770" t="s">
        <v>120</v>
      </c>
      <c r="AD770" t="s">
        <v>120</v>
      </c>
      <c r="AE770" t="s">
        <v>120</v>
      </c>
      <c r="AF770" t="s">
        <v>120</v>
      </c>
      <c r="AG770" t="s">
        <v>120</v>
      </c>
      <c r="AH770" t="s">
        <v>120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31.55</v>
      </c>
      <c r="AP770">
        <v>0</v>
      </c>
      <c r="AQ770">
        <v>0</v>
      </c>
      <c r="AR770">
        <v>70.2</v>
      </c>
      <c r="AS770">
        <v>0</v>
      </c>
    </row>
    <row r="771" spans="1:45" x14ac:dyDescent="0.25">
      <c r="A771" t="s">
        <v>1766</v>
      </c>
      <c r="B771" t="s">
        <v>1767</v>
      </c>
      <c r="C771" t="s">
        <v>147</v>
      </c>
      <c r="D771" t="s">
        <v>1759</v>
      </c>
      <c r="E771" t="s">
        <v>120</v>
      </c>
      <c r="F771" t="s">
        <v>120</v>
      </c>
      <c r="G771" t="s">
        <v>120</v>
      </c>
      <c r="H771" t="s">
        <v>120</v>
      </c>
      <c r="I771" t="s">
        <v>120</v>
      </c>
      <c r="J771" t="s">
        <v>120</v>
      </c>
      <c r="K771" t="s">
        <v>120</v>
      </c>
      <c r="L771" t="s">
        <v>120</v>
      </c>
      <c r="M771" t="s">
        <v>120</v>
      </c>
      <c r="N771" t="s">
        <v>120</v>
      </c>
      <c r="O771" t="s">
        <v>120</v>
      </c>
      <c r="P771" t="s">
        <v>120</v>
      </c>
      <c r="Q771" t="s">
        <v>120</v>
      </c>
      <c r="R771" t="s">
        <v>120</v>
      </c>
      <c r="S771" t="s">
        <v>120</v>
      </c>
      <c r="T771" t="s">
        <v>120</v>
      </c>
      <c r="U771" t="s">
        <v>120</v>
      </c>
      <c r="V771" t="s">
        <v>120</v>
      </c>
      <c r="W771" t="s">
        <v>120</v>
      </c>
      <c r="X771" t="s">
        <v>120</v>
      </c>
      <c r="Y771" t="s">
        <v>120</v>
      </c>
      <c r="Z771" t="s">
        <v>120</v>
      </c>
      <c r="AA771" t="s">
        <v>120</v>
      </c>
      <c r="AB771" t="s">
        <v>120</v>
      </c>
      <c r="AC771" t="s">
        <v>120</v>
      </c>
      <c r="AD771" t="s">
        <v>120</v>
      </c>
      <c r="AE771" t="s">
        <v>120</v>
      </c>
      <c r="AF771" t="s">
        <v>120</v>
      </c>
      <c r="AG771" t="s">
        <v>120</v>
      </c>
      <c r="AH771" t="s">
        <v>120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31.55</v>
      </c>
      <c r="AP771">
        <v>0</v>
      </c>
      <c r="AQ771">
        <v>0</v>
      </c>
      <c r="AR771">
        <v>70.2</v>
      </c>
      <c r="AS771">
        <v>0</v>
      </c>
    </row>
    <row r="772" spans="1:45" x14ac:dyDescent="0.25">
      <c r="A772" t="s">
        <v>1768</v>
      </c>
      <c r="B772" t="s">
        <v>1769</v>
      </c>
      <c r="C772" t="s">
        <v>147</v>
      </c>
      <c r="D772" t="s">
        <v>1759</v>
      </c>
      <c r="E772" t="s">
        <v>120</v>
      </c>
      <c r="F772" t="s">
        <v>120</v>
      </c>
      <c r="G772" t="s">
        <v>120</v>
      </c>
      <c r="H772" t="s">
        <v>120</v>
      </c>
      <c r="I772" t="s">
        <v>120</v>
      </c>
      <c r="J772" t="s">
        <v>120</v>
      </c>
      <c r="K772" t="s">
        <v>120</v>
      </c>
      <c r="L772" t="s">
        <v>120</v>
      </c>
      <c r="M772" t="s">
        <v>120</v>
      </c>
      <c r="N772" t="s">
        <v>120</v>
      </c>
      <c r="O772" t="s">
        <v>120</v>
      </c>
      <c r="P772" t="s">
        <v>120</v>
      </c>
      <c r="Q772" t="s">
        <v>120</v>
      </c>
      <c r="R772" t="s">
        <v>120</v>
      </c>
      <c r="S772" t="s">
        <v>120</v>
      </c>
      <c r="T772" t="s">
        <v>120</v>
      </c>
      <c r="U772" t="s">
        <v>120</v>
      </c>
      <c r="V772" t="s">
        <v>120</v>
      </c>
      <c r="W772" t="s">
        <v>120</v>
      </c>
      <c r="X772" t="s">
        <v>120</v>
      </c>
      <c r="Y772" t="s">
        <v>120</v>
      </c>
      <c r="Z772" t="s">
        <v>120</v>
      </c>
      <c r="AA772" t="s">
        <v>120</v>
      </c>
      <c r="AB772" t="s">
        <v>120</v>
      </c>
      <c r="AC772" t="s">
        <v>120</v>
      </c>
      <c r="AD772" t="s">
        <v>120</v>
      </c>
      <c r="AE772" t="s">
        <v>120</v>
      </c>
      <c r="AF772" t="s">
        <v>120</v>
      </c>
      <c r="AG772" t="s">
        <v>120</v>
      </c>
      <c r="AH772" t="s">
        <v>120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31.55</v>
      </c>
      <c r="AP772">
        <v>0</v>
      </c>
      <c r="AQ772">
        <v>0</v>
      </c>
      <c r="AR772">
        <v>70.2</v>
      </c>
      <c r="AS772">
        <v>0</v>
      </c>
    </row>
    <row r="773" spans="1:45" x14ac:dyDescent="0.25">
      <c r="A773" t="s">
        <v>1770</v>
      </c>
      <c r="B773" t="s">
        <v>1771</v>
      </c>
      <c r="C773" t="s">
        <v>147</v>
      </c>
      <c r="D773" t="s">
        <v>1759</v>
      </c>
      <c r="E773" t="s">
        <v>120</v>
      </c>
      <c r="F773" t="s">
        <v>120</v>
      </c>
      <c r="G773" t="s">
        <v>120</v>
      </c>
      <c r="H773" t="s">
        <v>135</v>
      </c>
      <c r="I773" t="s">
        <v>120</v>
      </c>
      <c r="J773" t="s">
        <v>120</v>
      </c>
      <c r="K773" t="s">
        <v>120</v>
      </c>
      <c r="L773" t="s">
        <v>120</v>
      </c>
      <c r="M773" t="s">
        <v>120</v>
      </c>
      <c r="N773" t="s">
        <v>141</v>
      </c>
      <c r="O773" t="s">
        <v>120</v>
      </c>
      <c r="P773" t="s">
        <v>120</v>
      </c>
      <c r="Q773" t="s">
        <v>120</v>
      </c>
      <c r="R773" t="s">
        <v>120</v>
      </c>
      <c r="S773" t="s">
        <v>135</v>
      </c>
      <c r="T773" t="s">
        <v>120</v>
      </c>
      <c r="U773" t="s">
        <v>120</v>
      </c>
      <c r="V773" t="s">
        <v>120</v>
      </c>
      <c r="W773" t="s">
        <v>120</v>
      </c>
      <c r="X773" t="s">
        <v>120</v>
      </c>
      <c r="Y773" t="s">
        <v>120</v>
      </c>
      <c r="Z773" t="s">
        <v>120</v>
      </c>
      <c r="AA773" t="s">
        <v>120</v>
      </c>
      <c r="AB773" t="s">
        <v>135</v>
      </c>
      <c r="AC773" t="s">
        <v>120</v>
      </c>
      <c r="AD773" t="s">
        <v>120</v>
      </c>
      <c r="AE773" t="s">
        <v>120</v>
      </c>
      <c r="AF773" t="s">
        <v>120</v>
      </c>
      <c r="AG773" t="s">
        <v>120</v>
      </c>
      <c r="AH773" t="s">
        <v>120</v>
      </c>
      <c r="AJ773">
        <v>0</v>
      </c>
      <c r="AK773">
        <v>32</v>
      </c>
      <c r="AL773">
        <v>8</v>
      </c>
      <c r="AM773">
        <v>24</v>
      </c>
      <c r="AN773">
        <v>0</v>
      </c>
      <c r="AO773">
        <v>31.55</v>
      </c>
      <c r="AP773">
        <v>32</v>
      </c>
      <c r="AQ773">
        <v>0</v>
      </c>
      <c r="AR773">
        <v>70.2</v>
      </c>
      <c r="AS773">
        <v>2019.2</v>
      </c>
    </row>
    <row r="774" spans="1:45" x14ac:dyDescent="0.25">
      <c r="A774" t="s">
        <v>1772</v>
      </c>
      <c r="B774" t="s">
        <v>1773</v>
      </c>
      <c r="C774" t="s">
        <v>147</v>
      </c>
      <c r="D774" t="s">
        <v>1759</v>
      </c>
      <c r="E774" t="s">
        <v>120</v>
      </c>
      <c r="F774" t="s">
        <v>120</v>
      </c>
      <c r="G774" t="s">
        <v>120</v>
      </c>
      <c r="H774" t="s">
        <v>120</v>
      </c>
      <c r="I774" t="s">
        <v>120</v>
      </c>
      <c r="J774" t="s">
        <v>120</v>
      </c>
      <c r="K774" t="s">
        <v>120</v>
      </c>
      <c r="L774" t="s">
        <v>120</v>
      </c>
      <c r="M774" t="s">
        <v>120</v>
      </c>
      <c r="N774" t="s">
        <v>120</v>
      </c>
      <c r="O774" t="s">
        <v>120</v>
      </c>
      <c r="P774" t="s">
        <v>120</v>
      </c>
      <c r="Q774" t="s">
        <v>120</v>
      </c>
      <c r="R774" t="s">
        <v>120</v>
      </c>
      <c r="S774" t="s">
        <v>120</v>
      </c>
      <c r="T774" t="s">
        <v>120</v>
      </c>
      <c r="U774" t="s">
        <v>120</v>
      </c>
      <c r="V774" t="s">
        <v>120</v>
      </c>
      <c r="W774" t="s">
        <v>120</v>
      </c>
      <c r="X774" t="s">
        <v>120</v>
      </c>
      <c r="Y774" t="s">
        <v>120</v>
      </c>
      <c r="Z774" t="s">
        <v>120</v>
      </c>
      <c r="AA774" t="s">
        <v>120</v>
      </c>
      <c r="AB774" t="s">
        <v>120</v>
      </c>
      <c r="AC774" t="s">
        <v>120</v>
      </c>
      <c r="AD774" t="s">
        <v>120</v>
      </c>
      <c r="AE774" t="s">
        <v>120</v>
      </c>
      <c r="AF774" t="s">
        <v>120</v>
      </c>
      <c r="AG774" t="s">
        <v>120</v>
      </c>
      <c r="AH774" t="s">
        <v>120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31.55</v>
      </c>
      <c r="AP774">
        <v>0</v>
      </c>
      <c r="AQ774">
        <v>0</v>
      </c>
      <c r="AR774">
        <v>70.2</v>
      </c>
      <c r="AS774">
        <v>0</v>
      </c>
    </row>
    <row r="775" spans="1:45" x14ac:dyDescent="0.25">
      <c r="A775" t="s">
        <v>1774</v>
      </c>
      <c r="B775" t="s">
        <v>1775</v>
      </c>
      <c r="C775" t="s">
        <v>147</v>
      </c>
      <c r="D775" t="s">
        <v>1759</v>
      </c>
      <c r="E775" t="s">
        <v>120</v>
      </c>
      <c r="F775" t="s">
        <v>120</v>
      </c>
      <c r="G775" t="s">
        <v>141</v>
      </c>
      <c r="H775" t="s">
        <v>120</v>
      </c>
      <c r="I775" t="s">
        <v>120</v>
      </c>
      <c r="J775" t="s">
        <v>120</v>
      </c>
      <c r="K775" t="s">
        <v>120</v>
      </c>
      <c r="L775" t="s">
        <v>120</v>
      </c>
      <c r="M775" t="s">
        <v>120</v>
      </c>
      <c r="N775" t="s">
        <v>120</v>
      </c>
      <c r="O775" t="s">
        <v>120</v>
      </c>
      <c r="P775" t="s">
        <v>120</v>
      </c>
      <c r="Q775" t="s">
        <v>120</v>
      </c>
      <c r="R775" t="s">
        <v>120</v>
      </c>
      <c r="S775" t="s">
        <v>120</v>
      </c>
      <c r="T775" t="s">
        <v>120</v>
      </c>
      <c r="U775" t="s">
        <v>120</v>
      </c>
      <c r="V775" t="s">
        <v>120</v>
      </c>
      <c r="W775" t="s">
        <v>120</v>
      </c>
      <c r="X775" t="s">
        <v>120</v>
      </c>
      <c r="Y775" t="s">
        <v>120</v>
      </c>
      <c r="Z775" t="s">
        <v>120</v>
      </c>
      <c r="AA775" t="s">
        <v>120</v>
      </c>
      <c r="AB775" t="s">
        <v>120</v>
      </c>
      <c r="AC775" t="s">
        <v>120</v>
      </c>
      <c r="AD775" t="s">
        <v>120</v>
      </c>
      <c r="AE775" t="s">
        <v>120</v>
      </c>
      <c r="AF775" t="s">
        <v>120</v>
      </c>
      <c r="AG775" t="s">
        <v>120</v>
      </c>
      <c r="AH775" t="s">
        <v>120</v>
      </c>
      <c r="AJ775">
        <v>0</v>
      </c>
      <c r="AK775">
        <v>8</v>
      </c>
      <c r="AL775">
        <v>8</v>
      </c>
      <c r="AM775">
        <v>0</v>
      </c>
      <c r="AN775">
        <v>0</v>
      </c>
      <c r="AO775">
        <v>31.55</v>
      </c>
      <c r="AP775">
        <v>8</v>
      </c>
      <c r="AQ775">
        <v>0</v>
      </c>
      <c r="AR775">
        <v>70.2</v>
      </c>
      <c r="AS775">
        <v>504.8</v>
      </c>
    </row>
    <row r="776" spans="1:45" x14ac:dyDescent="0.25">
      <c r="A776" t="s">
        <v>1776</v>
      </c>
      <c r="B776" t="s">
        <v>1777</v>
      </c>
      <c r="C776" t="s">
        <v>147</v>
      </c>
      <c r="D776" t="s">
        <v>1759</v>
      </c>
      <c r="E776" t="s">
        <v>120</v>
      </c>
      <c r="F776" t="s">
        <v>120</v>
      </c>
      <c r="G776" t="s">
        <v>120</v>
      </c>
      <c r="H776" t="s">
        <v>120</v>
      </c>
      <c r="I776" t="s">
        <v>120</v>
      </c>
      <c r="J776" t="s">
        <v>120</v>
      </c>
      <c r="K776" t="s">
        <v>120</v>
      </c>
      <c r="L776" t="s">
        <v>120</v>
      </c>
      <c r="M776" t="s">
        <v>120</v>
      </c>
      <c r="N776" t="s">
        <v>120</v>
      </c>
      <c r="O776" t="s">
        <v>120</v>
      </c>
      <c r="P776" t="s">
        <v>120</v>
      </c>
      <c r="Q776" t="s">
        <v>120</v>
      </c>
      <c r="R776" t="s">
        <v>120</v>
      </c>
      <c r="S776" t="s">
        <v>120</v>
      </c>
      <c r="T776" t="s">
        <v>120</v>
      </c>
      <c r="U776" t="s">
        <v>120</v>
      </c>
      <c r="V776" t="s">
        <v>120</v>
      </c>
      <c r="W776" t="s">
        <v>120</v>
      </c>
      <c r="X776" t="s">
        <v>120</v>
      </c>
      <c r="Y776" t="s">
        <v>120</v>
      </c>
      <c r="Z776" t="s">
        <v>120</v>
      </c>
      <c r="AA776" t="s">
        <v>120</v>
      </c>
      <c r="AB776" t="s">
        <v>120</v>
      </c>
      <c r="AC776" t="s">
        <v>120</v>
      </c>
      <c r="AD776" t="s">
        <v>120</v>
      </c>
      <c r="AE776" t="s">
        <v>120</v>
      </c>
      <c r="AF776" t="s">
        <v>120</v>
      </c>
      <c r="AG776" t="s">
        <v>120</v>
      </c>
      <c r="AH776" t="s">
        <v>120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31.55</v>
      </c>
      <c r="AP776">
        <v>0</v>
      </c>
      <c r="AQ776">
        <v>0</v>
      </c>
      <c r="AR776">
        <v>70.2</v>
      </c>
      <c r="AS776">
        <v>0</v>
      </c>
    </row>
    <row r="777" spans="1:45" x14ac:dyDescent="0.25">
      <c r="A777" t="s">
        <v>1778</v>
      </c>
      <c r="B777" t="s">
        <v>1779</v>
      </c>
      <c r="C777" t="s">
        <v>147</v>
      </c>
      <c r="D777" t="s">
        <v>1759</v>
      </c>
      <c r="E777" t="s">
        <v>120</v>
      </c>
      <c r="F777" t="s">
        <v>120</v>
      </c>
      <c r="G777" t="s">
        <v>120</v>
      </c>
      <c r="H777" t="s">
        <v>120</v>
      </c>
      <c r="I777" t="s">
        <v>120</v>
      </c>
      <c r="J777" t="s">
        <v>120</v>
      </c>
      <c r="K777" t="s">
        <v>120</v>
      </c>
      <c r="L777" t="s">
        <v>120</v>
      </c>
      <c r="M777" t="s">
        <v>120</v>
      </c>
      <c r="N777" t="s">
        <v>120</v>
      </c>
      <c r="O777" t="s">
        <v>120</v>
      </c>
      <c r="P777" t="s">
        <v>120</v>
      </c>
      <c r="Q777" t="s">
        <v>120</v>
      </c>
      <c r="R777" t="s">
        <v>120</v>
      </c>
      <c r="S777" t="s">
        <v>120</v>
      </c>
      <c r="T777" t="s">
        <v>120</v>
      </c>
      <c r="U777" t="s">
        <v>120</v>
      </c>
      <c r="V777" t="s">
        <v>120</v>
      </c>
      <c r="W777" t="s">
        <v>120</v>
      </c>
      <c r="X777" t="s">
        <v>120</v>
      </c>
      <c r="Y777" t="s">
        <v>120</v>
      </c>
      <c r="Z777" t="s">
        <v>120</v>
      </c>
      <c r="AA777" t="s">
        <v>120</v>
      </c>
      <c r="AB777" t="s">
        <v>120</v>
      </c>
      <c r="AC777" t="s">
        <v>120</v>
      </c>
      <c r="AD777" t="s">
        <v>120</v>
      </c>
      <c r="AE777" t="s">
        <v>120</v>
      </c>
      <c r="AF777" t="s">
        <v>120</v>
      </c>
      <c r="AG777" t="s">
        <v>120</v>
      </c>
      <c r="AH777" t="s">
        <v>120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31.55</v>
      </c>
      <c r="AP777">
        <v>0</v>
      </c>
      <c r="AQ777">
        <v>0</v>
      </c>
      <c r="AR777">
        <v>70.2</v>
      </c>
      <c r="AS777">
        <v>0</v>
      </c>
    </row>
    <row r="778" spans="1:45" x14ac:dyDescent="0.25">
      <c r="A778" t="s">
        <v>1780</v>
      </c>
      <c r="B778" t="s">
        <v>1781</v>
      </c>
      <c r="C778" t="s">
        <v>147</v>
      </c>
      <c r="D778" t="s">
        <v>1759</v>
      </c>
      <c r="E778" t="s">
        <v>120</v>
      </c>
      <c r="F778" t="s">
        <v>120</v>
      </c>
      <c r="G778" t="s">
        <v>120</v>
      </c>
      <c r="H778" t="s">
        <v>120</v>
      </c>
      <c r="I778" t="s">
        <v>120</v>
      </c>
      <c r="J778" t="s">
        <v>120</v>
      </c>
      <c r="K778" t="s">
        <v>120</v>
      </c>
      <c r="L778" t="s">
        <v>120</v>
      </c>
      <c r="M778" t="s">
        <v>120</v>
      </c>
      <c r="N778" t="s">
        <v>120</v>
      </c>
      <c r="O778" t="s">
        <v>120</v>
      </c>
      <c r="P778" t="s">
        <v>120</v>
      </c>
      <c r="Q778" t="s">
        <v>120</v>
      </c>
      <c r="R778" t="s">
        <v>120</v>
      </c>
      <c r="S778" t="s">
        <v>120</v>
      </c>
      <c r="T778" t="s">
        <v>120</v>
      </c>
      <c r="U778" t="s">
        <v>120</v>
      </c>
      <c r="V778" t="s">
        <v>120</v>
      </c>
      <c r="W778" t="s">
        <v>120</v>
      </c>
      <c r="X778" t="s">
        <v>120</v>
      </c>
      <c r="Y778" t="s">
        <v>120</v>
      </c>
      <c r="Z778" t="s">
        <v>120</v>
      </c>
      <c r="AA778" t="s">
        <v>120</v>
      </c>
      <c r="AB778" t="s">
        <v>120</v>
      </c>
      <c r="AC778" t="s">
        <v>120</v>
      </c>
      <c r="AD778" t="s">
        <v>120</v>
      </c>
      <c r="AE778" t="s">
        <v>120</v>
      </c>
      <c r="AF778" t="s">
        <v>120</v>
      </c>
      <c r="AG778" t="s">
        <v>120</v>
      </c>
      <c r="AH778" t="s">
        <v>120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31.55</v>
      </c>
      <c r="AP778">
        <v>0</v>
      </c>
      <c r="AQ778">
        <v>0</v>
      </c>
      <c r="AR778">
        <v>70.2</v>
      </c>
      <c r="AS778">
        <v>0</v>
      </c>
    </row>
    <row r="779" spans="1:45" x14ac:dyDescent="0.25">
      <c r="A779" t="s">
        <v>1782</v>
      </c>
      <c r="B779" t="s">
        <v>1783</v>
      </c>
      <c r="C779" t="s">
        <v>147</v>
      </c>
      <c r="D779" t="s">
        <v>1759</v>
      </c>
      <c r="E779" t="s">
        <v>120</v>
      </c>
      <c r="F779" t="s">
        <v>120</v>
      </c>
      <c r="G779" t="s">
        <v>120</v>
      </c>
      <c r="H779" t="s">
        <v>120</v>
      </c>
      <c r="I779" t="s">
        <v>120</v>
      </c>
      <c r="J779" t="s">
        <v>120</v>
      </c>
      <c r="K779" t="s">
        <v>120</v>
      </c>
      <c r="L779" t="s">
        <v>120</v>
      </c>
      <c r="M779" t="s">
        <v>120</v>
      </c>
      <c r="N779" t="s">
        <v>120</v>
      </c>
      <c r="O779" t="s">
        <v>120</v>
      </c>
      <c r="P779" t="s">
        <v>120</v>
      </c>
      <c r="Q779" t="s">
        <v>120</v>
      </c>
      <c r="R779" t="s">
        <v>120</v>
      </c>
      <c r="S779" t="s">
        <v>120</v>
      </c>
      <c r="T779" t="s">
        <v>120</v>
      </c>
      <c r="U779" t="s">
        <v>120</v>
      </c>
      <c r="V779" t="s">
        <v>120</v>
      </c>
      <c r="W779" t="s">
        <v>120</v>
      </c>
      <c r="X779" t="s">
        <v>120</v>
      </c>
      <c r="Y779" t="s">
        <v>120</v>
      </c>
      <c r="Z779" t="s">
        <v>120</v>
      </c>
      <c r="AA779" t="s">
        <v>120</v>
      </c>
      <c r="AB779" t="s">
        <v>120</v>
      </c>
      <c r="AC779" t="s">
        <v>120</v>
      </c>
      <c r="AD779" t="s">
        <v>120</v>
      </c>
      <c r="AE779" t="s">
        <v>120</v>
      </c>
      <c r="AF779" t="s">
        <v>120</v>
      </c>
      <c r="AG779" t="s">
        <v>120</v>
      </c>
      <c r="AH779" t="s">
        <v>120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31.55</v>
      </c>
      <c r="AP779">
        <v>0</v>
      </c>
      <c r="AQ779">
        <v>0</v>
      </c>
      <c r="AR779">
        <v>70.2</v>
      </c>
      <c r="AS779">
        <v>0</v>
      </c>
    </row>
    <row r="780" spans="1:45" x14ac:dyDescent="0.25">
      <c r="A780" t="s">
        <v>1784</v>
      </c>
      <c r="B780" t="s">
        <v>1785</v>
      </c>
      <c r="C780" t="s">
        <v>147</v>
      </c>
      <c r="D780" t="s">
        <v>1759</v>
      </c>
      <c r="E780" t="s">
        <v>120</v>
      </c>
      <c r="F780" t="s">
        <v>120</v>
      </c>
      <c r="G780" t="s">
        <v>120</v>
      </c>
      <c r="H780" t="s">
        <v>120</v>
      </c>
      <c r="I780" t="s">
        <v>120</v>
      </c>
      <c r="J780" t="s">
        <v>120</v>
      </c>
      <c r="K780" t="s">
        <v>120</v>
      </c>
      <c r="L780" t="s">
        <v>120</v>
      </c>
      <c r="M780" t="s">
        <v>120</v>
      </c>
      <c r="N780" t="s">
        <v>120</v>
      </c>
      <c r="O780" t="s">
        <v>120</v>
      </c>
      <c r="P780" t="s">
        <v>120</v>
      </c>
      <c r="Q780" t="s">
        <v>120</v>
      </c>
      <c r="R780" t="s">
        <v>120</v>
      </c>
      <c r="S780" t="s">
        <v>120</v>
      </c>
      <c r="T780" t="s">
        <v>120</v>
      </c>
      <c r="U780" t="s">
        <v>120</v>
      </c>
      <c r="V780" t="s">
        <v>120</v>
      </c>
      <c r="W780" t="s">
        <v>120</v>
      </c>
      <c r="X780" t="s">
        <v>120</v>
      </c>
      <c r="Y780" t="s">
        <v>120</v>
      </c>
      <c r="Z780" t="s">
        <v>120</v>
      </c>
      <c r="AA780" t="s">
        <v>120</v>
      </c>
      <c r="AB780" t="s">
        <v>120</v>
      </c>
      <c r="AC780" t="s">
        <v>120</v>
      </c>
      <c r="AD780" t="s">
        <v>120</v>
      </c>
      <c r="AE780" t="s">
        <v>120</v>
      </c>
      <c r="AF780" t="s">
        <v>120</v>
      </c>
      <c r="AG780" t="s">
        <v>120</v>
      </c>
      <c r="AH780" t="s">
        <v>120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31.55</v>
      </c>
      <c r="AP780">
        <v>0</v>
      </c>
      <c r="AQ780">
        <v>0</v>
      </c>
      <c r="AR780">
        <v>70.2</v>
      </c>
      <c r="AS780">
        <v>0</v>
      </c>
    </row>
    <row r="781" spans="1:45" x14ac:dyDescent="0.25">
      <c r="A781" t="s">
        <v>1786</v>
      </c>
      <c r="B781" t="s">
        <v>1787</v>
      </c>
      <c r="C781" t="s">
        <v>147</v>
      </c>
      <c r="D781" t="s">
        <v>1759</v>
      </c>
      <c r="E781" t="s">
        <v>120</v>
      </c>
      <c r="F781" t="s">
        <v>120</v>
      </c>
      <c r="G781" t="s">
        <v>120</v>
      </c>
      <c r="H781" t="s">
        <v>120</v>
      </c>
      <c r="I781" t="s">
        <v>120</v>
      </c>
      <c r="J781" t="s">
        <v>120</v>
      </c>
      <c r="K781" t="s">
        <v>120</v>
      </c>
      <c r="L781" t="s">
        <v>120</v>
      </c>
      <c r="M781" t="s">
        <v>120</v>
      </c>
      <c r="N781" t="s">
        <v>120</v>
      </c>
      <c r="O781" t="s">
        <v>120</v>
      </c>
      <c r="P781" t="s">
        <v>120</v>
      </c>
      <c r="Q781" t="s">
        <v>120</v>
      </c>
      <c r="R781" t="s">
        <v>120</v>
      </c>
      <c r="S781" t="s">
        <v>120</v>
      </c>
      <c r="T781" t="s">
        <v>120</v>
      </c>
      <c r="U781" t="s">
        <v>120</v>
      </c>
      <c r="V781" t="s">
        <v>120</v>
      </c>
      <c r="W781" t="s">
        <v>120</v>
      </c>
      <c r="X781" t="s">
        <v>120</v>
      </c>
      <c r="Y781" t="s">
        <v>120</v>
      </c>
      <c r="Z781" t="s">
        <v>120</v>
      </c>
      <c r="AA781" t="s">
        <v>120</v>
      </c>
      <c r="AB781" t="s">
        <v>120</v>
      </c>
      <c r="AC781" t="s">
        <v>120</v>
      </c>
      <c r="AD781" t="s">
        <v>120</v>
      </c>
      <c r="AE781" t="s">
        <v>120</v>
      </c>
      <c r="AF781" t="s">
        <v>120</v>
      </c>
      <c r="AG781" t="s">
        <v>120</v>
      </c>
      <c r="AH781" t="s">
        <v>120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31.55</v>
      </c>
      <c r="AP781">
        <v>0</v>
      </c>
      <c r="AQ781">
        <v>0</v>
      </c>
      <c r="AR781">
        <v>70.2</v>
      </c>
      <c r="AS781">
        <v>0</v>
      </c>
    </row>
    <row r="782" spans="1:45" x14ac:dyDescent="0.25">
      <c r="A782" t="s">
        <v>1788</v>
      </c>
      <c r="B782" t="s">
        <v>1789</v>
      </c>
      <c r="C782" t="s">
        <v>147</v>
      </c>
      <c r="D782" t="s">
        <v>1759</v>
      </c>
      <c r="E782" t="s">
        <v>120</v>
      </c>
      <c r="F782" t="s">
        <v>120</v>
      </c>
      <c r="G782" t="s">
        <v>120</v>
      </c>
      <c r="H782" t="s">
        <v>120</v>
      </c>
      <c r="I782" t="s">
        <v>120</v>
      </c>
      <c r="J782" t="s">
        <v>120</v>
      </c>
      <c r="K782" t="s">
        <v>120</v>
      </c>
      <c r="L782" t="s">
        <v>120</v>
      </c>
      <c r="M782" t="s">
        <v>120</v>
      </c>
      <c r="N782" t="s">
        <v>120</v>
      </c>
      <c r="O782" t="s">
        <v>120</v>
      </c>
      <c r="P782" t="s">
        <v>120</v>
      </c>
      <c r="Q782" t="s">
        <v>120</v>
      </c>
      <c r="R782" t="s">
        <v>120</v>
      </c>
      <c r="S782" t="s">
        <v>120</v>
      </c>
      <c r="T782" t="s">
        <v>120</v>
      </c>
      <c r="U782" t="s">
        <v>120</v>
      </c>
      <c r="V782" t="s">
        <v>120</v>
      </c>
      <c r="W782" t="s">
        <v>120</v>
      </c>
      <c r="X782" t="s">
        <v>120</v>
      </c>
      <c r="Y782" t="s">
        <v>120</v>
      </c>
      <c r="Z782" t="s">
        <v>120</v>
      </c>
      <c r="AA782" t="s">
        <v>120</v>
      </c>
      <c r="AB782" t="s">
        <v>120</v>
      </c>
      <c r="AC782" t="s">
        <v>120</v>
      </c>
      <c r="AD782" t="s">
        <v>120</v>
      </c>
      <c r="AE782" t="s">
        <v>120</v>
      </c>
      <c r="AF782" t="s">
        <v>120</v>
      </c>
      <c r="AG782" t="s">
        <v>120</v>
      </c>
      <c r="AH782" t="s">
        <v>120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31.55</v>
      </c>
      <c r="AP782">
        <v>0</v>
      </c>
      <c r="AQ782">
        <v>0</v>
      </c>
      <c r="AR782">
        <v>70.2</v>
      </c>
      <c r="AS782">
        <v>0</v>
      </c>
    </row>
    <row r="783" spans="1:45" x14ac:dyDescent="0.25">
      <c r="A783" t="s">
        <v>1790</v>
      </c>
      <c r="B783" t="s">
        <v>1791</v>
      </c>
      <c r="C783" t="s">
        <v>147</v>
      </c>
      <c r="D783" t="s">
        <v>1759</v>
      </c>
      <c r="E783" t="s">
        <v>120</v>
      </c>
      <c r="F783" t="s">
        <v>120</v>
      </c>
      <c r="G783" t="s">
        <v>120</v>
      </c>
      <c r="H783" t="s">
        <v>120</v>
      </c>
      <c r="I783" t="s">
        <v>120</v>
      </c>
      <c r="J783" t="s">
        <v>120</v>
      </c>
      <c r="K783" t="s">
        <v>120</v>
      </c>
      <c r="L783" t="s">
        <v>120</v>
      </c>
      <c r="M783" t="s">
        <v>120</v>
      </c>
      <c r="N783" t="s">
        <v>120</v>
      </c>
      <c r="O783" t="s">
        <v>120</v>
      </c>
      <c r="P783" t="s">
        <v>120</v>
      </c>
      <c r="Q783" t="s">
        <v>120</v>
      </c>
      <c r="R783" t="s">
        <v>120</v>
      </c>
      <c r="S783" t="s">
        <v>120</v>
      </c>
      <c r="T783" t="s">
        <v>120</v>
      </c>
      <c r="U783" t="s">
        <v>120</v>
      </c>
      <c r="V783" t="s">
        <v>120</v>
      </c>
      <c r="W783" t="s">
        <v>120</v>
      </c>
      <c r="X783" t="s">
        <v>120</v>
      </c>
      <c r="Y783" t="s">
        <v>120</v>
      </c>
      <c r="Z783" t="s">
        <v>120</v>
      </c>
      <c r="AA783" t="s">
        <v>120</v>
      </c>
      <c r="AB783" t="s">
        <v>120</v>
      </c>
      <c r="AC783" t="s">
        <v>120</v>
      </c>
      <c r="AD783" t="s">
        <v>120</v>
      </c>
      <c r="AE783" t="s">
        <v>120</v>
      </c>
      <c r="AF783" t="s">
        <v>120</v>
      </c>
      <c r="AG783" t="s">
        <v>120</v>
      </c>
      <c r="AH783" t="s">
        <v>120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31.55</v>
      </c>
      <c r="AP783">
        <v>0</v>
      </c>
      <c r="AQ783">
        <v>0</v>
      </c>
      <c r="AR783">
        <v>70.2</v>
      </c>
      <c r="AS783">
        <v>0</v>
      </c>
    </row>
    <row r="784" spans="1:45" x14ac:dyDescent="0.25">
      <c r="A784" t="s">
        <v>1792</v>
      </c>
      <c r="B784" t="s">
        <v>1793</v>
      </c>
      <c r="C784" t="s">
        <v>147</v>
      </c>
      <c r="D784" t="s">
        <v>1759</v>
      </c>
      <c r="E784" t="s">
        <v>120</v>
      </c>
      <c r="F784" t="s">
        <v>120</v>
      </c>
      <c r="G784" t="s">
        <v>120</v>
      </c>
      <c r="H784" t="s">
        <v>120</v>
      </c>
      <c r="I784" t="s">
        <v>120</v>
      </c>
      <c r="J784" t="s">
        <v>120</v>
      </c>
      <c r="K784" t="s">
        <v>120</v>
      </c>
      <c r="L784" t="s">
        <v>120</v>
      </c>
      <c r="M784" t="s">
        <v>120</v>
      </c>
      <c r="N784" t="s">
        <v>120</v>
      </c>
      <c r="O784" t="s">
        <v>120</v>
      </c>
      <c r="P784" t="s">
        <v>120</v>
      </c>
      <c r="Q784" t="s">
        <v>120</v>
      </c>
      <c r="R784" t="s">
        <v>120</v>
      </c>
      <c r="S784" t="s">
        <v>120</v>
      </c>
      <c r="T784" t="s">
        <v>120</v>
      </c>
      <c r="U784" t="s">
        <v>120</v>
      </c>
      <c r="V784" t="s">
        <v>120</v>
      </c>
      <c r="W784" t="s">
        <v>120</v>
      </c>
      <c r="X784" t="s">
        <v>120</v>
      </c>
      <c r="Y784" t="s">
        <v>120</v>
      </c>
      <c r="Z784" t="s">
        <v>120</v>
      </c>
      <c r="AA784" t="s">
        <v>120</v>
      </c>
      <c r="AB784" t="s">
        <v>120</v>
      </c>
      <c r="AC784" t="s">
        <v>120</v>
      </c>
      <c r="AD784" t="s">
        <v>120</v>
      </c>
      <c r="AE784" t="s">
        <v>120</v>
      </c>
      <c r="AF784" t="s">
        <v>120</v>
      </c>
      <c r="AG784" t="s">
        <v>120</v>
      </c>
      <c r="AH784" t="s">
        <v>120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28.25</v>
      </c>
      <c r="AP784">
        <v>0</v>
      </c>
      <c r="AQ784">
        <v>0</v>
      </c>
      <c r="AR784">
        <v>70.2</v>
      </c>
      <c r="AS784">
        <v>0</v>
      </c>
    </row>
    <row r="785" spans="1:45" x14ac:dyDescent="0.25">
      <c r="A785" t="s">
        <v>1794</v>
      </c>
      <c r="B785" t="s">
        <v>1795</v>
      </c>
      <c r="C785" t="s">
        <v>147</v>
      </c>
      <c r="D785" t="s">
        <v>1759</v>
      </c>
      <c r="E785" t="s">
        <v>120</v>
      </c>
      <c r="F785" t="s">
        <v>120</v>
      </c>
      <c r="G785" t="s">
        <v>120</v>
      </c>
      <c r="H785" t="s">
        <v>120</v>
      </c>
      <c r="I785" t="s">
        <v>120</v>
      </c>
      <c r="J785" t="s">
        <v>120</v>
      </c>
      <c r="K785" t="s">
        <v>120</v>
      </c>
      <c r="L785" t="s">
        <v>120</v>
      </c>
      <c r="M785" t="s">
        <v>120</v>
      </c>
      <c r="N785" t="s">
        <v>120</v>
      </c>
      <c r="O785" t="s">
        <v>120</v>
      </c>
      <c r="P785" t="s">
        <v>120</v>
      </c>
      <c r="Q785" t="s">
        <v>120</v>
      </c>
      <c r="R785" t="s">
        <v>120</v>
      </c>
      <c r="S785" t="s">
        <v>120</v>
      </c>
      <c r="T785" t="s">
        <v>120</v>
      </c>
      <c r="U785" t="s">
        <v>120</v>
      </c>
      <c r="V785" t="s">
        <v>120</v>
      </c>
      <c r="W785" t="s">
        <v>120</v>
      </c>
      <c r="X785" t="s">
        <v>120</v>
      </c>
      <c r="Y785" t="s">
        <v>120</v>
      </c>
      <c r="Z785" t="s">
        <v>120</v>
      </c>
      <c r="AA785" t="s">
        <v>120</v>
      </c>
      <c r="AB785" t="s">
        <v>120</v>
      </c>
      <c r="AC785" t="s">
        <v>120</v>
      </c>
      <c r="AD785" t="s">
        <v>120</v>
      </c>
      <c r="AE785" t="s">
        <v>120</v>
      </c>
      <c r="AF785" t="s">
        <v>120</v>
      </c>
      <c r="AG785" t="s">
        <v>120</v>
      </c>
      <c r="AH785" t="s">
        <v>120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31.55</v>
      </c>
      <c r="AP785">
        <v>0</v>
      </c>
      <c r="AQ785">
        <v>0</v>
      </c>
      <c r="AR785">
        <v>70.2</v>
      </c>
      <c r="AS785">
        <v>0</v>
      </c>
    </row>
    <row r="786" spans="1:45" x14ac:dyDescent="0.25">
      <c r="A786" t="s">
        <v>1796</v>
      </c>
      <c r="B786" t="s">
        <v>1797</v>
      </c>
      <c r="C786" t="s">
        <v>147</v>
      </c>
      <c r="D786" t="s">
        <v>1759</v>
      </c>
      <c r="E786" t="s">
        <v>120</v>
      </c>
      <c r="F786" t="s">
        <v>120</v>
      </c>
      <c r="G786" t="s">
        <v>120</v>
      </c>
      <c r="H786" t="s">
        <v>120</v>
      </c>
      <c r="I786" t="s">
        <v>120</v>
      </c>
      <c r="J786" t="s">
        <v>120</v>
      </c>
      <c r="K786" t="s">
        <v>120</v>
      </c>
      <c r="L786" t="s">
        <v>120</v>
      </c>
      <c r="M786" t="s">
        <v>120</v>
      </c>
      <c r="N786" t="s">
        <v>120</v>
      </c>
      <c r="O786" t="s">
        <v>120</v>
      </c>
      <c r="P786" t="s">
        <v>120</v>
      </c>
      <c r="Q786" t="s">
        <v>120</v>
      </c>
      <c r="R786" t="s">
        <v>120</v>
      </c>
      <c r="S786" t="s">
        <v>120</v>
      </c>
      <c r="T786" t="s">
        <v>120</v>
      </c>
      <c r="U786" t="s">
        <v>120</v>
      </c>
      <c r="V786" t="s">
        <v>120</v>
      </c>
      <c r="W786" t="s">
        <v>120</v>
      </c>
      <c r="X786" t="s">
        <v>120</v>
      </c>
      <c r="Y786" t="s">
        <v>120</v>
      </c>
      <c r="Z786" t="s">
        <v>120</v>
      </c>
      <c r="AA786" t="s">
        <v>120</v>
      </c>
      <c r="AB786" t="s">
        <v>120</v>
      </c>
      <c r="AC786" t="s">
        <v>120</v>
      </c>
      <c r="AD786" t="s">
        <v>120</v>
      </c>
      <c r="AE786" t="s">
        <v>120</v>
      </c>
      <c r="AF786" t="s">
        <v>120</v>
      </c>
      <c r="AG786" t="s">
        <v>120</v>
      </c>
      <c r="AH786" t="s">
        <v>120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31.55</v>
      </c>
      <c r="AP786">
        <v>0</v>
      </c>
      <c r="AQ786">
        <v>0</v>
      </c>
      <c r="AR786">
        <v>70.2</v>
      </c>
      <c r="AS786">
        <v>0</v>
      </c>
    </row>
    <row r="787" spans="1:45" x14ac:dyDescent="0.25">
      <c r="A787" t="s">
        <v>1798</v>
      </c>
      <c r="B787" t="s">
        <v>1799</v>
      </c>
      <c r="C787" t="s">
        <v>147</v>
      </c>
      <c r="D787" t="s">
        <v>1759</v>
      </c>
      <c r="E787" t="s">
        <v>120</v>
      </c>
      <c r="F787" t="s">
        <v>120</v>
      </c>
      <c r="G787" t="s">
        <v>120</v>
      </c>
      <c r="H787" t="s">
        <v>120</v>
      </c>
      <c r="I787" t="s">
        <v>120</v>
      </c>
      <c r="J787" t="s">
        <v>120</v>
      </c>
      <c r="K787" t="s">
        <v>120</v>
      </c>
      <c r="L787" t="s">
        <v>120</v>
      </c>
      <c r="M787" t="s">
        <v>120</v>
      </c>
      <c r="N787" t="s">
        <v>120</v>
      </c>
      <c r="O787" t="s">
        <v>120</v>
      </c>
      <c r="P787" t="s">
        <v>120</v>
      </c>
      <c r="Q787" t="s">
        <v>120</v>
      </c>
      <c r="R787" t="s">
        <v>120</v>
      </c>
      <c r="S787" t="s">
        <v>120</v>
      </c>
      <c r="T787" t="s">
        <v>120</v>
      </c>
      <c r="U787" t="s">
        <v>120</v>
      </c>
      <c r="V787" t="s">
        <v>120</v>
      </c>
      <c r="W787" t="s">
        <v>120</v>
      </c>
      <c r="X787" t="s">
        <v>120</v>
      </c>
      <c r="Y787" t="s">
        <v>120</v>
      </c>
      <c r="Z787" t="s">
        <v>120</v>
      </c>
      <c r="AA787" t="s">
        <v>120</v>
      </c>
      <c r="AB787" t="s">
        <v>120</v>
      </c>
      <c r="AC787" t="s">
        <v>120</v>
      </c>
      <c r="AD787" t="s">
        <v>120</v>
      </c>
      <c r="AE787" t="s">
        <v>120</v>
      </c>
      <c r="AF787" t="s">
        <v>120</v>
      </c>
      <c r="AG787" t="s">
        <v>120</v>
      </c>
      <c r="AH787" t="s">
        <v>120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28.25</v>
      </c>
      <c r="AP787">
        <v>0</v>
      </c>
      <c r="AQ787">
        <v>0</v>
      </c>
      <c r="AR787">
        <v>70.2</v>
      </c>
      <c r="AS787">
        <v>0</v>
      </c>
    </row>
    <row r="788" spans="1:45" x14ac:dyDescent="0.25">
      <c r="A788" t="s">
        <v>1800</v>
      </c>
      <c r="B788" t="s">
        <v>1801</v>
      </c>
      <c r="C788" t="s">
        <v>147</v>
      </c>
      <c r="D788" t="s">
        <v>1759</v>
      </c>
      <c r="E788" t="s">
        <v>120</v>
      </c>
      <c r="F788" t="s">
        <v>120</v>
      </c>
      <c r="G788" t="s">
        <v>120</v>
      </c>
      <c r="H788" t="s">
        <v>120</v>
      </c>
      <c r="I788" t="s">
        <v>120</v>
      </c>
      <c r="J788" t="s">
        <v>120</v>
      </c>
      <c r="K788" t="s">
        <v>120</v>
      </c>
      <c r="L788" t="s">
        <v>120</v>
      </c>
      <c r="M788" t="s">
        <v>120</v>
      </c>
      <c r="N788" t="s">
        <v>120</v>
      </c>
      <c r="O788" t="s">
        <v>120</v>
      </c>
      <c r="P788" t="s">
        <v>120</v>
      </c>
      <c r="Q788" t="s">
        <v>120</v>
      </c>
      <c r="R788" t="s">
        <v>120</v>
      </c>
      <c r="S788" t="s">
        <v>120</v>
      </c>
      <c r="T788" t="s">
        <v>120</v>
      </c>
      <c r="U788" t="s">
        <v>120</v>
      </c>
      <c r="V788" t="s">
        <v>120</v>
      </c>
      <c r="W788" t="s">
        <v>120</v>
      </c>
      <c r="X788" t="s">
        <v>120</v>
      </c>
      <c r="Y788" t="s">
        <v>120</v>
      </c>
      <c r="Z788" t="s">
        <v>120</v>
      </c>
      <c r="AA788" t="s">
        <v>120</v>
      </c>
      <c r="AB788" t="s">
        <v>120</v>
      </c>
      <c r="AC788" t="s">
        <v>120</v>
      </c>
      <c r="AD788" t="s">
        <v>120</v>
      </c>
      <c r="AE788" t="s">
        <v>120</v>
      </c>
      <c r="AF788" t="s">
        <v>120</v>
      </c>
      <c r="AG788" t="s">
        <v>120</v>
      </c>
      <c r="AH788" t="s">
        <v>120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31.55</v>
      </c>
      <c r="AP788">
        <v>0</v>
      </c>
      <c r="AQ788">
        <v>0</v>
      </c>
      <c r="AR788">
        <v>70.2</v>
      </c>
      <c r="AS788">
        <v>0</v>
      </c>
    </row>
    <row r="789" spans="1:45" x14ac:dyDescent="0.25">
      <c r="A789" t="s">
        <v>1802</v>
      </c>
      <c r="B789" t="s">
        <v>1803</v>
      </c>
      <c r="C789" t="s">
        <v>127</v>
      </c>
      <c r="D789" t="s">
        <v>1759</v>
      </c>
      <c r="E789" t="s">
        <v>120</v>
      </c>
      <c r="F789" t="s">
        <v>120</v>
      </c>
      <c r="G789" t="s">
        <v>120</v>
      </c>
      <c r="H789" t="s">
        <v>120</v>
      </c>
      <c r="I789" t="s">
        <v>120</v>
      </c>
      <c r="J789" t="s">
        <v>120</v>
      </c>
      <c r="K789" t="s">
        <v>120</v>
      </c>
      <c r="L789" t="s">
        <v>120</v>
      </c>
      <c r="M789" t="s">
        <v>120</v>
      </c>
      <c r="N789" t="s">
        <v>120</v>
      </c>
      <c r="O789" t="s">
        <v>120</v>
      </c>
      <c r="P789" t="s">
        <v>120</v>
      </c>
      <c r="Q789" t="s">
        <v>120</v>
      </c>
      <c r="R789" t="s">
        <v>120</v>
      </c>
      <c r="S789" t="s">
        <v>120</v>
      </c>
      <c r="T789" t="s">
        <v>120</v>
      </c>
      <c r="U789" t="s">
        <v>120</v>
      </c>
      <c r="V789" t="s">
        <v>120</v>
      </c>
      <c r="W789" t="s">
        <v>120</v>
      </c>
      <c r="X789" t="s">
        <v>120</v>
      </c>
      <c r="Y789" t="s">
        <v>120</v>
      </c>
      <c r="Z789" t="s">
        <v>120</v>
      </c>
      <c r="AA789" t="s">
        <v>120</v>
      </c>
      <c r="AB789" t="s">
        <v>120</v>
      </c>
      <c r="AC789" t="s">
        <v>120</v>
      </c>
      <c r="AD789" t="s">
        <v>120</v>
      </c>
      <c r="AE789" t="s">
        <v>120</v>
      </c>
      <c r="AF789" t="s">
        <v>120</v>
      </c>
      <c r="AG789" t="s">
        <v>120</v>
      </c>
      <c r="AH789" t="s">
        <v>120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33.43</v>
      </c>
      <c r="AP789">
        <v>0</v>
      </c>
      <c r="AQ789">
        <v>0</v>
      </c>
      <c r="AR789">
        <v>75.06</v>
      </c>
      <c r="AS789">
        <v>0</v>
      </c>
    </row>
    <row r="790" spans="1:45" x14ac:dyDescent="0.25">
      <c r="A790" t="s">
        <v>1804</v>
      </c>
      <c r="B790" t="s">
        <v>1805</v>
      </c>
      <c r="C790" t="s">
        <v>147</v>
      </c>
      <c r="D790" t="s">
        <v>1759</v>
      </c>
      <c r="E790" t="s">
        <v>120</v>
      </c>
      <c r="F790" t="s">
        <v>120</v>
      </c>
      <c r="G790" t="s">
        <v>120</v>
      </c>
      <c r="H790" t="s">
        <v>120</v>
      </c>
      <c r="I790" t="s">
        <v>120</v>
      </c>
      <c r="J790" t="s">
        <v>120</v>
      </c>
      <c r="K790" t="s">
        <v>120</v>
      </c>
      <c r="L790" t="s">
        <v>120</v>
      </c>
      <c r="M790" t="s">
        <v>120</v>
      </c>
      <c r="N790" t="s">
        <v>120</v>
      </c>
      <c r="O790" t="s">
        <v>120</v>
      </c>
      <c r="P790" t="s">
        <v>120</v>
      </c>
      <c r="Q790" t="s">
        <v>120</v>
      </c>
      <c r="R790" t="s">
        <v>120</v>
      </c>
      <c r="S790" t="s">
        <v>120</v>
      </c>
      <c r="T790" t="s">
        <v>120</v>
      </c>
      <c r="U790" t="s">
        <v>120</v>
      </c>
      <c r="V790" t="s">
        <v>120</v>
      </c>
      <c r="W790" t="s">
        <v>120</v>
      </c>
      <c r="X790" t="s">
        <v>120</v>
      </c>
      <c r="Y790" t="s">
        <v>120</v>
      </c>
      <c r="Z790" t="s">
        <v>120</v>
      </c>
      <c r="AA790" t="s">
        <v>120</v>
      </c>
      <c r="AB790" t="s">
        <v>120</v>
      </c>
      <c r="AC790" t="s">
        <v>120</v>
      </c>
      <c r="AD790" t="s">
        <v>120</v>
      </c>
      <c r="AE790" t="s">
        <v>120</v>
      </c>
      <c r="AF790" t="s">
        <v>120</v>
      </c>
      <c r="AG790" t="s">
        <v>120</v>
      </c>
      <c r="AH790" t="s">
        <v>120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31.55</v>
      </c>
      <c r="AP790">
        <v>0</v>
      </c>
      <c r="AQ790">
        <v>0</v>
      </c>
      <c r="AR790">
        <v>70.2</v>
      </c>
      <c r="AS790">
        <v>0</v>
      </c>
    </row>
    <row r="791" spans="1:45" x14ac:dyDescent="0.25">
      <c r="A791" t="s">
        <v>1806</v>
      </c>
      <c r="B791" t="s">
        <v>1807</v>
      </c>
      <c r="C791" t="s">
        <v>147</v>
      </c>
      <c r="D791" t="s">
        <v>1759</v>
      </c>
      <c r="E791" t="s">
        <v>120</v>
      </c>
      <c r="F791" t="s">
        <v>120</v>
      </c>
      <c r="G791" t="s">
        <v>120</v>
      </c>
      <c r="H791" t="s">
        <v>120</v>
      </c>
      <c r="I791" t="s">
        <v>120</v>
      </c>
      <c r="J791" t="s">
        <v>120</v>
      </c>
      <c r="K791" t="s">
        <v>120</v>
      </c>
      <c r="L791" t="s">
        <v>120</v>
      </c>
      <c r="M791" t="s">
        <v>120</v>
      </c>
      <c r="N791" t="s">
        <v>120</v>
      </c>
      <c r="O791" t="s">
        <v>120</v>
      </c>
      <c r="P791" t="s">
        <v>120</v>
      </c>
      <c r="Q791" t="s">
        <v>120</v>
      </c>
      <c r="R791" t="s">
        <v>120</v>
      </c>
      <c r="S791" t="s">
        <v>120</v>
      </c>
      <c r="T791" t="s">
        <v>120</v>
      </c>
      <c r="U791" t="s">
        <v>120</v>
      </c>
      <c r="V791" t="s">
        <v>120</v>
      </c>
      <c r="W791" t="s">
        <v>120</v>
      </c>
      <c r="X791" t="s">
        <v>120</v>
      </c>
      <c r="Y791" t="s">
        <v>120</v>
      </c>
      <c r="Z791" t="s">
        <v>120</v>
      </c>
      <c r="AA791" t="s">
        <v>120</v>
      </c>
      <c r="AB791" t="s">
        <v>120</v>
      </c>
      <c r="AC791" t="s">
        <v>120</v>
      </c>
      <c r="AD791" t="s">
        <v>120</v>
      </c>
      <c r="AE791" t="s">
        <v>120</v>
      </c>
      <c r="AF791" t="s">
        <v>120</v>
      </c>
      <c r="AG791" t="s">
        <v>120</v>
      </c>
      <c r="AH791" t="s">
        <v>120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31.55</v>
      </c>
      <c r="AP791">
        <v>0</v>
      </c>
      <c r="AQ791">
        <v>0</v>
      </c>
      <c r="AR791">
        <v>70.2</v>
      </c>
      <c r="AS791">
        <v>0</v>
      </c>
    </row>
    <row r="792" spans="1:45" x14ac:dyDescent="0.25">
      <c r="A792" t="s">
        <v>1808</v>
      </c>
      <c r="B792" t="s">
        <v>1809</v>
      </c>
      <c r="C792" t="s">
        <v>147</v>
      </c>
      <c r="D792" t="s">
        <v>1759</v>
      </c>
      <c r="E792" t="s">
        <v>120</v>
      </c>
      <c r="F792" t="s">
        <v>120</v>
      </c>
      <c r="G792" t="s">
        <v>120</v>
      </c>
      <c r="H792" t="s">
        <v>120</v>
      </c>
      <c r="I792" t="s">
        <v>120</v>
      </c>
      <c r="J792" t="s">
        <v>120</v>
      </c>
      <c r="K792" t="s">
        <v>120</v>
      </c>
      <c r="L792" t="s">
        <v>120</v>
      </c>
      <c r="M792" t="s">
        <v>120</v>
      </c>
      <c r="N792" t="s">
        <v>120</v>
      </c>
      <c r="O792" t="s">
        <v>120</v>
      </c>
      <c r="P792" t="s">
        <v>120</v>
      </c>
      <c r="Q792" t="s">
        <v>120</v>
      </c>
      <c r="R792" t="s">
        <v>120</v>
      </c>
      <c r="S792" t="s">
        <v>120</v>
      </c>
      <c r="T792" t="s">
        <v>120</v>
      </c>
      <c r="U792" t="s">
        <v>120</v>
      </c>
      <c r="V792" t="s">
        <v>120</v>
      </c>
      <c r="W792" t="s">
        <v>120</v>
      </c>
      <c r="X792" t="s">
        <v>120</v>
      </c>
      <c r="Y792" t="s">
        <v>120</v>
      </c>
      <c r="Z792" t="s">
        <v>120</v>
      </c>
      <c r="AA792" t="s">
        <v>120</v>
      </c>
      <c r="AB792" t="s">
        <v>120</v>
      </c>
      <c r="AC792" t="s">
        <v>120</v>
      </c>
      <c r="AD792" t="s">
        <v>120</v>
      </c>
      <c r="AE792" t="s">
        <v>120</v>
      </c>
      <c r="AF792" t="s">
        <v>120</v>
      </c>
      <c r="AG792" t="s">
        <v>120</v>
      </c>
      <c r="AH792" t="s">
        <v>120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31.55</v>
      </c>
      <c r="AP792">
        <v>0</v>
      </c>
      <c r="AQ792">
        <v>0</v>
      </c>
      <c r="AR792">
        <v>70.2</v>
      </c>
      <c r="AS792">
        <v>0</v>
      </c>
    </row>
    <row r="793" spans="1:45" x14ac:dyDescent="0.25">
      <c r="A793" t="s">
        <v>1810</v>
      </c>
      <c r="B793" t="s">
        <v>1811</v>
      </c>
      <c r="C793" t="s">
        <v>147</v>
      </c>
      <c r="D793" t="s">
        <v>1759</v>
      </c>
      <c r="E793" t="s">
        <v>120</v>
      </c>
      <c r="F793" t="s">
        <v>120</v>
      </c>
      <c r="G793" t="s">
        <v>120</v>
      </c>
      <c r="H793" t="s">
        <v>120</v>
      </c>
      <c r="I793" t="s">
        <v>120</v>
      </c>
      <c r="J793" t="s">
        <v>120</v>
      </c>
      <c r="K793" t="s">
        <v>120</v>
      </c>
      <c r="L793" t="s">
        <v>120</v>
      </c>
      <c r="M793" t="s">
        <v>120</v>
      </c>
      <c r="N793" t="s">
        <v>120</v>
      </c>
      <c r="O793" t="s">
        <v>120</v>
      </c>
      <c r="P793" t="s">
        <v>120</v>
      </c>
      <c r="Q793" t="s">
        <v>120</v>
      </c>
      <c r="R793" t="s">
        <v>120</v>
      </c>
      <c r="S793" t="s">
        <v>120</v>
      </c>
      <c r="T793" t="s">
        <v>120</v>
      </c>
      <c r="U793" t="s">
        <v>120</v>
      </c>
      <c r="V793" t="s">
        <v>120</v>
      </c>
      <c r="W793" t="s">
        <v>120</v>
      </c>
      <c r="X793" t="s">
        <v>120</v>
      </c>
      <c r="Y793" t="s">
        <v>120</v>
      </c>
      <c r="Z793" t="s">
        <v>120</v>
      </c>
      <c r="AA793" t="s">
        <v>120</v>
      </c>
      <c r="AB793" t="s">
        <v>120</v>
      </c>
      <c r="AC793" t="s">
        <v>120</v>
      </c>
      <c r="AD793" t="s">
        <v>120</v>
      </c>
      <c r="AE793" t="s">
        <v>120</v>
      </c>
      <c r="AF793" t="s">
        <v>120</v>
      </c>
      <c r="AG793" t="s">
        <v>120</v>
      </c>
      <c r="AH793" t="s">
        <v>120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31.55</v>
      </c>
      <c r="AP793">
        <v>0</v>
      </c>
      <c r="AQ793">
        <v>0</v>
      </c>
      <c r="AR793">
        <v>70.2</v>
      </c>
      <c r="AS793">
        <v>0</v>
      </c>
    </row>
    <row r="794" spans="1:45" x14ac:dyDescent="0.25">
      <c r="A794" t="s">
        <v>1812</v>
      </c>
      <c r="B794" t="s">
        <v>1813</v>
      </c>
      <c r="C794" t="s">
        <v>147</v>
      </c>
      <c r="D794" t="s">
        <v>1759</v>
      </c>
      <c r="E794" t="s">
        <v>120</v>
      </c>
      <c r="F794" t="s">
        <v>120</v>
      </c>
      <c r="G794" t="s">
        <v>120</v>
      </c>
      <c r="H794" t="s">
        <v>120</v>
      </c>
      <c r="I794" t="s">
        <v>120</v>
      </c>
      <c r="J794" t="s">
        <v>120</v>
      </c>
      <c r="K794" t="s">
        <v>120</v>
      </c>
      <c r="L794" t="s">
        <v>120</v>
      </c>
      <c r="M794" t="s">
        <v>120</v>
      </c>
      <c r="N794" t="s">
        <v>120</v>
      </c>
      <c r="O794" t="s">
        <v>120</v>
      </c>
      <c r="P794" t="s">
        <v>120</v>
      </c>
      <c r="Q794" t="s">
        <v>120</v>
      </c>
      <c r="R794" t="s">
        <v>120</v>
      </c>
      <c r="S794" t="s">
        <v>120</v>
      </c>
      <c r="T794" t="s">
        <v>120</v>
      </c>
      <c r="U794" t="s">
        <v>120</v>
      </c>
      <c r="V794" t="s">
        <v>120</v>
      </c>
      <c r="W794" t="s">
        <v>120</v>
      </c>
      <c r="X794" t="s">
        <v>120</v>
      </c>
      <c r="Y794" t="s">
        <v>120</v>
      </c>
      <c r="Z794" t="s">
        <v>120</v>
      </c>
      <c r="AA794" t="s">
        <v>120</v>
      </c>
      <c r="AB794" t="s">
        <v>120</v>
      </c>
      <c r="AC794" t="s">
        <v>120</v>
      </c>
      <c r="AD794" t="s">
        <v>120</v>
      </c>
      <c r="AE794" t="s">
        <v>120</v>
      </c>
      <c r="AF794" t="s">
        <v>120</v>
      </c>
      <c r="AG794" t="s">
        <v>120</v>
      </c>
      <c r="AH794" t="s">
        <v>120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31.55</v>
      </c>
      <c r="AP794">
        <v>0</v>
      </c>
      <c r="AQ794">
        <v>0</v>
      </c>
      <c r="AR794">
        <v>70.2</v>
      </c>
      <c r="AS794">
        <v>0</v>
      </c>
    </row>
    <row r="795" spans="1:45" x14ac:dyDescent="0.25">
      <c r="A795" t="s">
        <v>1814</v>
      </c>
      <c r="B795" t="s">
        <v>1815</v>
      </c>
      <c r="C795" t="s">
        <v>147</v>
      </c>
      <c r="D795" t="s">
        <v>1759</v>
      </c>
      <c r="E795" t="s">
        <v>120</v>
      </c>
      <c r="F795" t="s">
        <v>120</v>
      </c>
      <c r="G795" t="s">
        <v>135</v>
      </c>
      <c r="H795" t="s">
        <v>120</v>
      </c>
      <c r="I795" t="s">
        <v>120</v>
      </c>
      <c r="J795" t="s">
        <v>120</v>
      </c>
      <c r="K795" t="s">
        <v>120</v>
      </c>
      <c r="L795" t="s">
        <v>120</v>
      </c>
      <c r="M795" t="s">
        <v>135</v>
      </c>
      <c r="N795" t="s">
        <v>120</v>
      </c>
      <c r="O795" t="s">
        <v>120</v>
      </c>
      <c r="P795" t="s">
        <v>120</v>
      </c>
      <c r="Q795" t="s">
        <v>120</v>
      </c>
      <c r="R795" t="s">
        <v>120</v>
      </c>
      <c r="S795" t="s">
        <v>120</v>
      </c>
      <c r="T795" t="s">
        <v>120</v>
      </c>
      <c r="U795" t="s">
        <v>120</v>
      </c>
      <c r="V795" t="s">
        <v>120</v>
      </c>
      <c r="W795" t="s">
        <v>120</v>
      </c>
      <c r="X795" t="s">
        <v>120</v>
      </c>
      <c r="Y795" t="s">
        <v>120</v>
      </c>
      <c r="Z795" t="s">
        <v>120</v>
      </c>
      <c r="AA795" t="s">
        <v>120</v>
      </c>
      <c r="AB795" t="s">
        <v>120</v>
      </c>
      <c r="AC795" t="s">
        <v>120</v>
      </c>
      <c r="AD795" t="s">
        <v>120</v>
      </c>
      <c r="AE795" t="s">
        <v>120</v>
      </c>
      <c r="AF795" t="s">
        <v>120</v>
      </c>
      <c r="AG795" t="s">
        <v>120</v>
      </c>
      <c r="AH795" t="s">
        <v>120</v>
      </c>
      <c r="AJ795">
        <v>0</v>
      </c>
      <c r="AK795">
        <v>16</v>
      </c>
      <c r="AL795">
        <v>0</v>
      </c>
      <c r="AM795">
        <v>16</v>
      </c>
      <c r="AN795">
        <v>0</v>
      </c>
      <c r="AO795">
        <v>31.55</v>
      </c>
      <c r="AP795">
        <v>16</v>
      </c>
      <c r="AQ795">
        <v>0</v>
      </c>
      <c r="AR795">
        <v>70.2</v>
      </c>
      <c r="AS795">
        <v>1009.6</v>
      </c>
    </row>
    <row r="796" spans="1:45" x14ac:dyDescent="0.25">
      <c r="A796" t="s">
        <v>1816</v>
      </c>
      <c r="B796" t="s">
        <v>1817</v>
      </c>
      <c r="C796" t="s">
        <v>147</v>
      </c>
      <c r="D796" t="s">
        <v>1818</v>
      </c>
      <c r="E796" t="s">
        <v>135</v>
      </c>
      <c r="F796" t="s">
        <v>135</v>
      </c>
      <c r="G796" t="s">
        <v>135</v>
      </c>
      <c r="H796" t="s">
        <v>120</v>
      </c>
      <c r="I796" t="s">
        <v>120</v>
      </c>
      <c r="J796" t="s">
        <v>120</v>
      </c>
      <c r="K796" t="s">
        <v>120</v>
      </c>
      <c r="L796" t="s">
        <v>120</v>
      </c>
      <c r="M796" t="s">
        <v>120</v>
      </c>
      <c r="N796" t="s">
        <v>120</v>
      </c>
      <c r="O796" t="s">
        <v>120</v>
      </c>
      <c r="P796" t="s">
        <v>120</v>
      </c>
      <c r="Q796" t="s">
        <v>120</v>
      </c>
      <c r="R796" t="s">
        <v>120</v>
      </c>
      <c r="S796" t="s">
        <v>120</v>
      </c>
      <c r="T796" t="s">
        <v>120</v>
      </c>
      <c r="U796" t="s">
        <v>120</v>
      </c>
      <c r="V796" t="s">
        <v>120</v>
      </c>
      <c r="W796" t="s">
        <v>120</v>
      </c>
      <c r="X796" t="s">
        <v>120</v>
      </c>
      <c r="Y796" t="s">
        <v>120</v>
      </c>
      <c r="Z796" t="s">
        <v>120</v>
      </c>
      <c r="AA796" t="s">
        <v>141</v>
      </c>
      <c r="AB796" t="s">
        <v>120</v>
      </c>
      <c r="AC796" t="s">
        <v>120</v>
      </c>
      <c r="AD796" t="s">
        <v>120</v>
      </c>
      <c r="AE796" t="s">
        <v>341</v>
      </c>
      <c r="AF796" t="s">
        <v>120</v>
      </c>
      <c r="AG796" t="s">
        <v>120</v>
      </c>
      <c r="AH796" t="s">
        <v>120</v>
      </c>
      <c r="AJ796">
        <v>0</v>
      </c>
      <c r="AK796">
        <v>36</v>
      </c>
      <c r="AL796">
        <v>12</v>
      </c>
      <c r="AM796">
        <v>24</v>
      </c>
      <c r="AN796">
        <v>0</v>
      </c>
      <c r="AO796">
        <v>31.55</v>
      </c>
      <c r="AP796">
        <v>36</v>
      </c>
      <c r="AQ796">
        <v>0</v>
      </c>
      <c r="AR796">
        <v>70.2</v>
      </c>
      <c r="AS796">
        <v>2271.6</v>
      </c>
    </row>
    <row r="797" spans="1:45" x14ac:dyDescent="0.25">
      <c r="A797" t="s">
        <v>1819</v>
      </c>
      <c r="B797" t="s">
        <v>1820</v>
      </c>
      <c r="C797" t="s">
        <v>147</v>
      </c>
      <c r="D797" t="s">
        <v>1818</v>
      </c>
      <c r="E797" t="s">
        <v>120</v>
      </c>
      <c r="F797" t="s">
        <v>120</v>
      </c>
      <c r="G797" t="s">
        <v>120</v>
      </c>
      <c r="H797" t="s">
        <v>120</v>
      </c>
      <c r="I797" t="s">
        <v>120</v>
      </c>
      <c r="J797" t="s">
        <v>120</v>
      </c>
      <c r="K797" t="s">
        <v>120</v>
      </c>
      <c r="L797" t="s">
        <v>120</v>
      </c>
      <c r="M797" t="s">
        <v>120</v>
      </c>
      <c r="N797" t="s">
        <v>120</v>
      </c>
      <c r="O797" t="s">
        <v>120</v>
      </c>
      <c r="P797" t="s">
        <v>120</v>
      </c>
      <c r="Q797" t="s">
        <v>120</v>
      </c>
      <c r="R797" t="s">
        <v>120</v>
      </c>
      <c r="S797" t="s">
        <v>120</v>
      </c>
      <c r="T797" t="s">
        <v>120</v>
      </c>
      <c r="U797" t="s">
        <v>120</v>
      </c>
      <c r="V797" t="s">
        <v>141</v>
      </c>
      <c r="W797" t="s">
        <v>141</v>
      </c>
      <c r="X797" t="s">
        <v>120</v>
      </c>
      <c r="Y797" t="s">
        <v>120</v>
      </c>
      <c r="Z797" t="s">
        <v>120</v>
      </c>
      <c r="AA797" t="s">
        <v>120</v>
      </c>
      <c r="AB797" t="s">
        <v>120</v>
      </c>
      <c r="AC797" t="s">
        <v>120</v>
      </c>
      <c r="AD797" t="s">
        <v>120</v>
      </c>
      <c r="AE797" t="s">
        <v>120</v>
      </c>
      <c r="AF797" t="s">
        <v>120</v>
      </c>
      <c r="AG797" t="s">
        <v>120</v>
      </c>
      <c r="AH797" t="s">
        <v>120</v>
      </c>
      <c r="AJ797">
        <v>0</v>
      </c>
      <c r="AK797">
        <v>16</v>
      </c>
      <c r="AL797">
        <v>16</v>
      </c>
      <c r="AM797">
        <v>0</v>
      </c>
      <c r="AN797">
        <v>0</v>
      </c>
      <c r="AO797">
        <v>31.55</v>
      </c>
      <c r="AP797">
        <v>16</v>
      </c>
      <c r="AQ797">
        <v>0</v>
      </c>
      <c r="AR797">
        <v>70.2</v>
      </c>
      <c r="AS797">
        <v>1009.6</v>
      </c>
    </row>
    <row r="798" spans="1:45" x14ac:dyDescent="0.25">
      <c r="A798" t="s">
        <v>1821</v>
      </c>
      <c r="B798" t="s">
        <v>1822</v>
      </c>
      <c r="C798" t="s">
        <v>130</v>
      </c>
      <c r="D798" t="s">
        <v>1818</v>
      </c>
      <c r="E798" t="s">
        <v>120</v>
      </c>
      <c r="F798" t="s">
        <v>285</v>
      </c>
      <c r="G798" t="s">
        <v>120</v>
      </c>
      <c r="H798" t="s">
        <v>285</v>
      </c>
      <c r="I798" t="s">
        <v>120</v>
      </c>
      <c r="J798" t="s">
        <v>120</v>
      </c>
      <c r="K798" t="s">
        <v>120</v>
      </c>
      <c r="L798" t="s">
        <v>120</v>
      </c>
      <c r="M798" t="s">
        <v>120</v>
      </c>
      <c r="N798" t="s">
        <v>141</v>
      </c>
      <c r="O798" t="s">
        <v>120</v>
      </c>
      <c r="P798" t="s">
        <v>120</v>
      </c>
      <c r="Q798" t="s">
        <v>120</v>
      </c>
      <c r="R798" t="s">
        <v>120</v>
      </c>
      <c r="S798" t="s">
        <v>120</v>
      </c>
      <c r="T798" t="s">
        <v>120</v>
      </c>
      <c r="U798" t="s">
        <v>120</v>
      </c>
      <c r="V798" t="s">
        <v>120</v>
      </c>
      <c r="W798" t="s">
        <v>120</v>
      </c>
      <c r="X798" t="s">
        <v>120</v>
      </c>
      <c r="Y798" t="s">
        <v>120</v>
      </c>
      <c r="Z798" t="s">
        <v>120</v>
      </c>
      <c r="AA798" t="s">
        <v>120</v>
      </c>
      <c r="AB798" t="s">
        <v>120</v>
      </c>
      <c r="AC798" t="s">
        <v>120</v>
      </c>
      <c r="AD798" t="s">
        <v>120</v>
      </c>
      <c r="AE798" t="s">
        <v>285</v>
      </c>
      <c r="AF798" t="s">
        <v>120</v>
      </c>
      <c r="AG798" t="s">
        <v>120</v>
      </c>
      <c r="AH798" t="s">
        <v>120</v>
      </c>
      <c r="AJ798">
        <v>0</v>
      </c>
      <c r="AK798">
        <v>29</v>
      </c>
      <c r="AL798">
        <v>8</v>
      </c>
      <c r="AM798">
        <v>0</v>
      </c>
      <c r="AN798">
        <v>21</v>
      </c>
      <c r="AO798">
        <v>7500</v>
      </c>
      <c r="AP798">
        <v>8</v>
      </c>
      <c r="AQ798">
        <v>2657.8125000000005</v>
      </c>
      <c r="AR798">
        <v>126.56250000000001</v>
      </c>
      <c r="AS798">
        <v>750</v>
      </c>
    </row>
    <row r="799" spans="1:45" x14ac:dyDescent="0.25">
      <c r="A799" t="s">
        <v>1823</v>
      </c>
      <c r="B799" t="s">
        <v>1824</v>
      </c>
      <c r="C799" t="s">
        <v>147</v>
      </c>
      <c r="D799" t="s">
        <v>1818</v>
      </c>
      <c r="E799" t="s">
        <v>120</v>
      </c>
      <c r="F799" t="s">
        <v>120</v>
      </c>
      <c r="G799" t="s">
        <v>120</v>
      </c>
      <c r="H799" t="s">
        <v>120</v>
      </c>
      <c r="I799" t="s">
        <v>120</v>
      </c>
      <c r="J799" t="s">
        <v>120</v>
      </c>
      <c r="K799" t="s">
        <v>120</v>
      </c>
      <c r="L799" t="s">
        <v>120</v>
      </c>
      <c r="M799" t="s">
        <v>120</v>
      </c>
      <c r="N799" t="s">
        <v>120</v>
      </c>
      <c r="O799" t="s">
        <v>120</v>
      </c>
      <c r="P799" t="s">
        <v>120</v>
      </c>
      <c r="Q799" t="s">
        <v>120</v>
      </c>
      <c r="R799" t="s">
        <v>120</v>
      </c>
      <c r="S799" t="s">
        <v>120</v>
      </c>
      <c r="T799" t="s">
        <v>120</v>
      </c>
      <c r="U799" t="s">
        <v>120</v>
      </c>
      <c r="V799" t="s">
        <v>120</v>
      </c>
      <c r="W799" t="s">
        <v>120</v>
      </c>
      <c r="X799" t="s">
        <v>120</v>
      </c>
      <c r="Y799" t="s">
        <v>120</v>
      </c>
      <c r="Z799" t="s">
        <v>120</v>
      </c>
      <c r="AA799" t="s">
        <v>120</v>
      </c>
      <c r="AB799" t="s">
        <v>120</v>
      </c>
      <c r="AC799" t="s">
        <v>120</v>
      </c>
      <c r="AD799" t="s">
        <v>120</v>
      </c>
      <c r="AE799" t="s">
        <v>120</v>
      </c>
      <c r="AF799" t="s">
        <v>120</v>
      </c>
      <c r="AG799" t="s">
        <v>120</v>
      </c>
      <c r="AH799" t="s">
        <v>120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28.25</v>
      </c>
      <c r="AP799">
        <v>0</v>
      </c>
      <c r="AQ799">
        <v>0</v>
      </c>
      <c r="AR799">
        <v>70.2</v>
      </c>
      <c r="AS799">
        <v>0</v>
      </c>
    </row>
    <row r="800" spans="1:45" x14ac:dyDescent="0.25">
      <c r="A800" t="s">
        <v>1825</v>
      </c>
      <c r="B800" t="s">
        <v>1826</v>
      </c>
      <c r="C800" t="s">
        <v>127</v>
      </c>
      <c r="D800" t="s">
        <v>1818</v>
      </c>
      <c r="E800" t="s">
        <v>120</v>
      </c>
      <c r="F800" t="s">
        <v>120</v>
      </c>
      <c r="G800" t="s">
        <v>120</v>
      </c>
      <c r="H800" t="s">
        <v>120</v>
      </c>
      <c r="I800" t="s">
        <v>120</v>
      </c>
      <c r="J800" t="s">
        <v>120</v>
      </c>
      <c r="K800" t="s">
        <v>120</v>
      </c>
      <c r="L800" t="s">
        <v>120</v>
      </c>
      <c r="M800" t="s">
        <v>120</v>
      </c>
      <c r="N800" t="s">
        <v>120</v>
      </c>
      <c r="O800" t="s">
        <v>120</v>
      </c>
      <c r="P800" t="s">
        <v>120</v>
      </c>
      <c r="Q800" t="s">
        <v>120</v>
      </c>
      <c r="R800" t="s">
        <v>120</v>
      </c>
      <c r="S800" t="s">
        <v>120</v>
      </c>
      <c r="T800" t="s">
        <v>120</v>
      </c>
      <c r="U800" t="s">
        <v>120</v>
      </c>
      <c r="V800" t="s">
        <v>120</v>
      </c>
      <c r="W800" t="s">
        <v>120</v>
      </c>
      <c r="X800" t="s">
        <v>120</v>
      </c>
      <c r="Y800" t="s">
        <v>120</v>
      </c>
      <c r="Z800" t="s">
        <v>120</v>
      </c>
      <c r="AA800" t="s">
        <v>120</v>
      </c>
      <c r="AB800" t="s">
        <v>120</v>
      </c>
      <c r="AC800" t="s">
        <v>120</v>
      </c>
      <c r="AD800" t="s">
        <v>120</v>
      </c>
      <c r="AE800" t="s">
        <v>120</v>
      </c>
      <c r="AF800" t="s">
        <v>120</v>
      </c>
      <c r="AG800" t="s">
        <v>120</v>
      </c>
      <c r="AH800" t="s">
        <v>120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33.43</v>
      </c>
      <c r="AP800">
        <v>0</v>
      </c>
      <c r="AQ800">
        <v>0</v>
      </c>
      <c r="AR800">
        <v>75.06</v>
      </c>
      <c r="AS800">
        <v>0</v>
      </c>
    </row>
    <row r="801" spans="1:45" x14ac:dyDescent="0.25">
      <c r="A801" t="s">
        <v>1827</v>
      </c>
      <c r="B801" t="s">
        <v>1828</v>
      </c>
      <c r="C801" t="s">
        <v>147</v>
      </c>
      <c r="D801" t="s">
        <v>1818</v>
      </c>
      <c r="E801" t="s">
        <v>120</v>
      </c>
      <c r="F801" t="s">
        <v>120</v>
      </c>
      <c r="G801" t="s">
        <v>120</v>
      </c>
      <c r="H801" t="s">
        <v>120</v>
      </c>
      <c r="I801" t="s">
        <v>120</v>
      </c>
      <c r="J801" t="s">
        <v>120</v>
      </c>
      <c r="K801" t="s">
        <v>120</v>
      </c>
      <c r="L801" t="s">
        <v>120</v>
      </c>
      <c r="M801" t="s">
        <v>120</v>
      </c>
      <c r="N801" t="s">
        <v>120</v>
      </c>
      <c r="O801" t="s">
        <v>120</v>
      </c>
      <c r="P801" t="s">
        <v>120</v>
      </c>
      <c r="Q801" t="s">
        <v>120</v>
      </c>
      <c r="R801" t="s">
        <v>120</v>
      </c>
      <c r="S801" t="s">
        <v>120</v>
      </c>
      <c r="T801" t="s">
        <v>120</v>
      </c>
      <c r="U801" t="s">
        <v>120</v>
      </c>
      <c r="V801" t="s">
        <v>120</v>
      </c>
      <c r="W801" t="s">
        <v>120</v>
      </c>
      <c r="X801" t="s">
        <v>120</v>
      </c>
      <c r="Y801" t="s">
        <v>120</v>
      </c>
      <c r="Z801" t="s">
        <v>120</v>
      </c>
      <c r="AA801" t="s">
        <v>120</v>
      </c>
      <c r="AB801" t="s">
        <v>120</v>
      </c>
      <c r="AC801" t="s">
        <v>120</v>
      </c>
      <c r="AD801" t="s">
        <v>120</v>
      </c>
      <c r="AE801" t="s">
        <v>120</v>
      </c>
      <c r="AF801" t="s">
        <v>120</v>
      </c>
      <c r="AG801" t="s">
        <v>120</v>
      </c>
      <c r="AH801" t="s">
        <v>120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31.55</v>
      </c>
      <c r="AP801">
        <v>0</v>
      </c>
      <c r="AQ801">
        <v>0</v>
      </c>
      <c r="AR801">
        <v>70.2</v>
      </c>
      <c r="AS801">
        <v>0</v>
      </c>
    </row>
    <row r="802" spans="1:45" x14ac:dyDescent="0.25">
      <c r="A802" t="s">
        <v>1829</v>
      </c>
      <c r="B802" t="s">
        <v>1830</v>
      </c>
      <c r="C802" t="s">
        <v>147</v>
      </c>
      <c r="D802" t="s">
        <v>1818</v>
      </c>
      <c r="E802" t="s">
        <v>120</v>
      </c>
      <c r="F802" t="s">
        <v>120</v>
      </c>
      <c r="G802" t="s">
        <v>120</v>
      </c>
      <c r="H802" t="s">
        <v>120</v>
      </c>
      <c r="I802" t="s">
        <v>120</v>
      </c>
      <c r="J802" t="s">
        <v>120</v>
      </c>
      <c r="K802" t="s">
        <v>120</v>
      </c>
      <c r="L802" t="s">
        <v>120</v>
      </c>
      <c r="M802" t="s">
        <v>120</v>
      </c>
      <c r="N802" t="s">
        <v>120</v>
      </c>
      <c r="O802" t="s">
        <v>120</v>
      </c>
      <c r="P802" t="s">
        <v>120</v>
      </c>
      <c r="Q802" t="s">
        <v>120</v>
      </c>
      <c r="R802" t="s">
        <v>120</v>
      </c>
      <c r="S802" t="s">
        <v>120</v>
      </c>
      <c r="T802" t="s">
        <v>120</v>
      </c>
      <c r="U802" t="s">
        <v>120</v>
      </c>
      <c r="V802" t="s">
        <v>120</v>
      </c>
      <c r="W802" t="s">
        <v>120</v>
      </c>
      <c r="X802" t="s">
        <v>120</v>
      </c>
      <c r="Y802" t="s">
        <v>120</v>
      </c>
      <c r="Z802" t="s">
        <v>120</v>
      </c>
      <c r="AA802" t="s">
        <v>120</v>
      </c>
      <c r="AB802" t="s">
        <v>120</v>
      </c>
      <c r="AC802" t="s">
        <v>120</v>
      </c>
      <c r="AD802" t="s">
        <v>120</v>
      </c>
      <c r="AE802" t="s">
        <v>120</v>
      </c>
      <c r="AF802" t="s">
        <v>120</v>
      </c>
      <c r="AG802" t="s">
        <v>120</v>
      </c>
      <c r="AH802" t="s">
        <v>120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31.55</v>
      </c>
      <c r="AP802">
        <v>0</v>
      </c>
      <c r="AQ802">
        <v>0</v>
      </c>
      <c r="AR802">
        <v>70.2</v>
      </c>
      <c r="AS802">
        <v>0</v>
      </c>
    </row>
    <row r="803" spans="1:45" x14ac:dyDescent="0.25">
      <c r="A803" t="s">
        <v>1831</v>
      </c>
      <c r="B803" t="s">
        <v>1832</v>
      </c>
      <c r="C803" t="s">
        <v>147</v>
      </c>
      <c r="D803" t="s">
        <v>1818</v>
      </c>
      <c r="E803" t="s">
        <v>120</v>
      </c>
      <c r="F803" t="s">
        <v>120</v>
      </c>
      <c r="G803" t="s">
        <v>120</v>
      </c>
      <c r="H803" t="s">
        <v>120</v>
      </c>
      <c r="I803" t="s">
        <v>120</v>
      </c>
      <c r="J803" t="s">
        <v>120</v>
      </c>
      <c r="K803" t="s">
        <v>120</v>
      </c>
      <c r="L803" t="s">
        <v>120</v>
      </c>
      <c r="M803" t="s">
        <v>120</v>
      </c>
      <c r="N803" t="s">
        <v>120</v>
      </c>
      <c r="O803" t="s">
        <v>120</v>
      </c>
      <c r="P803" t="s">
        <v>120</v>
      </c>
      <c r="Q803" t="s">
        <v>120</v>
      </c>
      <c r="R803" t="s">
        <v>120</v>
      </c>
      <c r="S803" t="s">
        <v>120</v>
      </c>
      <c r="T803" t="s">
        <v>120</v>
      </c>
      <c r="U803" t="s">
        <v>120</v>
      </c>
      <c r="V803" t="s">
        <v>120</v>
      </c>
      <c r="W803" t="s">
        <v>120</v>
      </c>
      <c r="X803" t="s">
        <v>120</v>
      </c>
      <c r="Y803" t="s">
        <v>120</v>
      </c>
      <c r="Z803" t="s">
        <v>120</v>
      </c>
      <c r="AA803" t="s">
        <v>120</v>
      </c>
      <c r="AB803" t="s">
        <v>120</v>
      </c>
      <c r="AC803" t="s">
        <v>120</v>
      </c>
      <c r="AD803" t="s">
        <v>120</v>
      </c>
      <c r="AE803" t="s">
        <v>120</v>
      </c>
      <c r="AF803" t="s">
        <v>120</v>
      </c>
      <c r="AG803" t="s">
        <v>120</v>
      </c>
      <c r="AH803" t="s">
        <v>120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31.55</v>
      </c>
      <c r="AP803">
        <v>0</v>
      </c>
      <c r="AQ803">
        <v>0</v>
      </c>
      <c r="AR803">
        <v>70.2</v>
      </c>
      <c r="AS803">
        <v>0</v>
      </c>
    </row>
    <row r="804" spans="1:45" x14ac:dyDescent="0.25">
      <c r="A804" t="s">
        <v>1833</v>
      </c>
      <c r="B804" t="s">
        <v>1834</v>
      </c>
      <c r="C804" t="s">
        <v>147</v>
      </c>
      <c r="D804" t="s">
        <v>1818</v>
      </c>
      <c r="E804" t="s">
        <v>120</v>
      </c>
      <c r="F804" t="s">
        <v>285</v>
      </c>
      <c r="G804" t="s">
        <v>120</v>
      </c>
      <c r="H804" t="s">
        <v>285</v>
      </c>
      <c r="I804" t="s">
        <v>120</v>
      </c>
      <c r="J804" t="s">
        <v>120</v>
      </c>
      <c r="K804" t="s">
        <v>120</v>
      </c>
      <c r="L804" t="s">
        <v>120</v>
      </c>
      <c r="M804" t="s">
        <v>120</v>
      </c>
      <c r="N804" t="s">
        <v>120</v>
      </c>
      <c r="O804" t="s">
        <v>120</v>
      </c>
      <c r="P804" t="s">
        <v>120</v>
      </c>
      <c r="Q804" t="s">
        <v>120</v>
      </c>
      <c r="R804" t="s">
        <v>120</v>
      </c>
      <c r="S804" t="s">
        <v>120</v>
      </c>
      <c r="T804" t="s">
        <v>120</v>
      </c>
      <c r="U804" t="s">
        <v>120</v>
      </c>
      <c r="V804" t="s">
        <v>120</v>
      </c>
      <c r="W804" t="s">
        <v>120</v>
      </c>
      <c r="X804" t="s">
        <v>120</v>
      </c>
      <c r="Y804" t="s">
        <v>120</v>
      </c>
      <c r="Z804" t="s">
        <v>120</v>
      </c>
      <c r="AA804" t="s">
        <v>120</v>
      </c>
      <c r="AB804" t="s">
        <v>120</v>
      </c>
      <c r="AC804" t="s">
        <v>120</v>
      </c>
      <c r="AD804" t="s">
        <v>120</v>
      </c>
      <c r="AE804" t="s">
        <v>120</v>
      </c>
      <c r="AF804" t="s">
        <v>120</v>
      </c>
      <c r="AG804" t="s">
        <v>120</v>
      </c>
      <c r="AH804" t="s">
        <v>124</v>
      </c>
      <c r="AJ804">
        <v>0</v>
      </c>
      <c r="AK804">
        <v>18</v>
      </c>
      <c r="AL804">
        <v>0</v>
      </c>
      <c r="AM804">
        <v>4</v>
      </c>
      <c r="AN804">
        <v>14</v>
      </c>
      <c r="AO804">
        <v>31.55</v>
      </c>
      <c r="AP804">
        <v>4</v>
      </c>
      <c r="AQ804">
        <v>982.80000000000007</v>
      </c>
      <c r="AR804">
        <v>70.2</v>
      </c>
      <c r="AS804">
        <v>252.4</v>
      </c>
    </row>
    <row r="805" spans="1:45" x14ac:dyDescent="0.25">
      <c r="A805" t="s">
        <v>1835</v>
      </c>
      <c r="B805" t="s">
        <v>1836</v>
      </c>
      <c r="C805" t="s">
        <v>147</v>
      </c>
      <c r="D805" t="s">
        <v>1818</v>
      </c>
      <c r="E805" t="s">
        <v>120</v>
      </c>
      <c r="F805" t="s">
        <v>120</v>
      </c>
      <c r="G805" t="s">
        <v>120</v>
      </c>
      <c r="H805" t="s">
        <v>120</v>
      </c>
      <c r="I805" t="s">
        <v>120</v>
      </c>
      <c r="J805" t="s">
        <v>120</v>
      </c>
      <c r="K805" t="s">
        <v>120</v>
      </c>
      <c r="L805" t="s">
        <v>120</v>
      </c>
      <c r="M805" t="s">
        <v>120</v>
      </c>
      <c r="N805" t="s">
        <v>120</v>
      </c>
      <c r="O805" t="s">
        <v>120</v>
      </c>
      <c r="P805" t="s">
        <v>120</v>
      </c>
      <c r="Q805" t="s">
        <v>120</v>
      </c>
      <c r="R805" t="s">
        <v>120</v>
      </c>
      <c r="S805" t="s">
        <v>120</v>
      </c>
      <c r="T805" t="s">
        <v>120</v>
      </c>
      <c r="U805" t="s">
        <v>120</v>
      </c>
      <c r="V805" t="s">
        <v>120</v>
      </c>
      <c r="W805" t="s">
        <v>120</v>
      </c>
      <c r="X805" t="s">
        <v>120</v>
      </c>
      <c r="Y805" t="s">
        <v>120</v>
      </c>
      <c r="Z805" t="s">
        <v>120</v>
      </c>
      <c r="AA805" t="s">
        <v>120</v>
      </c>
      <c r="AB805" t="s">
        <v>120</v>
      </c>
      <c r="AC805" t="s">
        <v>120</v>
      </c>
      <c r="AD805" t="s">
        <v>120</v>
      </c>
      <c r="AE805" t="s">
        <v>120</v>
      </c>
      <c r="AF805" t="s">
        <v>120</v>
      </c>
      <c r="AG805" t="s">
        <v>120</v>
      </c>
      <c r="AH805" t="s">
        <v>120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28.25</v>
      </c>
      <c r="AP805">
        <v>0</v>
      </c>
      <c r="AQ805">
        <v>0</v>
      </c>
      <c r="AR805">
        <v>70.2</v>
      </c>
      <c r="AS805">
        <v>0</v>
      </c>
    </row>
    <row r="806" spans="1:45" x14ac:dyDescent="0.25">
      <c r="A806" t="s">
        <v>1837</v>
      </c>
      <c r="B806" t="s">
        <v>1838</v>
      </c>
      <c r="C806" t="s">
        <v>147</v>
      </c>
      <c r="D806" t="s">
        <v>1818</v>
      </c>
      <c r="E806" t="s">
        <v>120</v>
      </c>
      <c r="F806" t="s">
        <v>120</v>
      </c>
      <c r="G806" t="s">
        <v>120</v>
      </c>
      <c r="H806" t="s">
        <v>120</v>
      </c>
      <c r="I806" t="s">
        <v>120</v>
      </c>
      <c r="J806" t="s">
        <v>120</v>
      </c>
      <c r="K806" t="s">
        <v>120</v>
      </c>
      <c r="L806" t="s">
        <v>120</v>
      </c>
      <c r="M806" t="s">
        <v>120</v>
      </c>
      <c r="N806" t="s">
        <v>120</v>
      </c>
      <c r="O806" t="s">
        <v>120</v>
      </c>
      <c r="P806" t="s">
        <v>120</v>
      </c>
      <c r="Q806" t="s">
        <v>120</v>
      </c>
      <c r="R806" t="s">
        <v>120</v>
      </c>
      <c r="S806" t="s">
        <v>120</v>
      </c>
      <c r="T806" t="s">
        <v>120</v>
      </c>
      <c r="U806" t="s">
        <v>120</v>
      </c>
      <c r="V806" t="s">
        <v>120</v>
      </c>
      <c r="W806" t="s">
        <v>120</v>
      </c>
      <c r="X806" t="s">
        <v>120</v>
      </c>
      <c r="Y806" t="s">
        <v>120</v>
      </c>
      <c r="Z806" t="s">
        <v>120</v>
      </c>
      <c r="AA806" t="s">
        <v>120</v>
      </c>
      <c r="AB806" t="s">
        <v>120</v>
      </c>
      <c r="AC806" t="s">
        <v>120</v>
      </c>
      <c r="AD806" t="s">
        <v>120</v>
      </c>
      <c r="AE806" t="s">
        <v>120</v>
      </c>
      <c r="AF806" t="s">
        <v>120</v>
      </c>
      <c r="AG806" t="s">
        <v>120</v>
      </c>
      <c r="AH806" t="s">
        <v>120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28.25</v>
      </c>
      <c r="AP806">
        <v>0</v>
      </c>
      <c r="AQ806">
        <v>0</v>
      </c>
      <c r="AR806">
        <v>70.2</v>
      </c>
      <c r="AS806">
        <v>0</v>
      </c>
    </row>
    <row r="807" spans="1:45" x14ac:dyDescent="0.25">
      <c r="A807" t="s">
        <v>1839</v>
      </c>
      <c r="B807" t="s">
        <v>1840</v>
      </c>
      <c r="C807" t="s">
        <v>147</v>
      </c>
      <c r="D807" t="s">
        <v>1818</v>
      </c>
      <c r="E807" t="s">
        <v>120</v>
      </c>
      <c r="F807" t="s">
        <v>120</v>
      </c>
      <c r="G807" t="s">
        <v>120</v>
      </c>
      <c r="H807" t="s">
        <v>120</v>
      </c>
      <c r="I807" t="s">
        <v>120</v>
      </c>
      <c r="J807" t="s">
        <v>120</v>
      </c>
      <c r="K807" t="s">
        <v>120</v>
      </c>
      <c r="L807" t="s">
        <v>120</v>
      </c>
      <c r="M807" t="s">
        <v>120</v>
      </c>
      <c r="N807" t="s">
        <v>120</v>
      </c>
      <c r="O807" t="s">
        <v>120</v>
      </c>
      <c r="P807" t="s">
        <v>120</v>
      </c>
      <c r="Q807" t="s">
        <v>120</v>
      </c>
      <c r="R807" t="s">
        <v>120</v>
      </c>
      <c r="S807" t="s">
        <v>120</v>
      </c>
      <c r="T807" t="s">
        <v>120</v>
      </c>
      <c r="U807" t="s">
        <v>120</v>
      </c>
      <c r="V807" t="s">
        <v>120</v>
      </c>
      <c r="W807" t="s">
        <v>120</v>
      </c>
      <c r="X807" t="s">
        <v>120</v>
      </c>
      <c r="Y807" t="s">
        <v>120</v>
      </c>
      <c r="Z807" t="s">
        <v>120</v>
      </c>
      <c r="AA807" t="s">
        <v>120</v>
      </c>
      <c r="AB807" t="s">
        <v>120</v>
      </c>
      <c r="AC807" t="s">
        <v>120</v>
      </c>
      <c r="AD807" t="s">
        <v>120</v>
      </c>
      <c r="AE807" t="s">
        <v>120</v>
      </c>
      <c r="AF807" t="s">
        <v>120</v>
      </c>
      <c r="AG807" t="s">
        <v>120</v>
      </c>
      <c r="AH807" t="s">
        <v>120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31.55</v>
      </c>
      <c r="AP807">
        <v>0</v>
      </c>
      <c r="AQ807">
        <v>0</v>
      </c>
      <c r="AR807">
        <v>70.2</v>
      </c>
      <c r="AS807">
        <v>0</v>
      </c>
    </row>
    <row r="808" spans="1:45" x14ac:dyDescent="0.25">
      <c r="A808" t="s">
        <v>1841</v>
      </c>
      <c r="B808" t="s">
        <v>1842</v>
      </c>
      <c r="C808" t="s">
        <v>147</v>
      </c>
      <c r="D808" t="s">
        <v>1818</v>
      </c>
      <c r="E808" t="s">
        <v>120</v>
      </c>
      <c r="F808" t="s">
        <v>120</v>
      </c>
      <c r="G808" t="s">
        <v>120</v>
      </c>
      <c r="H808" t="s">
        <v>120</v>
      </c>
      <c r="I808" t="s">
        <v>120</v>
      </c>
      <c r="J808" t="s">
        <v>120</v>
      </c>
      <c r="K808" t="s">
        <v>120</v>
      </c>
      <c r="L808" t="s">
        <v>120</v>
      </c>
      <c r="M808" t="s">
        <v>120</v>
      </c>
      <c r="N808" t="s">
        <v>141</v>
      </c>
      <c r="O808" t="s">
        <v>120</v>
      </c>
      <c r="P808" t="s">
        <v>120</v>
      </c>
      <c r="Q808" t="s">
        <v>120</v>
      </c>
      <c r="R808" t="s">
        <v>120</v>
      </c>
      <c r="S808" t="s">
        <v>120</v>
      </c>
      <c r="T808" t="s">
        <v>120</v>
      </c>
      <c r="U808" t="s">
        <v>120</v>
      </c>
      <c r="V808" t="s">
        <v>120</v>
      </c>
      <c r="W808" t="s">
        <v>120</v>
      </c>
      <c r="X808" t="s">
        <v>120</v>
      </c>
      <c r="Y808" t="s">
        <v>120</v>
      </c>
      <c r="Z808" t="s">
        <v>120</v>
      </c>
      <c r="AA808" t="s">
        <v>120</v>
      </c>
      <c r="AB808" t="s">
        <v>120</v>
      </c>
      <c r="AC808" t="s">
        <v>120</v>
      </c>
      <c r="AD808" t="s">
        <v>120</v>
      </c>
      <c r="AE808" t="s">
        <v>120</v>
      </c>
      <c r="AF808" t="s">
        <v>120</v>
      </c>
      <c r="AG808" t="s">
        <v>120</v>
      </c>
      <c r="AH808" t="s">
        <v>120</v>
      </c>
      <c r="AJ808">
        <v>0</v>
      </c>
      <c r="AK808">
        <v>8</v>
      </c>
      <c r="AL808">
        <v>8</v>
      </c>
      <c r="AM808">
        <v>0</v>
      </c>
      <c r="AN808">
        <v>0</v>
      </c>
      <c r="AO808">
        <v>28.25</v>
      </c>
      <c r="AP808">
        <v>8</v>
      </c>
      <c r="AQ808">
        <v>0</v>
      </c>
      <c r="AR808">
        <v>70.2</v>
      </c>
      <c r="AS808">
        <v>452</v>
      </c>
    </row>
    <row r="809" spans="1:45" x14ac:dyDescent="0.25">
      <c r="A809" t="s">
        <v>1843</v>
      </c>
      <c r="B809" t="s">
        <v>1844</v>
      </c>
      <c r="C809" t="s">
        <v>147</v>
      </c>
      <c r="D809" t="s">
        <v>1818</v>
      </c>
      <c r="E809" t="s">
        <v>120</v>
      </c>
      <c r="F809" t="s">
        <v>120</v>
      </c>
      <c r="G809" t="s">
        <v>120</v>
      </c>
      <c r="H809" t="s">
        <v>120</v>
      </c>
      <c r="I809" t="s">
        <v>120</v>
      </c>
      <c r="J809" t="s">
        <v>120</v>
      </c>
      <c r="K809" t="s">
        <v>120</v>
      </c>
      <c r="L809" t="s">
        <v>120</v>
      </c>
      <c r="M809" t="s">
        <v>120</v>
      </c>
      <c r="N809" t="s">
        <v>120</v>
      </c>
      <c r="O809" t="s">
        <v>120</v>
      </c>
      <c r="P809" t="s">
        <v>120</v>
      </c>
      <c r="Q809" t="s">
        <v>120</v>
      </c>
      <c r="R809" t="s">
        <v>120</v>
      </c>
      <c r="S809" t="s">
        <v>120</v>
      </c>
      <c r="T809" t="s">
        <v>120</v>
      </c>
      <c r="U809" t="s">
        <v>120</v>
      </c>
      <c r="V809" t="s">
        <v>120</v>
      </c>
      <c r="W809" t="s">
        <v>120</v>
      </c>
      <c r="X809" t="s">
        <v>120</v>
      </c>
      <c r="Y809" t="s">
        <v>120</v>
      </c>
      <c r="Z809" t="s">
        <v>120</v>
      </c>
      <c r="AA809" t="s">
        <v>120</v>
      </c>
      <c r="AB809" t="s">
        <v>120</v>
      </c>
      <c r="AC809" t="s">
        <v>120</v>
      </c>
      <c r="AD809" t="s">
        <v>120</v>
      </c>
      <c r="AE809" t="s">
        <v>120</v>
      </c>
      <c r="AF809" t="s">
        <v>120</v>
      </c>
      <c r="AG809" t="s">
        <v>120</v>
      </c>
      <c r="AH809" t="s">
        <v>120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31.55</v>
      </c>
      <c r="AP809">
        <v>0</v>
      </c>
      <c r="AQ809">
        <v>0</v>
      </c>
      <c r="AR809">
        <v>70.2</v>
      </c>
      <c r="AS809">
        <v>0</v>
      </c>
    </row>
    <row r="810" spans="1:45" x14ac:dyDescent="0.25">
      <c r="A810" t="s">
        <v>1845</v>
      </c>
      <c r="B810" t="s">
        <v>1846</v>
      </c>
      <c r="C810" t="s">
        <v>147</v>
      </c>
      <c r="D810" t="s">
        <v>1818</v>
      </c>
      <c r="E810" t="s">
        <v>120</v>
      </c>
      <c r="F810" t="s">
        <v>120</v>
      </c>
      <c r="G810" t="s">
        <v>120</v>
      </c>
      <c r="H810" t="s">
        <v>120</v>
      </c>
      <c r="I810" t="s">
        <v>120</v>
      </c>
      <c r="J810" t="s">
        <v>120</v>
      </c>
      <c r="K810" t="s">
        <v>120</v>
      </c>
      <c r="L810" t="s">
        <v>120</v>
      </c>
      <c r="M810" t="s">
        <v>120</v>
      </c>
      <c r="N810" t="s">
        <v>120</v>
      </c>
      <c r="O810" t="s">
        <v>120</v>
      </c>
      <c r="P810" t="s">
        <v>120</v>
      </c>
      <c r="Q810" t="s">
        <v>120</v>
      </c>
      <c r="R810" t="s">
        <v>120</v>
      </c>
      <c r="S810" t="s">
        <v>120</v>
      </c>
      <c r="T810" t="s">
        <v>120</v>
      </c>
      <c r="U810" t="s">
        <v>120</v>
      </c>
      <c r="V810" t="s">
        <v>120</v>
      </c>
      <c r="W810" t="s">
        <v>120</v>
      </c>
      <c r="X810" t="s">
        <v>120</v>
      </c>
      <c r="Y810" t="s">
        <v>120</v>
      </c>
      <c r="Z810" t="s">
        <v>120</v>
      </c>
      <c r="AA810" t="s">
        <v>120</v>
      </c>
      <c r="AB810" t="s">
        <v>120</v>
      </c>
      <c r="AC810" t="s">
        <v>120</v>
      </c>
      <c r="AD810" t="s">
        <v>120</v>
      </c>
      <c r="AE810" t="s">
        <v>120</v>
      </c>
      <c r="AF810" t="s">
        <v>120</v>
      </c>
      <c r="AG810" t="s">
        <v>120</v>
      </c>
      <c r="AH810" t="s">
        <v>120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28.25</v>
      </c>
      <c r="AP810">
        <v>0</v>
      </c>
      <c r="AQ810">
        <v>0</v>
      </c>
      <c r="AR810">
        <v>70.2</v>
      </c>
      <c r="AS810">
        <v>0</v>
      </c>
    </row>
    <row r="811" spans="1:45" x14ac:dyDescent="0.25">
      <c r="A811" t="s">
        <v>1847</v>
      </c>
      <c r="B811" t="s">
        <v>1848</v>
      </c>
      <c r="C811" t="s">
        <v>147</v>
      </c>
      <c r="D811" t="s">
        <v>1818</v>
      </c>
      <c r="E811" t="s">
        <v>120</v>
      </c>
      <c r="F811" t="s">
        <v>120</v>
      </c>
      <c r="G811" t="s">
        <v>120</v>
      </c>
      <c r="H811" t="s">
        <v>120</v>
      </c>
      <c r="I811" t="s">
        <v>120</v>
      </c>
      <c r="J811" t="s">
        <v>120</v>
      </c>
      <c r="K811" t="s">
        <v>120</v>
      </c>
      <c r="L811" t="s">
        <v>120</v>
      </c>
      <c r="M811" t="s">
        <v>120</v>
      </c>
      <c r="N811" t="s">
        <v>120</v>
      </c>
      <c r="O811" t="s">
        <v>120</v>
      </c>
      <c r="P811" t="s">
        <v>120</v>
      </c>
      <c r="Q811" t="s">
        <v>120</v>
      </c>
      <c r="R811" t="s">
        <v>120</v>
      </c>
      <c r="S811" t="s">
        <v>120</v>
      </c>
      <c r="T811" t="s">
        <v>120</v>
      </c>
      <c r="U811" t="s">
        <v>120</v>
      </c>
      <c r="V811" t="s">
        <v>120</v>
      </c>
      <c r="W811" t="s">
        <v>120</v>
      </c>
      <c r="X811" t="s">
        <v>120</v>
      </c>
      <c r="Y811" t="s">
        <v>120</v>
      </c>
      <c r="Z811" t="s">
        <v>120</v>
      </c>
      <c r="AA811" t="s">
        <v>120</v>
      </c>
      <c r="AB811" t="s">
        <v>120</v>
      </c>
      <c r="AC811" t="s">
        <v>120</v>
      </c>
      <c r="AD811" t="s">
        <v>120</v>
      </c>
      <c r="AE811" t="s">
        <v>120</v>
      </c>
      <c r="AF811" t="s">
        <v>120</v>
      </c>
      <c r="AG811" t="s">
        <v>120</v>
      </c>
      <c r="AH811" t="s">
        <v>120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31.55</v>
      </c>
      <c r="AP811">
        <v>0</v>
      </c>
      <c r="AQ811">
        <v>0</v>
      </c>
      <c r="AR811">
        <v>70.2</v>
      </c>
      <c r="AS811">
        <v>0</v>
      </c>
    </row>
    <row r="812" spans="1:45" x14ac:dyDescent="0.25">
      <c r="A812" t="s">
        <v>1849</v>
      </c>
      <c r="B812" t="s">
        <v>1850</v>
      </c>
      <c r="C812" t="s">
        <v>147</v>
      </c>
      <c r="D812" t="s">
        <v>1818</v>
      </c>
      <c r="E812" t="s">
        <v>120</v>
      </c>
      <c r="F812" t="s">
        <v>120</v>
      </c>
      <c r="G812" t="s">
        <v>120</v>
      </c>
      <c r="H812" t="s">
        <v>120</v>
      </c>
      <c r="I812" t="s">
        <v>120</v>
      </c>
      <c r="J812" t="s">
        <v>120</v>
      </c>
      <c r="K812" t="s">
        <v>120</v>
      </c>
      <c r="L812" t="s">
        <v>120</v>
      </c>
      <c r="M812" t="s">
        <v>120</v>
      </c>
      <c r="N812" t="s">
        <v>120</v>
      </c>
      <c r="O812" t="s">
        <v>120</v>
      </c>
      <c r="P812" t="s">
        <v>120</v>
      </c>
      <c r="Q812" t="s">
        <v>120</v>
      </c>
      <c r="R812" t="s">
        <v>120</v>
      </c>
      <c r="S812" t="s">
        <v>120</v>
      </c>
      <c r="T812" t="s">
        <v>120</v>
      </c>
      <c r="U812" t="s">
        <v>120</v>
      </c>
      <c r="V812" t="s">
        <v>120</v>
      </c>
      <c r="W812" t="s">
        <v>120</v>
      </c>
      <c r="X812" t="s">
        <v>120</v>
      </c>
      <c r="Y812" t="s">
        <v>120</v>
      </c>
      <c r="Z812" t="s">
        <v>120</v>
      </c>
      <c r="AA812" t="s">
        <v>120</v>
      </c>
      <c r="AB812" t="s">
        <v>120</v>
      </c>
      <c r="AC812" t="s">
        <v>120</v>
      </c>
      <c r="AD812" t="s">
        <v>120</v>
      </c>
      <c r="AE812" t="s">
        <v>120</v>
      </c>
      <c r="AF812" t="s">
        <v>120</v>
      </c>
      <c r="AG812" t="s">
        <v>120</v>
      </c>
      <c r="AH812" t="s">
        <v>120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31.55</v>
      </c>
      <c r="AP812">
        <v>0</v>
      </c>
      <c r="AQ812">
        <v>0</v>
      </c>
      <c r="AR812">
        <v>70.2</v>
      </c>
      <c r="AS812">
        <v>0</v>
      </c>
    </row>
    <row r="813" spans="1:45" x14ac:dyDescent="0.25">
      <c r="A813" t="s">
        <v>1851</v>
      </c>
      <c r="B813" t="s">
        <v>1852</v>
      </c>
      <c r="C813" t="s">
        <v>147</v>
      </c>
      <c r="D813" t="s">
        <v>1818</v>
      </c>
      <c r="E813" t="s">
        <v>120</v>
      </c>
      <c r="F813" t="s">
        <v>120</v>
      </c>
      <c r="G813" t="s">
        <v>120</v>
      </c>
      <c r="H813" t="s">
        <v>120</v>
      </c>
      <c r="I813" t="s">
        <v>120</v>
      </c>
      <c r="J813" t="s">
        <v>120</v>
      </c>
      <c r="K813" t="s">
        <v>120</v>
      </c>
      <c r="L813" t="s">
        <v>120</v>
      </c>
      <c r="M813" t="s">
        <v>120</v>
      </c>
      <c r="N813" t="s">
        <v>120</v>
      </c>
      <c r="O813" t="s">
        <v>120</v>
      </c>
      <c r="P813" t="s">
        <v>120</v>
      </c>
      <c r="Q813" t="s">
        <v>120</v>
      </c>
      <c r="R813" t="s">
        <v>120</v>
      </c>
      <c r="S813" t="s">
        <v>120</v>
      </c>
      <c r="T813" t="s">
        <v>120</v>
      </c>
      <c r="U813" t="s">
        <v>120</v>
      </c>
      <c r="V813" t="s">
        <v>120</v>
      </c>
      <c r="W813" t="s">
        <v>120</v>
      </c>
      <c r="X813" t="s">
        <v>120</v>
      </c>
      <c r="Y813" t="s">
        <v>120</v>
      </c>
      <c r="Z813" t="s">
        <v>120</v>
      </c>
      <c r="AA813" t="s">
        <v>120</v>
      </c>
      <c r="AB813" t="s">
        <v>120</v>
      </c>
      <c r="AC813" t="s">
        <v>120</v>
      </c>
      <c r="AD813" t="s">
        <v>120</v>
      </c>
      <c r="AE813" t="s">
        <v>120</v>
      </c>
      <c r="AF813" t="s">
        <v>120</v>
      </c>
      <c r="AG813" t="s">
        <v>120</v>
      </c>
      <c r="AH813" t="s">
        <v>120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31.55</v>
      </c>
      <c r="AP813">
        <v>0</v>
      </c>
      <c r="AQ813">
        <v>0</v>
      </c>
      <c r="AR813">
        <v>70.2</v>
      </c>
      <c r="AS813">
        <v>0</v>
      </c>
    </row>
    <row r="814" spans="1:45" x14ac:dyDescent="0.25">
      <c r="A814" t="s">
        <v>1853</v>
      </c>
      <c r="B814" t="s">
        <v>1854</v>
      </c>
      <c r="C814" t="s">
        <v>147</v>
      </c>
      <c r="D814" t="s">
        <v>1818</v>
      </c>
      <c r="E814" t="s">
        <v>120</v>
      </c>
      <c r="F814" t="s">
        <v>120</v>
      </c>
      <c r="G814" t="s">
        <v>120</v>
      </c>
      <c r="H814" t="s">
        <v>120</v>
      </c>
      <c r="I814" t="s">
        <v>120</v>
      </c>
      <c r="J814" t="s">
        <v>120</v>
      </c>
      <c r="K814" t="s">
        <v>120</v>
      </c>
      <c r="L814" t="s">
        <v>120</v>
      </c>
      <c r="M814" t="s">
        <v>120</v>
      </c>
      <c r="N814" t="s">
        <v>120</v>
      </c>
      <c r="O814" t="s">
        <v>120</v>
      </c>
      <c r="P814" t="s">
        <v>120</v>
      </c>
      <c r="Q814" t="s">
        <v>120</v>
      </c>
      <c r="R814" t="s">
        <v>120</v>
      </c>
      <c r="S814" t="s">
        <v>120</v>
      </c>
      <c r="T814" t="s">
        <v>120</v>
      </c>
      <c r="U814" t="s">
        <v>120</v>
      </c>
      <c r="V814" t="s">
        <v>135</v>
      </c>
      <c r="W814" t="s">
        <v>135</v>
      </c>
      <c r="X814" t="s">
        <v>135</v>
      </c>
      <c r="Y814" t="s">
        <v>135</v>
      </c>
      <c r="Z814" t="s">
        <v>120</v>
      </c>
      <c r="AA814" t="s">
        <v>120</v>
      </c>
      <c r="AB814" t="s">
        <v>120</v>
      </c>
      <c r="AC814" t="s">
        <v>141</v>
      </c>
      <c r="AD814" t="s">
        <v>120</v>
      </c>
      <c r="AE814" t="s">
        <v>120</v>
      </c>
      <c r="AF814" t="s">
        <v>120</v>
      </c>
      <c r="AG814" t="s">
        <v>120</v>
      </c>
      <c r="AH814" t="s">
        <v>120</v>
      </c>
      <c r="AJ814">
        <v>0</v>
      </c>
      <c r="AK814">
        <v>40</v>
      </c>
      <c r="AL814">
        <v>8</v>
      </c>
      <c r="AM814">
        <v>32</v>
      </c>
      <c r="AN814">
        <v>0</v>
      </c>
      <c r="AO814">
        <v>31.55</v>
      </c>
      <c r="AP814">
        <v>40</v>
      </c>
      <c r="AQ814">
        <v>0</v>
      </c>
      <c r="AR814">
        <v>70.2</v>
      </c>
      <c r="AS814">
        <v>2524</v>
      </c>
    </row>
    <row r="815" spans="1:45" x14ac:dyDescent="0.25">
      <c r="A815" t="s">
        <v>1855</v>
      </c>
      <c r="B815" t="s">
        <v>1856</v>
      </c>
      <c r="C815" t="s">
        <v>147</v>
      </c>
      <c r="D815" t="s">
        <v>1818</v>
      </c>
      <c r="E815" t="s">
        <v>120</v>
      </c>
      <c r="F815" t="s">
        <v>120</v>
      </c>
      <c r="G815" t="s">
        <v>120</v>
      </c>
      <c r="H815" t="s">
        <v>120</v>
      </c>
      <c r="I815" t="s">
        <v>120</v>
      </c>
      <c r="J815" t="s">
        <v>120</v>
      </c>
      <c r="K815" t="s">
        <v>120</v>
      </c>
      <c r="L815" t="s">
        <v>120</v>
      </c>
      <c r="M815" t="s">
        <v>120</v>
      </c>
      <c r="N815" t="s">
        <v>120</v>
      </c>
      <c r="O815" t="s">
        <v>120</v>
      </c>
      <c r="P815" t="s">
        <v>120</v>
      </c>
      <c r="Q815" t="s">
        <v>120</v>
      </c>
      <c r="R815" t="s">
        <v>120</v>
      </c>
      <c r="S815" t="s">
        <v>120</v>
      </c>
      <c r="T815" t="s">
        <v>120</v>
      </c>
      <c r="U815" t="s">
        <v>120</v>
      </c>
      <c r="V815" t="s">
        <v>120</v>
      </c>
      <c r="W815" t="s">
        <v>120</v>
      </c>
      <c r="X815" t="s">
        <v>120</v>
      </c>
      <c r="Y815" t="s">
        <v>120</v>
      </c>
      <c r="Z815" t="s">
        <v>120</v>
      </c>
      <c r="AA815" t="s">
        <v>120</v>
      </c>
      <c r="AB815" t="s">
        <v>120</v>
      </c>
      <c r="AC815" t="s">
        <v>120</v>
      </c>
      <c r="AD815" t="s">
        <v>120</v>
      </c>
      <c r="AE815" t="s">
        <v>120</v>
      </c>
      <c r="AF815" t="s">
        <v>120</v>
      </c>
      <c r="AG815" t="s">
        <v>120</v>
      </c>
      <c r="AH815" t="s">
        <v>120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31.55</v>
      </c>
      <c r="AP815">
        <v>0</v>
      </c>
      <c r="AQ815">
        <v>0</v>
      </c>
      <c r="AR815">
        <v>70.2</v>
      </c>
      <c r="AS815">
        <v>0</v>
      </c>
    </row>
    <row r="816" spans="1:45" x14ac:dyDescent="0.25">
      <c r="A816" t="s">
        <v>1857</v>
      </c>
      <c r="B816" t="s">
        <v>1858</v>
      </c>
      <c r="C816" t="s">
        <v>147</v>
      </c>
      <c r="D816" t="s">
        <v>1818</v>
      </c>
      <c r="E816" t="s">
        <v>120</v>
      </c>
      <c r="F816" t="s">
        <v>120</v>
      </c>
      <c r="G816" t="s">
        <v>120</v>
      </c>
      <c r="H816" t="s">
        <v>120</v>
      </c>
      <c r="I816" t="s">
        <v>120</v>
      </c>
      <c r="J816" t="s">
        <v>120</v>
      </c>
      <c r="K816" t="s">
        <v>120</v>
      </c>
      <c r="L816" t="s">
        <v>120</v>
      </c>
      <c r="M816" t="s">
        <v>120</v>
      </c>
      <c r="N816" t="s">
        <v>120</v>
      </c>
      <c r="O816" t="s">
        <v>120</v>
      </c>
      <c r="P816" t="s">
        <v>120</v>
      </c>
      <c r="Q816" t="s">
        <v>120</v>
      </c>
      <c r="R816" t="s">
        <v>120</v>
      </c>
      <c r="S816" t="s">
        <v>120</v>
      </c>
      <c r="T816" t="s">
        <v>120</v>
      </c>
      <c r="U816" t="s">
        <v>120</v>
      </c>
      <c r="V816" t="s">
        <v>120</v>
      </c>
      <c r="W816" t="s">
        <v>120</v>
      </c>
      <c r="X816" t="s">
        <v>120</v>
      </c>
      <c r="Y816" t="s">
        <v>120</v>
      </c>
      <c r="Z816" t="s">
        <v>120</v>
      </c>
      <c r="AA816" t="s">
        <v>120</v>
      </c>
      <c r="AB816" t="s">
        <v>120</v>
      </c>
      <c r="AC816" t="s">
        <v>120</v>
      </c>
      <c r="AD816" t="s">
        <v>120</v>
      </c>
      <c r="AE816" t="s">
        <v>120</v>
      </c>
      <c r="AF816" t="s">
        <v>120</v>
      </c>
      <c r="AG816" t="s">
        <v>120</v>
      </c>
      <c r="AH816" t="s">
        <v>120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31.55</v>
      </c>
      <c r="AP816">
        <v>0</v>
      </c>
      <c r="AQ816">
        <v>0</v>
      </c>
      <c r="AR816">
        <v>70.2</v>
      </c>
      <c r="AS816">
        <v>0</v>
      </c>
    </row>
    <row r="817" spans="1:45" x14ac:dyDescent="0.25">
      <c r="A817" t="s">
        <v>1859</v>
      </c>
      <c r="B817" t="s">
        <v>1860</v>
      </c>
      <c r="C817" t="s">
        <v>127</v>
      </c>
      <c r="D817" t="s">
        <v>1818</v>
      </c>
      <c r="E817" t="s">
        <v>120</v>
      </c>
      <c r="F817" t="s">
        <v>120</v>
      </c>
      <c r="G817" t="s">
        <v>120</v>
      </c>
      <c r="H817" t="s">
        <v>120</v>
      </c>
      <c r="I817" t="s">
        <v>120</v>
      </c>
      <c r="J817" t="s">
        <v>120</v>
      </c>
      <c r="K817" t="s">
        <v>120</v>
      </c>
      <c r="L817" t="s">
        <v>120</v>
      </c>
      <c r="M817" t="s">
        <v>120</v>
      </c>
      <c r="N817" t="s">
        <v>120</v>
      </c>
      <c r="O817" t="s">
        <v>120</v>
      </c>
      <c r="P817" t="s">
        <v>120</v>
      </c>
      <c r="Q817" t="s">
        <v>120</v>
      </c>
      <c r="R817" t="s">
        <v>120</v>
      </c>
      <c r="S817" t="s">
        <v>120</v>
      </c>
      <c r="T817" t="s">
        <v>120</v>
      </c>
      <c r="U817" t="s">
        <v>120</v>
      </c>
      <c r="V817" t="s">
        <v>120</v>
      </c>
      <c r="W817" t="s">
        <v>120</v>
      </c>
      <c r="X817" t="s">
        <v>120</v>
      </c>
      <c r="Y817" t="s">
        <v>120</v>
      </c>
      <c r="Z817" t="s">
        <v>120</v>
      </c>
      <c r="AA817" t="s">
        <v>120</v>
      </c>
      <c r="AB817" t="s">
        <v>120</v>
      </c>
      <c r="AC817" t="s">
        <v>120</v>
      </c>
      <c r="AD817" t="s">
        <v>120</v>
      </c>
      <c r="AE817" t="s">
        <v>120</v>
      </c>
      <c r="AF817" t="s">
        <v>120</v>
      </c>
      <c r="AG817" t="s">
        <v>120</v>
      </c>
      <c r="AH817" t="s">
        <v>120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33.43</v>
      </c>
      <c r="AP817">
        <v>0</v>
      </c>
      <c r="AQ817">
        <v>0</v>
      </c>
      <c r="AR817">
        <v>75.06</v>
      </c>
      <c r="AS817">
        <v>0</v>
      </c>
    </row>
    <row r="818" spans="1:45" x14ac:dyDescent="0.25">
      <c r="A818" t="s">
        <v>1861</v>
      </c>
      <c r="B818" t="s">
        <v>1862</v>
      </c>
      <c r="C818" t="s">
        <v>147</v>
      </c>
      <c r="D818" t="s">
        <v>1818</v>
      </c>
      <c r="E818" t="s">
        <v>120</v>
      </c>
      <c r="F818" t="s">
        <v>120</v>
      </c>
      <c r="G818" t="s">
        <v>120</v>
      </c>
      <c r="H818" t="s">
        <v>120</v>
      </c>
      <c r="I818" t="s">
        <v>120</v>
      </c>
      <c r="J818" t="s">
        <v>120</v>
      </c>
      <c r="K818" t="s">
        <v>120</v>
      </c>
      <c r="L818" t="s">
        <v>120</v>
      </c>
      <c r="M818" t="s">
        <v>120</v>
      </c>
      <c r="N818" t="s">
        <v>120</v>
      </c>
      <c r="O818" t="s">
        <v>120</v>
      </c>
      <c r="P818" t="s">
        <v>120</v>
      </c>
      <c r="Q818" t="s">
        <v>120</v>
      </c>
      <c r="R818" t="s">
        <v>120</v>
      </c>
      <c r="S818" t="s">
        <v>120</v>
      </c>
      <c r="T818" t="s">
        <v>120</v>
      </c>
      <c r="U818" t="s">
        <v>120</v>
      </c>
      <c r="V818" t="s">
        <v>120</v>
      </c>
      <c r="W818" t="s">
        <v>120</v>
      </c>
      <c r="X818" t="s">
        <v>120</v>
      </c>
      <c r="Y818" t="s">
        <v>120</v>
      </c>
      <c r="Z818" t="s">
        <v>120</v>
      </c>
      <c r="AA818" t="s">
        <v>120</v>
      </c>
      <c r="AB818" t="s">
        <v>120</v>
      </c>
      <c r="AC818" t="s">
        <v>120</v>
      </c>
      <c r="AD818" t="s">
        <v>120</v>
      </c>
      <c r="AE818" t="s">
        <v>120</v>
      </c>
      <c r="AF818" t="s">
        <v>120</v>
      </c>
      <c r="AG818" t="s">
        <v>120</v>
      </c>
      <c r="AH818" t="s">
        <v>120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31.55</v>
      </c>
      <c r="AP818">
        <v>0</v>
      </c>
      <c r="AQ818">
        <v>0</v>
      </c>
      <c r="AR818">
        <v>70.2</v>
      </c>
      <c r="AS818">
        <v>0</v>
      </c>
    </row>
    <row r="819" spans="1:45" x14ac:dyDescent="0.25">
      <c r="A819" t="s">
        <v>1863</v>
      </c>
      <c r="B819" t="s">
        <v>1864</v>
      </c>
      <c r="C819" t="s">
        <v>147</v>
      </c>
      <c r="D819" t="s">
        <v>1818</v>
      </c>
      <c r="E819" t="s">
        <v>120</v>
      </c>
      <c r="F819" t="s">
        <v>120</v>
      </c>
      <c r="G819" t="s">
        <v>120</v>
      </c>
      <c r="H819" t="s">
        <v>120</v>
      </c>
      <c r="I819" t="s">
        <v>120</v>
      </c>
      <c r="J819" t="s">
        <v>120</v>
      </c>
      <c r="K819" t="s">
        <v>120</v>
      </c>
      <c r="L819" t="s">
        <v>120</v>
      </c>
      <c r="M819" t="s">
        <v>120</v>
      </c>
      <c r="N819" t="s">
        <v>120</v>
      </c>
      <c r="O819" t="s">
        <v>120</v>
      </c>
      <c r="P819" t="s">
        <v>120</v>
      </c>
      <c r="Q819" t="s">
        <v>120</v>
      </c>
      <c r="R819" t="s">
        <v>120</v>
      </c>
      <c r="S819" t="s">
        <v>120</v>
      </c>
      <c r="T819" t="s">
        <v>120</v>
      </c>
      <c r="U819" t="s">
        <v>120</v>
      </c>
      <c r="V819" t="s">
        <v>120</v>
      </c>
      <c r="W819" t="s">
        <v>120</v>
      </c>
      <c r="X819" t="s">
        <v>120</v>
      </c>
      <c r="Y819" t="s">
        <v>120</v>
      </c>
      <c r="Z819" t="s">
        <v>120</v>
      </c>
      <c r="AA819" t="s">
        <v>120</v>
      </c>
      <c r="AB819" t="s">
        <v>120</v>
      </c>
      <c r="AC819" t="s">
        <v>120</v>
      </c>
      <c r="AD819" t="s">
        <v>120</v>
      </c>
      <c r="AE819" t="s">
        <v>120</v>
      </c>
      <c r="AF819" t="s">
        <v>120</v>
      </c>
      <c r="AG819" t="s">
        <v>120</v>
      </c>
      <c r="AH819" t="s">
        <v>120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31.55</v>
      </c>
      <c r="AP819">
        <v>0</v>
      </c>
      <c r="AQ819">
        <v>0</v>
      </c>
      <c r="AR819">
        <v>70.2</v>
      </c>
      <c r="AS819">
        <v>0</v>
      </c>
    </row>
    <row r="820" spans="1:45" x14ac:dyDescent="0.25">
      <c r="A820" t="s">
        <v>1865</v>
      </c>
      <c r="B820" t="s">
        <v>1866</v>
      </c>
      <c r="C820" t="s">
        <v>147</v>
      </c>
      <c r="D820" t="s">
        <v>1818</v>
      </c>
      <c r="E820" t="s">
        <v>120</v>
      </c>
      <c r="F820" t="s">
        <v>120</v>
      </c>
      <c r="G820" t="s">
        <v>120</v>
      </c>
      <c r="H820" t="s">
        <v>120</v>
      </c>
      <c r="I820" t="s">
        <v>120</v>
      </c>
      <c r="J820" t="s">
        <v>120</v>
      </c>
      <c r="K820" t="s">
        <v>120</v>
      </c>
      <c r="L820" t="s">
        <v>120</v>
      </c>
      <c r="M820" t="s">
        <v>120</v>
      </c>
      <c r="N820" t="s">
        <v>120</v>
      </c>
      <c r="O820" t="s">
        <v>120</v>
      </c>
      <c r="P820" t="s">
        <v>120</v>
      </c>
      <c r="Q820" t="s">
        <v>120</v>
      </c>
      <c r="R820" t="s">
        <v>120</v>
      </c>
      <c r="S820" t="s">
        <v>120</v>
      </c>
      <c r="T820" t="s">
        <v>120</v>
      </c>
      <c r="U820" t="s">
        <v>120</v>
      </c>
      <c r="V820" t="s">
        <v>120</v>
      </c>
      <c r="W820" t="s">
        <v>120</v>
      </c>
      <c r="X820" t="s">
        <v>120</v>
      </c>
      <c r="Y820" t="s">
        <v>120</v>
      </c>
      <c r="Z820" t="s">
        <v>120</v>
      </c>
      <c r="AA820" t="s">
        <v>135</v>
      </c>
      <c r="AB820" t="s">
        <v>120</v>
      </c>
      <c r="AC820" t="s">
        <v>120</v>
      </c>
      <c r="AD820" t="s">
        <v>120</v>
      </c>
      <c r="AE820" t="s">
        <v>120</v>
      </c>
      <c r="AF820" t="s">
        <v>120</v>
      </c>
      <c r="AG820" t="s">
        <v>120</v>
      </c>
      <c r="AH820" t="s">
        <v>120</v>
      </c>
      <c r="AJ820">
        <v>0</v>
      </c>
      <c r="AK820">
        <v>8</v>
      </c>
      <c r="AL820">
        <v>0</v>
      </c>
      <c r="AM820">
        <v>8</v>
      </c>
      <c r="AN820">
        <v>0</v>
      </c>
      <c r="AO820">
        <v>28.25</v>
      </c>
      <c r="AP820">
        <v>8</v>
      </c>
      <c r="AQ820">
        <v>0</v>
      </c>
      <c r="AR820">
        <v>70.2</v>
      </c>
      <c r="AS820">
        <v>452</v>
      </c>
    </row>
    <row r="821" spans="1:45" x14ac:dyDescent="0.25">
      <c r="A821" t="s">
        <v>1867</v>
      </c>
      <c r="B821" t="s">
        <v>1868</v>
      </c>
      <c r="C821" t="s">
        <v>147</v>
      </c>
      <c r="D821" t="s">
        <v>1818</v>
      </c>
      <c r="E821" t="s">
        <v>120</v>
      </c>
      <c r="F821" t="s">
        <v>120</v>
      </c>
      <c r="G821" t="s">
        <v>120</v>
      </c>
      <c r="H821" t="s">
        <v>120</v>
      </c>
      <c r="I821" t="s">
        <v>120</v>
      </c>
      <c r="J821" t="s">
        <v>120</v>
      </c>
      <c r="K821" t="s">
        <v>120</v>
      </c>
      <c r="L821" t="s">
        <v>120</v>
      </c>
      <c r="M821" t="s">
        <v>120</v>
      </c>
      <c r="N821" t="s">
        <v>120</v>
      </c>
      <c r="O821" t="s">
        <v>120</v>
      </c>
      <c r="P821" t="s">
        <v>120</v>
      </c>
      <c r="Q821" t="s">
        <v>120</v>
      </c>
      <c r="R821" t="s">
        <v>120</v>
      </c>
      <c r="S821" t="s">
        <v>120</v>
      </c>
      <c r="T821" t="s">
        <v>120</v>
      </c>
      <c r="U821" t="s">
        <v>120</v>
      </c>
      <c r="V821" t="s">
        <v>120</v>
      </c>
      <c r="W821" t="s">
        <v>120</v>
      </c>
      <c r="X821" t="s">
        <v>120</v>
      </c>
      <c r="Y821" t="s">
        <v>120</v>
      </c>
      <c r="Z821" t="s">
        <v>120</v>
      </c>
      <c r="AA821" t="s">
        <v>120</v>
      </c>
      <c r="AB821" t="s">
        <v>120</v>
      </c>
      <c r="AC821" t="s">
        <v>120</v>
      </c>
      <c r="AD821" t="s">
        <v>120</v>
      </c>
      <c r="AE821" t="s">
        <v>120</v>
      </c>
      <c r="AF821" t="s">
        <v>120</v>
      </c>
      <c r="AG821" t="s">
        <v>120</v>
      </c>
      <c r="AH821" t="s">
        <v>120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31.55</v>
      </c>
      <c r="AP821">
        <v>0</v>
      </c>
      <c r="AQ821">
        <v>0</v>
      </c>
      <c r="AR821">
        <v>70.2</v>
      </c>
      <c r="AS821">
        <v>0</v>
      </c>
    </row>
    <row r="822" spans="1:45" x14ac:dyDescent="0.25">
      <c r="A822" t="s">
        <v>1869</v>
      </c>
      <c r="B822" t="s">
        <v>1870</v>
      </c>
      <c r="C822" t="s">
        <v>147</v>
      </c>
      <c r="D822" t="s">
        <v>1818</v>
      </c>
      <c r="E822" t="s">
        <v>120</v>
      </c>
      <c r="F822" t="s">
        <v>120</v>
      </c>
      <c r="G822" t="s">
        <v>120</v>
      </c>
      <c r="H822" t="s">
        <v>120</v>
      </c>
      <c r="I822" t="s">
        <v>120</v>
      </c>
      <c r="J822" t="s">
        <v>120</v>
      </c>
      <c r="K822" t="s">
        <v>120</v>
      </c>
      <c r="L822" t="s">
        <v>120</v>
      </c>
      <c r="M822" t="s">
        <v>120</v>
      </c>
      <c r="N822" t="s">
        <v>120</v>
      </c>
      <c r="O822" t="s">
        <v>120</v>
      </c>
      <c r="P822" t="s">
        <v>120</v>
      </c>
      <c r="Q822" t="s">
        <v>120</v>
      </c>
      <c r="R822" t="s">
        <v>120</v>
      </c>
      <c r="S822" t="s">
        <v>120</v>
      </c>
      <c r="T822" t="s">
        <v>120</v>
      </c>
      <c r="U822" t="s">
        <v>120</v>
      </c>
      <c r="V822" t="s">
        <v>120</v>
      </c>
      <c r="W822" t="s">
        <v>120</v>
      </c>
      <c r="X822" t="s">
        <v>120</v>
      </c>
      <c r="Y822" t="s">
        <v>120</v>
      </c>
      <c r="Z822" t="s">
        <v>120</v>
      </c>
      <c r="AA822" t="s">
        <v>120</v>
      </c>
      <c r="AB822" t="s">
        <v>120</v>
      </c>
      <c r="AC822" t="s">
        <v>120</v>
      </c>
      <c r="AD822" t="s">
        <v>120</v>
      </c>
      <c r="AE822" t="s">
        <v>120</v>
      </c>
      <c r="AF822" t="s">
        <v>120</v>
      </c>
      <c r="AG822" t="s">
        <v>120</v>
      </c>
      <c r="AH822" t="s">
        <v>120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28.25</v>
      </c>
      <c r="AP822">
        <v>0</v>
      </c>
      <c r="AQ822">
        <v>0</v>
      </c>
      <c r="AR822">
        <v>70.2</v>
      </c>
      <c r="AS822">
        <v>0</v>
      </c>
    </row>
    <row r="823" spans="1:45" x14ac:dyDescent="0.25">
      <c r="A823" t="s">
        <v>1871</v>
      </c>
      <c r="B823" t="s">
        <v>1872</v>
      </c>
      <c r="C823" t="s">
        <v>147</v>
      </c>
      <c r="D823" t="s">
        <v>1818</v>
      </c>
      <c r="E823" t="s">
        <v>120</v>
      </c>
      <c r="F823" t="s">
        <v>120</v>
      </c>
      <c r="G823" t="s">
        <v>120</v>
      </c>
      <c r="H823" t="s">
        <v>120</v>
      </c>
      <c r="I823" t="s">
        <v>120</v>
      </c>
      <c r="J823" t="s">
        <v>120</v>
      </c>
      <c r="K823" t="s">
        <v>120</v>
      </c>
      <c r="L823" t="s">
        <v>120</v>
      </c>
      <c r="M823" t="s">
        <v>120</v>
      </c>
      <c r="N823" t="s">
        <v>120</v>
      </c>
      <c r="O823" t="s">
        <v>120</v>
      </c>
      <c r="P823" t="s">
        <v>120</v>
      </c>
      <c r="Q823" t="s">
        <v>120</v>
      </c>
      <c r="R823" t="s">
        <v>120</v>
      </c>
      <c r="S823" t="s">
        <v>120</v>
      </c>
      <c r="T823" t="s">
        <v>120</v>
      </c>
      <c r="U823" t="s">
        <v>120</v>
      </c>
      <c r="V823" t="s">
        <v>120</v>
      </c>
      <c r="W823" t="s">
        <v>120</v>
      </c>
      <c r="X823" t="s">
        <v>120</v>
      </c>
      <c r="Y823" t="s">
        <v>120</v>
      </c>
      <c r="Z823" t="s">
        <v>120</v>
      </c>
      <c r="AA823" t="s">
        <v>120</v>
      </c>
      <c r="AB823" t="s">
        <v>120</v>
      </c>
      <c r="AC823" t="s">
        <v>120</v>
      </c>
      <c r="AD823" t="s">
        <v>120</v>
      </c>
      <c r="AE823" t="s">
        <v>120</v>
      </c>
      <c r="AF823" t="s">
        <v>120</v>
      </c>
      <c r="AG823" t="s">
        <v>120</v>
      </c>
      <c r="AH823" t="s">
        <v>120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31.55</v>
      </c>
      <c r="AP823">
        <v>0</v>
      </c>
      <c r="AQ823">
        <v>0</v>
      </c>
      <c r="AR823">
        <v>70.2</v>
      </c>
      <c r="AS823">
        <v>0</v>
      </c>
    </row>
    <row r="824" spans="1:45" x14ac:dyDescent="0.25">
      <c r="A824" t="s">
        <v>1873</v>
      </c>
      <c r="B824" t="s">
        <v>1874</v>
      </c>
      <c r="C824" t="s">
        <v>147</v>
      </c>
      <c r="D824" t="s">
        <v>1875</v>
      </c>
      <c r="E824" t="s">
        <v>120</v>
      </c>
      <c r="F824" t="s">
        <v>120</v>
      </c>
      <c r="G824" t="s">
        <v>120</v>
      </c>
      <c r="H824" t="s">
        <v>120</v>
      </c>
      <c r="I824" t="s">
        <v>141</v>
      </c>
      <c r="J824" t="s">
        <v>120</v>
      </c>
      <c r="K824" t="s">
        <v>120</v>
      </c>
      <c r="L824" t="s">
        <v>120</v>
      </c>
      <c r="M824" t="s">
        <v>120</v>
      </c>
      <c r="N824" t="s">
        <v>120</v>
      </c>
      <c r="O824" t="s">
        <v>120</v>
      </c>
      <c r="P824" t="s">
        <v>120</v>
      </c>
      <c r="Q824" t="s">
        <v>120</v>
      </c>
      <c r="R824" t="s">
        <v>120</v>
      </c>
      <c r="S824" t="s">
        <v>120</v>
      </c>
      <c r="T824" t="s">
        <v>120</v>
      </c>
      <c r="U824" t="s">
        <v>120</v>
      </c>
      <c r="V824" t="s">
        <v>120</v>
      </c>
      <c r="W824" t="s">
        <v>120</v>
      </c>
      <c r="X824" t="s">
        <v>135</v>
      </c>
      <c r="Y824" t="s">
        <v>120</v>
      </c>
      <c r="Z824" t="s">
        <v>120</v>
      </c>
      <c r="AA824" t="s">
        <v>135</v>
      </c>
      <c r="AB824" t="s">
        <v>120</v>
      </c>
      <c r="AC824" t="s">
        <v>120</v>
      </c>
      <c r="AD824" t="s">
        <v>141</v>
      </c>
      <c r="AE824" t="s">
        <v>120</v>
      </c>
      <c r="AF824" t="s">
        <v>120</v>
      </c>
      <c r="AG824" t="s">
        <v>120</v>
      </c>
      <c r="AH824" t="s">
        <v>120</v>
      </c>
      <c r="AJ824">
        <v>0</v>
      </c>
      <c r="AK824">
        <v>32</v>
      </c>
      <c r="AL824">
        <v>16</v>
      </c>
      <c r="AM824">
        <v>16</v>
      </c>
      <c r="AN824">
        <v>0</v>
      </c>
      <c r="AO824">
        <v>31.55</v>
      </c>
      <c r="AP824">
        <v>32</v>
      </c>
      <c r="AQ824">
        <v>0</v>
      </c>
      <c r="AR824">
        <v>70.2</v>
      </c>
      <c r="AS824">
        <v>2019.2</v>
      </c>
    </row>
    <row r="825" spans="1:45" x14ac:dyDescent="0.25">
      <c r="A825" t="s">
        <v>1876</v>
      </c>
      <c r="B825" t="s">
        <v>1877</v>
      </c>
      <c r="C825" t="s">
        <v>127</v>
      </c>
      <c r="D825" t="s">
        <v>1875</v>
      </c>
      <c r="E825" t="s">
        <v>120</v>
      </c>
      <c r="F825" t="s">
        <v>120</v>
      </c>
      <c r="G825" t="s">
        <v>120</v>
      </c>
      <c r="H825" t="s">
        <v>120</v>
      </c>
      <c r="I825" t="s">
        <v>120</v>
      </c>
      <c r="J825" t="s">
        <v>120</v>
      </c>
      <c r="K825" t="s">
        <v>120</v>
      </c>
      <c r="L825" t="s">
        <v>120</v>
      </c>
      <c r="M825" t="s">
        <v>120</v>
      </c>
      <c r="N825" t="s">
        <v>120</v>
      </c>
      <c r="O825" t="s">
        <v>120</v>
      </c>
      <c r="P825" t="s">
        <v>120</v>
      </c>
      <c r="Q825" t="s">
        <v>120</v>
      </c>
      <c r="R825" t="s">
        <v>120</v>
      </c>
      <c r="S825" t="s">
        <v>120</v>
      </c>
      <c r="T825" t="s">
        <v>120</v>
      </c>
      <c r="U825" t="s">
        <v>120</v>
      </c>
      <c r="V825" t="s">
        <v>120</v>
      </c>
      <c r="W825" t="s">
        <v>120</v>
      </c>
      <c r="X825" t="s">
        <v>120</v>
      </c>
      <c r="Y825" t="s">
        <v>120</v>
      </c>
      <c r="Z825" t="s">
        <v>120</v>
      </c>
      <c r="AA825" t="s">
        <v>120</v>
      </c>
      <c r="AB825" t="s">
        <v>120</v>
      </c>
      <c r="AC825" t="s">
        <v>120</v>
      </c>
      <c r="AD825" t="s">
        <v>120</v>
      </c>
      <c r="AE825" t="s">
        <v>120</v>
      </c>
      <c r="AF825" t="s">
        <v>120</v>
      </c>
      <c r="AG825" t="s">
        <v>120</v>
      </c>
      <c r="AH825" t="s">
        <v>120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33.43</v>
      </c>
      <c r="AP825">
        <v>0</v>
      </c>
      <c r="AQ825">
        <v>0</v>
      </c>
      <c r="AR825">
        <v>75.06</v>
      </c>
      <c r="AS825">
        <v>0</v>
      </c>
    </row>
    <row r="826" spans="1:45" x14ac:dyDescent="0.25">
      <c r="A826" t="s">
        <v>1878</v>
      </c>
      <c r="B826" t="s">
        <v>1879</v>
      </c>
      <c r="C826" t="s">
        <v>127</v>
      </c>
      <c r="D826" t="s">
        <v>1875</v>
      </c>
      <c r="E826" t="s">
        <v>120</v>
      </c>
      <c r="F826" t="s">
        <v>120</v>
      </c>
      <c r="G826" t="s">
        <v>120</v>
      </c>
      <c r="H826" t="s">
        <v>120</v>
      </c>
      <c r="I826" t="s">
        <v>120</v>
      </c>
      <c r="J826" t="s">
        <v>120</v>
      </c>
      <c r="K826" t="s">
        <v>120</v>
      </c>
      <c r="L826" t="s">
        <v>120</v>
      </c>
      <c r="M826" t="s">
        <v>120</v>
      </c>
      <c r="N826" t="s">
        <v>120</v>
      </c>
      <c r="O826" t="s">
        <v>120</v>
      </c>
      <c r="P826" t="s">
        <v>120</v>
      </c>
      <c r="Q826" t="s">
        <v>120</v>
      </c>
      <c r="R826" t="s">
        <v>120</v>
      </c>
      <c r="S826" t="s">
        <v>120</v>
      </c>
      <c r="T826" t="s">
        <v>120</v>
      </c>
      <c r="U826" t="s">
        <v>120</v>
      </c>
      <c r="V826" t="s">
        <v>120</v>
      </c>
      <c r="W826" t="s">
        <v>120</v>
      </c>
      <c r="X826" t="s">
        <v>120</v>
      </c>
      <c r="Y826" t="s">
        <v>120</v>
      </c>
      <c r="Z826" t="s">
        <v>120</v>
      </c>
      <c r="AA826" t="s">
        <v>120</v>
      </c>
      <c r="AB826" t="s">
        <v>120</v>
      </c>
      <c r="AC826" t="s">
        <v>120</v>
      </c>
      <c r="AD826" t="s">
        <v>120</v>
      </c>
      <c r="AE826" t="s">
        <v>120</v>
      </c>
      <c r="AF826" t="s">
        <v>120</v>
      </c>
      <c r="AG826" t="s">
        <v>120</v>
      </c>
      <c r="AH826" t="s">
        <v>120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33.43</v>
      </c>
      <c r="AP826">
        <v>0</v>
      </c>
      <c r="AQ826">
        <v>0</v>
      </c>
      <c r="AR826">
        <v>75.06</v>
      </c>
      <c r="AS826">
        <v>0</v>
      </c>
    </row>
    <row r="827" spans="1:45" x14ac:dyDescent="0.25">
      <c r="A827" t="s">
        <v>1880</v>
      </c>
      <c r="B827" t="s">
        <v>1881</v>
      </c>
      <c r="C827" t="s">
        <v>147</v>
      </c>
      <c r="D827" t="s">
        <v>1875</v>
      </c>
      <c r="E827" t="s">
        <v>120</v>
      </c>
      <c r="F827" t="s">
        <v>120</v>
      </c>
      <c r="G827" t="s">
        <v>120</v>
      </c>
      <c r="H827" t="s">
        <v>120</v>
      </c>
      <c r="I827" t="s">
        <v>120</v>
      </c>
      <c r="J827" t="s">
        <v>120</v>
      </c>
      <c r="K827" t="s">
        <v>120</v>
      </c>
      <c r="L827" t="s">
        <v>120</v>
      </c>
      <c r="M827" t="s">
        <v>120</v>
      </c>
      <c r="N827" t="s">
        <v>1882</v>
      </c>
      <c r="O827" t="s">
        <v>120</v>
      </c>
      <c r="P827" t="s">
        <v>120</v>
      </c>
      <c r="Q827" t="s">
        <v>120</v>
      </c>
      <c r="R827" t="s">
        <v>326</v>
      </c>
      <c r="S827" t="s">
        <v>120</v>
      </c>
      <c r="T827" t="s">
        <v>135</v>
      </c>
      <c r="U827" t="s">
        <v>1882</v>
      </c>
      <c r="V827" t="s">
        <v>120</v>
      </c>
      <c r="W827" t="s">
        <v>120</v>
      </c>
      <c r="X827" t="s">
        <v>120</v>
      </c>
      <c r="Y827" t="s">
        <v>141</v>
      </c>
      <c r="Z827" t="s">
        <v>325</v>
      </c>
      <c r="AA827" t="s">
        <v>120</v>
      </c>
      <c r="AB827" t="s">
        <v>120</v>
      </c>
      <c r="AC827" t="s">
        <v>120</v>
      </c>
      <c r="AD827" t="s">
        <v>120</v>
      </c>
      <c r="AE827" t="s">
        <v>120</v>
      </c>
      <c r="AF827" t="s">
        <v>120</v>
      </c>
      <c r="AG827" t="s">
        <v>120</v>
      </c>
      <c r="AH827" t="s">
        <v>120</v>
      </c>
      <c r="AJ827">
        <v>0</v>
      </c>
      <c r="AK827">
        <v>38</v>
      </c>
      <c r="AL827">
        <v>13.999999999999998</v>
      </c>
      <c r="AM827">
        <v>24</v>
      </c>
      <c r="AN827">
        <v>0</v>
      </c>
      <c r="AO827">
        <v>31.55</v>
      </c>
      <c r="AP827">
        <v>38</v>
      </c>
      <c r="AQ827">
        <v>0</v>
      </c>
      <c r="AR827">
        <v>70.2</v>
      </c>
      <c r="AS827">
        <v>2397.8000000000002</v>
      </c>
    </row>
    <row r="828" spans="1:45" x14ac:dyDescent="0.25">
      <c r="A828" t="s">
        <v>1883</v>
      </c>
      <c r="B828" t="s">
        <v>1884</v>
      </c>
      <c r="C828" t="s">
        <v>127</v>
      </c>
      <c r="D828" t="s">
        <v>1875</v>
      </c>
      <c r="E828" t="s">
        <v>120</v>
      </c>
      <c r="F828" t="s">
        <v>120</v>
      </c>
      <c r="G828" t="s">
        <v>120</v>
      </c>
      <c r="H828" t="s">
        <v>120</v>
      </c>
      <c r="I828" t="s">
        <v>120</v>
      </c>
      <c r="J828" t="s">
        <v>120</v>
      </c>
      <c r="K828" t="s">
        <v>120</v>
      </c>
      <c r="L828" t="s">
        <v>120</v>
      </c>
      <c r="M828" t="s">
        <v>120</v>
      </c>
      <c r="N828" t="s">
        <v>120</v>
      </c>
      <c r="O828" t="s">
        <v>120</v>
      </c>
      <c r="P828" t="s">
        <v>120</v>
      </c>
      <c r="Q828" t="s">
        <v>120</v>
      </c>
      <c r="R828" t="s">
        <v>120</v>
      </c>
      <c r="S828" t="s">
        <v>120</v>
      </c>
      <c r="T828" t="s">
        <v>120</v>
      </c>
      <c r="U828" t="s">
        <v>120</v>
      </c>
      <c r="V828" t="s">
        <v>120</v>
      </c>
      <c r="W828" t="s">
        <v>120</v>
      </c>
      <c r="X828" t="s">
        <v>120</v>
      </c>
      <c r="Y828" t="s">
        <v>120</v>
      </c>
      <c r="Z828" t="s">
        <v>120</v>
      </c>
      <c r="AA828" t="s">
        <v>120</v>
      </c>
      <c r="AB828" t="s">
        <v>120</v>
      </c>
      <c r="AC828" t="s">
        <v>120</v>
      </c>
      <c r="AD828" t="s">
        <v>120</v>
      </c>
      <c r="AE828" t="s">
        <v>120</v>
      </c>
      <c r="AF828" t="s">
        <v>120</v>
      </c>
      <c r="AG828" t="s">
        <v>120</v>
      </c>
      <c r="AH828" t="s">
        <v>120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33.43</v>
      </c>
      <c r="AP828">
        <v>0</v>
      </c>
      <c r="AQ828">
        <v>0</v>
      </c>
      <c r="AR828">
        <v>75.06</v>
      </c>
      <c r="AS828">
        <v>0</v>
      </c>
    </row>
    <row r="829" spans="1:45" x14ac:dyDescent="0.25">
      <c r="A829" t="s">
        <v>1885</v>
      </c>
      <c r="B829" t="s">
        <v>1886</v>
      </c>
      <c r="C829" t="s">
        <v>147</v>
      </c>
      <c r="D829" t="s">
        <v>1875</v>
      </c>
      <c r="E829" t="s">
        <v>120</v>
      </c>
      <c r="F829" t="s">
        <v>120</v>
      </c>
      <c r="G829" t="s">
        <v>120</v>
      </c>
      <c r="H829" t="s">
        <v>120</v>
      </c>
      <c r="I829" t="s">
        <v>141</v>
      </c>
      <c r="J829" t="s">
        <v>120</v>
      </c>
      <c r="K829" t="s">
        <v>120</v>
      </c>
      <c r="L829" t="s">
        <v>120</v>
      </c>
      <c r="M829" t="s">
        <v>120</v>
      </c>
      <c r="N829" t="s">
        <v>120</v>
      </c>
      <c r="O829" t="s">
        <v>120</v>
      </c>
      <c r="P829" t="s">
        <v>120</v>
      </c>
      <c r="Q829" t="s">
        <v>120</v>
      </c>
      <c r="R829" t="s">
        <v>120</v>
      </c>
      <c r="S829" t="s">
        <v>120</v>
      </c>
      <c r="T829" t="s">
        <v>120</v>
      </c>
      <c r="U829" t="s">
        <v>120</v>
      </c>
      <c r="V829" t="s">
        <v>120</v>
      </c>
      <c r="W829" t="s">
        <v>120</v>
      </c>
      <c r="X829" t="s">
        <v>120</v>
      </c>
      <c r="Y829" t="s">
        <v>141</v>
      </c>
      <c r="Z829" t="s">
        <v>331</v>
      </c>
      <c r="AA829" t="s">
        <v>120</v>
      </c>
      <c r="AB829" t="s">
        <v>120</v>
      </c>
      <c r="AC829" t="s">
        <v>120</v>
      </c>
      <c r="AD829" t="s">
        <v>120</v>
      </c>
      <c r="AE829" t="s">
        <v>120</v>
      </c>
      <c r="AF829" t="s">
        <v>120</v>
      </c>
      <c r="AG829" t="s">
        <v>120</v>
      </c>
      <c r="AH829" t="s">
        <v>120</v>
      </c>
      <c r="AJ829">
        <v>0</v>
      </c>
      <c r="AK829">
        <v>18</v>
      </c>
      <c r="AL829">
        <v>18</v>
      </c>
      <c r="AM829">
        <v>0</v>
      </c>
      <c r="AN829">
        <v>0</v>
      </c>
      <c r="AO829">
        <v>28.25</v>
      </c>
      <c r="AP829">
        <v>18</v>
      </c>
      <c r="AQ829">
        <v>0</v>
      </c>
      <c r="AR829">
        <v>70.2</v>
      </c>
      <c r="AS829">
        <v>1017</v>
      </c>
    </row>
    <row r="830" spans="1:45" x14ac:dyDescent="0.25">
      <c r="A830" t="s">
        <v>1887</v>
      </c>
      <c r="B830" t="s">
        <v>1888</v>
      </c>
      <c r="C830" t="s">
        <v>127</v>
      </c>
      <c r="D830" t="s">
        <v>1875</v>
      </c>
      <c r="E830" t="s">
        <v>120</v>
      </c>
      <c r="F830" t="s">
        <v>120</v>
      </c>
      <c r="G830" t="s">
        <v>120</v>
      </c>
      <c r="H830" t="s">
        <v>120</v>
      </c>
      <c r="I830" t="s">
        <v>141</v>
      </c>
      <c r="J830" t="s">
        <v>120</v>
      </c>
      <c r="K830" t="s">
        <v>120</v>
      </c>
      <c r="L830" t="s">
        <v>120</v>
      </c>
      <c r="M830" t="s">
        <v>120</v>
      </c>
      <c r="N830" t="s">
        <v>120</v>
      </c>
      <c r="O830" t="s">
        <v>120</v>
      </c>
      <c r="P830" t="s">
        <v>120</v>
      </c>
      <c r="Q830" t="s">
        <v>120</v>
      </c>
      <c r="R830" t="s">
        <v>120</v>
      </c>
      <c r="S830" t="s">
        <v>120</v>
      </c>
      <c r="T830" t="s">
        <v>120</v>
      </c>
      <c r="U830" t="s">
        <v>120</v>
      </c>
      <c r="V830" t="s">
        <v>120</v>
      </c>
      <c r="W830" t="s">
        <v>120</v>
      </c>
      <c r="X830" t="s">
        <v>120</v>
      </c>
      <c r="Y830" t="s">
        <v>120</v>
      </c>
      <c r="Z830" t="s">
        <v>120</v>
      </c>
      <c r="AA830" t="s">
        <v>120</v>
      </c>
      <c r="AB830" t="s">
        <v>120</v>
      </c>
      <c r="AC830" t="s">
        <v>120</v>
      </c>
      <c r="AD830" t="s">
        <v>120</v>
      </c>
      <c r="AE830" t="s">
        <v>120</v>
      </c>
      <c r="AF830" t="s">
        <v>120</v>
      </c>
      <c r="AG830" t="s">
        <v>120</v>
      </c>
      <c r="AH830" t="s">
        <v>120</v>
      </c>
      <c r="AJ830">
        <v>0</v>
      </c>
      <c r="AK830">
        <v>8</v>
      </c>
      <c r="AL830">
        <v>8</v>
      </c>
      <c r="AM830">
        <v>0</v>
      </c>
      <c r="AN830">
        <v>0</v>
      </c>
      <c r="AO830">
        <v>33.43</v>
      </c>
      <c r="AP830">
        <v>8</v>
      </c>
      <c r="AQ830">
        <v>0</v>
      </c>
      <c r="AR830">
        <v>75.06</v>
      </c>
      <c r="AS830">
        <v>534.88</v>
      </c>
    </row>
    <row r="831" spans="1:45" x14ac:dyDescent="0.25">
      <c r="A831" t="s">
        <v>1889</v>
      </c>
      <c r="B831" t="s">
        <v>1890</v>
      </c>
      <c r="C831" t="s">
        <v>147</v>
      </c>
      <c r="D831" t="s">
        <v>1875</v>
      </c>
      <c r="E831" t="s">
        <v>120</v>
      </c>
      <c r="F831" t="s">
        <v>120</v>
      </c>
      <c r="G831" t="s">
        <v>120</v>
      </c>
      <c r="H831" t="s">
        <v>120</v>
      </c>
      <c r="I831" t="s">
        <v>120</v>
      </c>
      <c r="J831" t="s">
        <v>120</v>
      </c>
      <c r="K831" t="s">
        <v>120</v>
      </c>
      <c r="L831" t="s">
        <v>120</v>
      </c>
      <c r="M831" t="s">
        <v>120</v>
      </c>
      <c r="N831" t="s">
        <v>120</v>
      </c>
      <c r="O831" t="s">
        <v>120</v>
      </c>
      <c r="P831" t="s">
        <v>120</v>
      </c>
      <c r="Q831" t="s">
        <v>120</v>
      </c>
      <c r="R831" t="s">
        <v>120</v>
      </c>
      <c r="S831" t="s">
        <v>120</v>
      </c>
      <c r="T831" t="s">
        <v>120</v>
      </c>
      <c r="U831" t="s">
        <v>120</v>
      </c>
      <c r="V831" t="s">
        <v>120</v>
      </c>
      <c r="W831" t="s">
        <v>120</v>
      </c>
      <c r="X831" t="s">
        <v>120</v>
      </c>
      <c r="Y831" t="s">
        <v>120</v>
      </c>
      <c r="Z831" t="s">
        <v>120</v>
      </c>
      <c r="AA831" t="s">
        <v>120</v>
      </c>
      <c r="AB831" t="s">
        <v>120</v>
      </c>
      <c r="AC831" t="s">
        <v>120</v>
      </c>
      <c r="AD831" t="s">
        <v>120</v>
      </c>
      <c r="AE831" t="s">
        <v>120</v>
      </c>
      <c r="AF831" t="s">
        <v>120</v>
      </c>
      <c r="AG831" t="s">
        <v>120</v>
      </c>
      <c r="AH831" t="s">
        <v>120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31.55</v>
      </c>
      <c r="AP831">
        <v>0</v>
      </c>
      <c r="AQ831">
        <v>0</v>
      </c>
      <c r="AR831">
        <v>70.2</v>
      </c>
      <c r="AS831">
        <v>0</v>
      </c>
    </row>
    <row r="832" spans="1:45" x14ac:dyDescent="0.25">
      <c r="A832" t="s">
        <v>1891</v>
      </c>
      <c r="B832" t="s">
        <v>1892</v>
      </c>
      <c r="C832" t="s">
        <v>147</v>
      </c>
      <c r="D832" t="s">
        <v>1875</v>
      </c>
      <c r="E832" t="s">
        <v>120</v>
      </c>
      <c r="F832" t="s">
        <v>120</v>
      </c>
      <c r="G832" t="s">
        <v>120</v>
      </c>
      <c r="H832" t="s">
        <v>120</v>
      </c>
      <c r="I832" t="s">
        <v>120</v>
      </c>
      <c r="J832" t="s">
        <v>120</v>
      </c>
      <c r="K832" t="s">
        <v>120</v>
      </c>
      <c r="L832" t="s">
        <v>120</v>
      </c>
      <c r="M832" t="s">
        <v>120</v>
      </c>
      <c r="N832" t="s">
        <v>120</v>
      </c>
      <c r="O832" t="s">
        <v>120</v>
      </c>
      <c r="P832" t="s">
        <v>120</v>
      </c>
      <c r="Q832" t="s">
        <v>120</v>
      </c>
      <c r="R832" t="s">
        <v>120</v>
      </c>
      <c r="S832" t="s">
        <v>120</v>
      </c>
      <c r="T832" t="s">
        <v>120</v>
      </c>
      <c r="U832" t="s">
        <v>120</v>
      </c>
      <c r="V832" t="s">
        <v>120</v>
      </c>
      <c r="W832" t="s">
        <v>120</v>
      </c>
      <c r="X832" t="s">
        <v>120</v>
      </c>
      <c r="Y832" t="s">
        <v>120</v>
      </c>
      <c r="Z832" t="s">
        <v>120</v>
      </c>
      <c r="AA832" t="s">
        <v>120</v>
      </c>
      <c r="AB832" t="s">
        <v>120</v>
      </c>
      <c r="AC832" t="s">
        <v>120</v>
      </c>
      <c r="AD832" t="s">
        <v>141</v>
      </c>
      <c r="AE832" t="s">
        <v>120</v>
      </c>
      <c r="AF832" t="s">
        <v>120</v>
      </c>
      <c r="AG832" t="s">
        <v>120</v>
      </c>
      <c r="AH832" t="s">
        <v>120</v>
      </c>
      <c r="AJ832">
        <v>0</v>
      </c>
      <c r="AK832">
        <v>8</v>
      </c>
      <c r="AL832">
        <v>8</v>
      </c>
      <c r="AM832">
        <v>0</v>
      </c>
      <c r="AN832">
        <v>0</v>
      </c>
      <c r="AO832">
        <v>31.55</v>
      </c>
      <c r="AP832">
        <v>8</v>
      </c>
      <c r="AQ832">
        <v>0</v>
      </c>
      <c r="AR832">
        <v>70.2</v>
      </c>
      <c r="AS832">
        <v>504.8</v>
      </c>
    </row>
    <row r="833" spans="1:45" x14ac:dyDescent="0.25">
      <c r="A833" t="s">
        <v>1893</v>
      </c>
      <c r="B833" t="s">
        <v>1894</v>
      </c>
      <c r="C833" t="s">
        <v>147</v>
      </c>
      <c r="D833" t="s">
        <v>1875</v>
      </c>
      <c r="E833" t="s">
        <v>120</v>
      </c>
      <c r="F833" t="s">
        <v>120</v>
      </c>
      <c r="G833" t="s">
        <v>120</v>
      </c>
      <c r="H833" t="s">
        <v>120</v>
      </c>
      <c r="I833" t="s">
        <v>141</v>
      </c>
      <c r="J833" t="s">
        <v>120</v>
      </c>
      <c r="K833" t="s">
        <v>120</v>
      </c>
      <c r="L833" t="s">
        <v>120</v>
      </c>
      <c r="M833" t="s">
        <v>120</v>
      </c>
      <c r="N833" t="s">
        <v>120</v>
      </c>
      <c r="O833" t="s">
        <v>120</v>
      </c>
      <c r="P833" t="s">
        <v>120</v>
      </c>
      <c r="Q833" t="s">
        <v>120</v>
      </c>
      <c r="R833" t="s">
        <v>120</v>
      </c>
      <c r="S833" t="s">
        <v>120</v>
      </c>
      <c r="T833" t="s">
        <v>120</v>
      </c>
      <c r="U833" t="s">
        <v>120</v>
      </c>
      <c r="V833" t="s">
        <v>120</v>
      </c>
      <c r="W833" t="s">
        <v>120</v>
      </c>
      <c r="X833" t="s">
        <v>120</v>
      </c>
      <c r="Y833" t="s">
        <v>120</v>
      </c>
      <c r="Z833" t="s">
        <v>120</v>
      </c>
      <c r="AA833" t="s">
        <v>120</v>
      </c>
      <c r="AB833" t="s">
        <v>120</v>
      </c>
      <c r="AC833" t="s">
        <v>120</v>
      </c>
      <c r="AD833" t="s">
        <v>120</v>
      </c>
      <c r="AE833" t="s">
        <v>120</v>
      </c>
      <c r="AF833" t="s">
        <v>120</v>
      </c>
      <c r="AG833" t="s">
        <v>120</v>
      </c>
      <c r="AH833" t="s">
        <v>120</v>
      </c>
      <c r="AJ833">
        <v>0</v>
      </c>
      <c r="AK833">
        <v>8</v>
      </c>
      <c r="AL833">
        <v>8</v>
      </c>
      <c r="AM833">
        <v>0</v>
      </c>
      <c r="AN833">
        <v>0</v>
      </c>
      <c r="AO833">
        <v>31.55</v>
      </c>
      <c r="AP833">
        <v>8</v>
      </c>
      <c r="AQ833">
        <v>0</v>
      </c>
      <c r="AR833">
        <v>70.2</v>
      </c>
      <c r="AS833">
        <v>504.8</v>
      </c>
    </row>
    <row r="834" spans="1:45" x14ac:dyDescent="0.25">
      <c r="A834" t="s">
        <v>1895</v>
      </c>
      <c r="B834" t="s">
        <v>1896</v>
      </c>
      <c r="C834" t="s">
        <v>147</v>
      </c>
      <c r="D834" t="s">
        <v>1875</v>
      </c>
      <c r="E834" t="s">
        <v>120</v>
      </c>
      <c r="F834" t="s">
        <v>120</v>
      </c>
      <c r="G834" t="s">
        <v>120</v>
      </c>
      <c r="H834" t="s">
        <v>120</v>
      </c>
      <c r="I834" t="s">
        <v>120</v>
      </c>
      <c r="J834" t="s">
        <v>120</v>
      </c>
      <c r="K834" t="s">
        <v>120</v>
      </c>
      <c r="L834" t="s">
        <v>120</v>
      </c>
      <c r="M834" t="s">
        <v>120</v>
      </c>
      <c r="N834" t="s">
        <v>120</v>
      </c>
      <c r="O834" t="s">
        <v>120</v>
      </c>
      <c r="P834" t="s">
        <v>120</v>
      </c>
      <c r="Q834" t="s">
        <v>120</v>
      </c>
      <c r="R834" t="s">
        <v>120</v>
      </c>
      <c r="S834" t="s">
        <v>120</v>
      </c>
      <c r="T834" t="s">
        <v>120</v>
      </c>
      <c r="U834" t="s">
        <v>120</v>
      </c>
      <c r="V834" t="s">
        <v>120</v>
      </c>
      <c r="W834" t="s">
        <v>120</v>
      </c>
      <c r="X834" t="s">
        <v>120</v>
      </c>
      <c r="Y834" t="s">
        <v>120</v>
      </c>
      <c r="Z834" t="s">
        <v>120</v>
      </c>
      <c r="AA834" t="s">
        <v>120</v>
      </c>
      <c r="AB834" t="s">
        <v>120</v>
      </c>
      <c r="AC834" t="s">
        <v>120</v>
      </c>
      <c r="AD834" t="s">
        <v>120</v>
      </c>
      <c r="AE834" t="s">
        <v>120</v>
      </c>
      <c r="AF834" t="s">
        <v>120</v>
      </c>
      <c r="AG834" t="s">
        <v>120</v>
      </c>
      <c r="AH834" t="s">
        <v>120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31.55</v>
      </c>
      <c r="AP834">
        <v>0</v>
      </c>
      <c r="AQ834">
        <v>0</v>
      </c>
      <c r="AR834">
        <v>70.2</v>
      </c>
      <c r="AS834">
        <v>0</v>
      </c>
    </row>
    <row r="835" spans="1:45" x14ac:dyDescent="0.25">
      <c r="A835" t="s">
        <v>1897</v>
      </c>
      <c r="B835" t="s">
        <v>1898</v>
      </c>
      <c r="C835" t="s">
        <v>147</v>
      </c>
      <c r="D835" t="s">
        <v>1875</v>
      </c>
      <c r="E835" t="s">
        <v>120</v>
      </c>
      <c r="F835" t="s">
        <v>120</v>
      </c>
      <c r="G835" t="s">
        <v>120</v>
      </c>
      <c r="H835" t="s">
        <v>120</v>
      </c>
      <c r="I835" t="s">
        <v>120</v>
      </c>
      <c r="J835" t="s">
        <v>120</v>
      </c>
      <c r="K835" t="s">
        <v>120</v>
      </c>
      <c r="L835" t="s">
        <v>120</v>
      </c>
      <c r="M835" t="s">
        <v>120</v>
      </c>
      <c r="N835" t="s">
        <v>120</v>
      </c>
      <c r="O835" t="s">
        <v>120</v>
      </c>
      <c r="P835" t="s">
        <v>120</v>
      </c>
      <c r="Q835" t="s">
        <v>120</v>
      </c>
      <c r="R835" t="s">
        <v>120</v>
      </c>
      <c r="S835" t="s">
        <v>120</v>
      </c>
      <c r="T835" t="s">
        <v>120</v>
      </c>
      <c r="U835" t="s">
        <v>120</v>
      </c>
      <c r="V835" t="s">
        <v>120</v>
      </c>
      <c r="W835" t="s">
        <v>120</v>
      </c>
      <c r="X835" t="s">
        <v>120</v>
      </c>
      <c r="Y835" t="s">
        <v>120</v>
      </c>
      <c r="Z835" t="s">
        <v>120</v>
      </c>
      <c r="AA835" t="s">
        <v>120</v>
      </c>
      <c r="AB835" t="s">
        <v>120</v>
      </c>
      <c r="AC835" t="s">
        <v>120</v>
      </c>
      <c r="AD835" t="s">
        <v>120</v>
      </c>
      <c r="AE835" t="s">
        <v>120</v>
      </c>
      <c r="AF835" t="s">
        <v>120</v>
      </c>
      <c r="AG835" t="s">
        <v>120</v>
      </c>
      <c r="AH835" t="s">
        <v>120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31.55</v>
      </c>
      <c r="AP835">
        <v>0</v>
      </c>
      <c r="AQ835">
        <v>0</v>
      </c>
      <c r="AR835">
        <v>70.2</v>
      </c>
      <c r="AS835">
        <v>0</v>
      </c>
    </row>
    <row r="836" spans="1:45" x14ac:dyDescent="0.25">
      <c r="A836" t="s">
        <v>1899</v>
      </c>
      <c r="B836" t="s">
        <v>1900</v>
      </c>
      <c r="C836" t="s">
        <v>147</v>
      </c>
      <c r="D836" t="s">
        <v>1875</v>
      </c>
      <c r="E836" t="s">
        <v>120</v>
      </c>
      <c r="F836" t="s">
        <v>120</v>
      </c>
      <c r="G836" t="s">
        <v>120</v>
      </c>
      <c r="H836" t="s">
        <v>120</v>
      </c>
      <c r="I836" t="s">
        <v>120</v>
      </c>
      <c r="J836" t="s">
        <v>120</v>
      </c>
      <c r="K836" t="s">
        <v>120</v>
      </c>
      <c r="L836" t="s">
        <v>120</v>
      </c>
      <c r="M836" t="s">
        <v>120</v>
      </c>
      <c r="N836" t="s">
        <v>120</v>
      </c>
      <c r="O836" t="s">
        <v>120</v>
      </c>
      <c r="P836" t="s">
        <v>120</v>
      </c>
      <c r="Q836" t="s">
        <v>120</v>
      </c>
      <c r="R836" t="s">
        <v>120</v>
      </c>
      <c r="S836" t="s">
        <v>120</v>
      </c>
      <c r="T836" t="s">
        <v>120</v>
      </c>
      <c r="U836" t="s">
        <v>120</v>
      </c>
      <c r="V836" t="s">
        <v>120</v>
      </c>
      <c r="W836" t="s">
        <v>120</v>
      </c>
      <c r="X836" t="s">
        <v>120</v>
      </c>
      <c r="Y836" t="s">
        <v>120</v>
      </c>
      <c r="Z836" t="s">
        <v>120</v>
      </c>
      <c r="AA836" t="s">
        <v>120</v>
      </c>
      <c r="AB836" t="s">
        <v>120</v>
      </c>
      <c r="AC836" t="s">
        <v>120</v>
      </c>
      <c r="AD836" t="s">
        <v>120</v>
      </c>
      <c r="AE836" t="s">
        <v>120</v>
      </c>
      <c r="AF836" t="s">
        <v>120</v>
      </c>
      <c r="AG836" t="s">
        <v>120</v>
      </c>
      <c r="AH836" t="s">
        <v>120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28.25</v>
      </c>
      <c r="AP836">
        <v>0</v>
      </c>
      <c r="AQ836">
        <v>0</v>
      </c>
      <c r="AR836">
        <v>70.2</v>
      </c>
      <c r="AS836">
        <v>0</v>
      </c>
    </row>
    <row r="837" spans="1:45" x14ac:dyDescent="0.25">
      <c r="A837" t="s">
        <v>1901</v>
      </c>
      <c r="B837" t="s">
        <v>1902</v>
      </c>
      <c r="C837" t="s">
        <v>147</v>
      </c>
      <c r="D837" t="s">
        <v>1875</v>
      </c>
      <c r="E837" t="s">
        <v>120</v>
      </c>
      <c r="F837" t="s">
        <v>120</v>
      </c>
      <c r="G837" t="s">
        <v>120</v>
      </c>
      <c r="H837" t="s">
        <v>120</v>
      </c>
      <c r="I837" t="s">
        <v>120</v>
      </c>
      <c r="J837" t="s">
        <v>120</v>
      </c>
      <c r="K837" t="s">
        <v>120</v>
      </c>
      <c r="L837" t="s">
        <v>120</v>
      </c>
      <c r="M837" t="s">
        <v>120</v>
      </c>
      <c r="N837" t="s">
        <v>120</v>
      </c>
      <c r="O837" t="s">
        <v>120</v>
      </c>
      <c r="P837" t="s">
        <v>120</v>
      </c>
      <c r="Q837" t="s">
        <v>120</v>
      </c>
      <c r="R837" t="s">
        <v>120</v>
      </c>
      <c r="S837" t="s">
        <v>120</v>
      </c>
      <c r="T837" t="s">
        <v>120</v>
      </c>
      <c r="U837" t="s">
        <v>120</v>
      </c>
      <c r="V837" t="s">
        <v>120</v>
      </c>
      <c r="W837" t="s">
        <v>120</v>
      </c>
      <c r="X837" t="s">
        <v>120</v>
      </c>
      <c r="Y837" t="s">
        <v>120</v>
      </c>
      <c r="Z837" t="s">
        <v>120</v>
      </c>
      <c r="AA837" t="s">
        <v>120</v>
      </c>
      <c r="AB837" t="s">
        <v>120</v>
      </c>
      <c r="AC837" t="s">
        <v>120</v>
      </c>
      <c r="AD837" t="s">
        <v>120</v>
      </c>
      <c r="AE837" t="s">
        <v>120</v>
      </c>
      <c r="AF837" t="s">
        <v>120</v>
      </c>
      <c r="AG837" t="s">
        <v>120</v>
      </c>
      <c r="AH837" t="s">
        <v>120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28.25</v>
      </c>
      <c r="AP837">
        <v>0</v>
      </c>
      <c r="AQ837">
        <v>0</v>
      </c>
      <c r="AR837">
        <v>70.2</v>
      </c>
      <c r="AS837">
        <v>0</v>
      </c>
    </row>
    <row r="838" spans="1:45" x14ac:dyDescent="0.25">
      <c r="A838" t="s">
        <v>1903</v>
      </c>
      <c r="B838" t="s">
        <v>1904</v>
      </c>
      <c r="C838" t="s">
        <v>147</v>
      </c>
      <c r="D838" t="s">
        <v>1875</v>
      </c>
      <c r="E838" t="s">
        <v>120</v>
      </c>
      <c r="F838" t="s">
        <v>120</v>
      </c>
      <c r="G838" t="s">
        <v>120</v>
      </c>
      <c r="H838" t="s">
        <v>120</v>
      </c>
      <c r="I838" t="s">
        <v>120</v>
      </c>
      <c r="J838" t="s">
        <v>120</v>
      </c>
      <c r="K838" t="s">
        <v>120</v>
      </c>
      <c r="L838" t="s">
        <v>120</v>
      </c>
      <c r="M838" t="s">
        <v>120</v>
      </c>
      <c r="N838" t="s">
        <v>120</v>
      </c>
      <c r="O838" t="s">
        <v>120</v>
      </c>
      <c r="P838" t="s">
        <v>120</v>
      </c>
      <c r="Q838" t="s">
        <v>120</v>
      </c>
      <c r="R838" t="s">
        <v>120</v>
      </c>
      <c r="S838" t="s">
        <v>120</v>
      </c>
      <c r="T838" t="s">
        <v>120</v>
      </c>
      <c r="U838" t="s">
        <v>120</v>
      </c>
      <c r="V838" t="s">
        <v>120</v>
      </c>
      <c r="W838" t="s">
        <v>120</v>
      </c>
      <c r="X838" t="s">
        <v>120</v>
      </c>
      <c r="Y838" t="s">
        <v>120</v>
      </c>
      <c r="Z838" t="s">
        <v>120</v>
      </c>
      <c r="AA838" t="s">
        <v>120</v>
      </c>
      <c r="AB838" t="s">
        <v>120</v>
      </c>
      <c r="AC838" t="s">
        <v>120</v>
      </c>
      <c r="AD838" t="s">
        <v>120</v>
      </c>
      <c r="AE838" t="s">
        <v>120</v>
      </c>
      <c r="AF838" t="s">
        <v>120</v>
      </c>
      <c r="AG838" t="s">
        <v>120</v>
      </c>
      <c r="AH838" t="s">
        <v>120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31.55</v>
      </c>
      <c r="AP838">
        <v>0</v>
      </c>
      <c r="AQ838">
        <v>0</v>
      </c>
      <c r="AR838">
        <v>70.2</v>
      </c>
      <c r="AS838">
        <v>0</v>
      </c>
    </row>
    <row r="839" spans="1:45" x14ac:dyDescent="0.25">
      <c r="A839" t="s">
        <v>1905</v>
      </c>
      <c r="B839" t="s">
        <v>1906</v>
      </c>
      <c r="C839" t="s">
        <v>147</v>
      </c>
      <c r="D839" t="s">
        <v>1875</v>
      </c>
      <c r="E839" t="s">
        <v>120</v>
      </c>
      <c r="F839" t="s">
        <v>120</v>
      </c>
      <c r="G839" t="s">
        <v>120</v>
      </c>
      <c r="H839" t="s">
        <v>120</v>
      </c>
      <c r="I839" t="s">
        <v>120</v>
      </c>
      <c r="J839" t="s">
        <v>120</v>
      </c>
      <c r="K839" t="s">
        <v>120</v>
      </c>
      <c r="L839" t="s">
        <v>120</v>
      </c>
      <c r="M839" t="s">
        <v>120</v>
      </c>
      <c r="N839" t="s">
        <v>135</v>
      </c>
      <c r="O839" t="s">
        <v>135</v>
      </c>
      <c r="P839" t="s">
        <v>120</v>
      </c>
      <c r="Q839" t="s">
        <v>120</v>
      </c>
      <c r="R839" t="s">
        <v>120</v>
      </c>
      <c r="S839" t="s">
        <v>120</v>
      </c>
      <c r="T839" t="s">
        <v>120</v>
      </c>
      <c r="U839" t="s">
        <v>120</v>
      </c>
      <c r="V839" t="s">
        <v>120</v>
      </c>
      <c r="W839" t="s">
        <v>120</v>
      </c>
      <c r="X839" t="s">
        <v>120</v>
      </c>
      <c r="Y839" t="s">
        <v>120</v>
      </c>
      <c r="Z839" t="s">
        <v>120</v>
      </c>
      <c r="AA839" t="s">
        <v>120</v>
      </c>
      <c r="AB839" t="s">
        <v>120</v>
      </c>
      <c r="AC839" t="s">
        <v>120</v>
      </c>
      <c r="AD839" t="s">
        <v>120</v>
      </c>
      <c r="AE839" t="s">
        <v>120</v>
      </c>
      <c r="AF839" t="s">
        <v>120</v>
      </c>
      <c r="AG839" t="s">
        <v>120</v>
      </c>
      <c r="AH839" t="s">
        <v>120</v>
      </c>
      <c r="AJ839">
        <v>0</v>
      </c>
      <c r="AK839">
        <v>16</v>
      </c>
      <c r="AL839">
        <v>0</v>
      </c>
      <c r="AM839">
        <v>16</v>
      </c>
      <c r="AN839">
        <v>0</v>
      </c>
      <c r="AO839">
        <v>31.55</v>
      </c>
      <c r="AP839">
        <v>16</v>
      </c>
      <c r="AQ839">
        <v>0</v>
      </c>
      <c r="AR839">
        <v>70.2</v>
      </c>
      <c r="AS839">
        <v>1009.6</v>
      </c>
    </row>
    <row r="840" spans="1:45" x14ac:dyDescent="0.25">
      <c r="A840" t="s">
        <v>1907</v>
      </c>
      <c r="B840" t="s">
        <v>1908</v>
      </c>
      <c r="C840" t="s">
        <v>147</v>
      </c>
      <c r="D840" t="s">
        <v>1875</v>
      </c>
      <c r="E840" t="s">
        <v>120</v>
      </c>
      <c r="F840" t="s">
        <v>120</v>
      </c>
      <c r="G840" t="s">
        <v>120</v>
      </c>
      <c r="H840" t="s">
        <v>120</v>
      </c>
      <c r="I840" t="s">
        <v>141</v>
      </c>
      <c r="J840" t="s">
        <v>120</v>
      </c>
      <c r="K840" t="s">
        <v>120</v>
      </c>
      <c r="L840" t="s">
        <v>120</v>
      </c>
      <c r="M840" t="s">
        <v>120</v>
      </c>
      <c r="N840" t="s">
        <v>120</v>
      </c>
      <c r="O840" t="s">
        <v>120</v>
      </c>
      <c r="P840" t="s">
        <v>120</v>
      </c>
      <c r="Q840" t="s">
        <v>120</v>
      </c>
      <c r="R840" t="s">
        <v>120</v>
      </c>
      <c r="S840" t="s">
        <v>120</v>
      </c>
      <c r="T840" t="s">
        <v>120</v>
      </c>
      <c r="U840" t="s">
        <v>120</v>
      </c>
      <c r="V840" t="s">
        <v>120</v>
      </c>
      <c r="W840" t="s">
        <v>120</v>
      </c>
      <c r="X840" t="s">
        <v>120</v>
      </c>
      <c r="Y840" t="s">
        <v>141</v>
      </c>
      <c r="Z840" t="s">
        <v>325</v>
      </c>
      <c r="AA840" t="s">
        <v>120</v>
      </c>
      <c r="AB840" t="s">
        <v>120</v>
      </c>
      <c r="AC840" t="s">
        <v>120</v>
      </c>
      <c r="AD840" t="s">
        <v>120</v>
      </c>
      <c r="AE840" t="s">
        <v>120</v>
      </c>
      <c r="AF840" t="s">
        <v>120</v>
      </c>
      <c r="AG840" t="s">
        <v>120</v>
      </c>
      <c r="AH840" t="s">
        <v>120</v>
      </c>
      <c r="AJ840">
        <v>0</v>
      </c>
      <c r="AK840">
        <v>22</v>
      </c>
      <c r="AL840">
        <v>22</v>
      </c>
      <c r="AM840">
        <v>0</v>
      </c>
      <c r="AN840">
        <v>0</v>
      </c>
      <c r="AO840">
        <v>31.55</v>
      </c>
      <c r="AP840">
        <v>22</v>
      </c>
      <c r="AQ840">
        <v>0</v>
      </c>
      <c r="AR840">
        <v>70.2</v>
      </c>
      <c r="AS840">
        <v>1388.2</v>
      </c>
    </row>
    <row r="841" spans="1:45" x14ac:dyDescent="0.25">
      <c r="A841" t="s">
        <v>1909</v>
      </c>
      <c r="B841" t="s">
        <v>1910</v>
      </c>
      <c r="C841" t="s">
        <v>147</v>
      </c>
      <c r="D841" t="s">
        <v>1875</v>
      </c>
      <c r="E841" t="s">
        <v>120</v>
      </c>
      <c r="F841" t="s">
        <v>120</v>
      </c>
      <c r="G841" t="s">
        <v>120</v>
      </c>
      <c r="H841" t="s">
        <v>120</v>
      </c>
      <c r="I841" t="s">
        <v>120</v>
      </c>
      <c r="J841" t="s">
        <v>120</v>
      </c>
      <c r="K841" t="s">
        <v>120</v>
      </c>
      <c r="L841" t="s">
        <v>120</v>
      </c>
      <c r="M841" t="s">
        <v>120</v>
      </c>
      <c r="N841" t="s">
        <v>120</v>
      </c>
      <c r="O841" t="s">
        <v>120</v>
      </c>
      <c r="P841" t="s">
        <v>120</v>
      </c>
      <c r="Q841" t="s">
        <v>120</v>
      </c>
      <c r="R841" t="s">
        <v>120</v>
      </c>
      <c r="S841" t="s">
        <v>120</v>
      </c>
      <c r="T841" t="s">
        <v>324</v>
      </c>
      <c r="U841" t="s">
        <v>141</v>
      </c>
      <c r="V841" t="s">
        <v>120</v>
      </c>
      <c r="W841" t="s">
        <v>120</v>
      </c>
      <c r="X841" t="s">
        <v>120</v>
      </c>
      <c r="Y841" t="s">
        <v>141</v>
      </c>
      <c r="Z841" t="s">
        <v>141</v>
      </c>
      <c r="AA841" t="s">
        <v>120</v>
      </c>
      <c r="AB841" t="s">
        <v>120</v>
      </c>
      <c r="AC841" t="s">
        <v>120</v>
      </c>
      <c r="AD841" t="s">
        <v>120</v>
      </c>
      <c r="AE841" t="s">
        <v>120</v>
      </c>
      <c r="AF841" t="s">
        <v>120</v>
      </c>
      <c r="AG841" t="s">
        <v>141</v>
      </c>
      <c r="AH841" t="s">
        <v>120</v>
      </c>
      <c r="AJ841">
        <v>0</v>
      </c>
      <c r="AK841">
        <v>32.999999999999993</v>
      </c>
      <c r="AL841">
        <v>32.999999999999993</v>
      </c>
      <c r="AM841">
        <v>0</v>
      </c>
      <c r="AN841">
        <v>0</v>
      </c>
      <c r="AO841">
        <v>31.55</v>
      </c>
      <c r="AP841">
        <v>32.999999999999993</v>
      </c>
      <c r="AQ841">
        <v>0</v>
      </c>
      <c r="AR841">
        <v>70.2</v>
      </c>
      <c r="AS841">
        <v>2082.2999999999997</v>
      </c>
    </row>
    <row r="842" spans="1:45" x14ac:dyDescent="0.25">
      <c r="A842" t="s">
        <v>1911</v>
      </c>
      <c r="B842" t="s">
        <v>1912</v>
      </c>
      <c r="C842" t="s">
        <v>147</v>
      </c>
      <c r="D842" t="s">
        <v>1875</v>
      </c>
      <c r="E842" t="s">
        <v>120</v>
      </c>
      <c r="F842" t="s">
        <v>120</v>
      </c>
      <c r="G842" t="s">
        <v>120</v>
      </c>
      <c r="H842" t="s">
        <v>120</v>
      </c>
      <c r="I842" t="s">
        <v>120</v>
      </c>
      <c r="J842" t="s">
        <v>120</v>
      </c>
      <c r="K842" t="s">
        <v>120</v>
      </c>
      <c r="L842" t="s">
        <v>120</v>
      </c>
      <c r="M842" t="s">
        <v>120</v>
      </c>
      <c r="N842" t="s">
        <v>120</v>
      </c>
      <c r="O842" t="s">
        <v>120</v>
      </c>
      <c r="P842" t="s">
        <v>120</v>
      </c>
      <c r="Q842" t="s">
        <v>120</v>
      </c>
      <c r="R842" t="s">
        <v>120</v>
      </c>
      <c r="S842" t="s">
        <v>120</v>
      </c>
      <c r="T842" t="s">
        <v>120</v>
      </c>
      <c r="U842" t="s">
        <v>120</v>
      </c>
      <c r="V842" t="s">
        <v>120</v>
      </c>
      <c r="W842" t="s">
        <v>120</v>
      </c>
      <c r="X842" t="s">
        <v>120</v>
      </c>
      <c r="Y842" t="s">
        <v>341</v>
      </c>
      <c r="Z842" t="s">
        <v>341</v>
      </c>
      <c r="AA842" t="s">
        <v>120</v>
      </c>
      <c r="AB842" t="s">
        <v>120</v>
      </c>
      <c r="AC842" t="s">
        <v>120</v>
      </c>
      <c r="AD842" t="s">
        <v>120</v>
      </c>
      <c r="AE842" t="s">
        <v>120</v>
      </c>
      <c r="AF842" t="s">
        <v>120</v>
      </c>
      <c r="AG842" t="s">
        <v>120</v>
      </c>
      <c r="AH842" t="s">
        <v>120</v>
      </c>
      <c r="AJ842">
        <v>0</v>
      </c>
      <c r="AK842">
        <v>8</v>
      </c>
      <c r="AL842">
        <v>8</v>
      </c>
      <c r="AM842">
        <v>0</v>
      </c>
      <c r="AN842">
        <v>0</v>
      </c>
      <c r="AO842">
        <v>31.55</v>
      </c>
      <c r="AP842">
        <v>8</v>
      </c>
      <c r="AQ842">
        <v>0</v>
      </c>
      <c r="AR842">
        <v>70.2</v>
      </c>
      <c r="AS842">
        <v>504.8</v>
      </c>
    </row>
    <row r="843" spans="1:45" x14ac:dyDescent="0.25">
      <c r="A843" t="s">
        <v>1913</v>
      </c>
      <c r="B843" t="s">
        <v>1914</v>
      </c>
      <c r="C843" t="s">
        <v>147</v>
      </c>
      <c r="D843" t="s">
        <v>1875</v>
      </c>
      <c r="E843" t="s">
        <v>120</v>
      </c>
      <c r="F843" t="s">
        <v>120</v>
      </c>
      <c r="G843" t="s">
        <v>120</v>
      </c>
      <c r="H843" t="s">
        <v>120</v>
      </c>
      <c r="I843" t="s">
        <v>120</v>
      </c>
      <c r="J843" t="s">
        <v>120</v>
      </c>
      <c r="K843" t="s">
        <v>120</v>
      </c>
      <c r="L843" t="s">
        <v>120</v>
      </c>
      <c r="M843" t="s">
        <v>120</v>
      </c>
      <c r="N843" t="s">
        <v>120</v>
      </c>
      <c r="O843" t="s">
        <v>120</v>
      </c>
      <c r="P843" t="s">
        <v>120</v>
      </c>
      <c r="Q843" t="s">
        <v>120</v>
      </c>
      <c r="R843" t="s">
        <v>120</v>
      </c>
      <c r="S843" t="s">
        <v>120</v>
      </c>
      <c r="T843" t="s">
        <v>120</v>
      </c>
      <c r="U843" t="s">
        <v>120</v>
      </c>
      <c r="V843" t="s">
        <v>120</v>
      </c>
      <c r="W843" t="s">
        <v>120</v>
      </c>
      <c r="X843" t="s">
        <v>120</v>
      </c>
      <c r="Y843" t="s">
        <v>120</v>
      </c>
      <c r="Z843" t="s">
        <v>120</v>
      </c>
      <c r="AA843" t="s">
        <v>120</v>
      </c>
      <c r="AB843" t="s">
        <v>120</v>
      </c>
      <c r="AC843" t="s">
        <v>120</v>
      </c>
      <c r="AD843" t="s">
        <v>120</v>
      </c>
      <c r="AE843" t="s">
        <v>120</v>
      </c>
      <c r="AF843" t="s">
        <v>120</v>
      </c>
      <c r="AG843" t="s">
        <v>120</v>
      </c>
      <c r="AH843" t="s">
        <v>120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31.55</v>
      </c>
      <c r="AP843">
        <v>0</v>
      </c>
      <c r="AQ843">
        <v>0</v>
      </c>
      <c r="AR843">
        <v>70.2</v>
      </c>
      <c r="AS843">
        <v>0</v>
      </c>
    </row>
    <row r="844" spans="1:45" x14ac:dyDescent="0.25">
      <c r="A844" t="s">
        <v>1915</v>
      </c>
      <c r="B844" t="s">
        <v>1916</v>
      </c>
      <c r="C844" t="s">
        <v>127</v>
      </c>
      <c r="D844" t="s">
        <v>1875</v>
      </c>
      <c r="E844" t="s">
        <v>120</v>
      </c>
      <c r="F844" t="s">
        <v>141</v>
      </c>
      <c r="G844" t="s">
        <v>120</v>
      </c>
      <c r="H844" t="s">
        <v>120</v>
      </c>
      <c r="I844" t="s">
        <v>141</v>
      </c>
      <c r="J844" t="s">
        <v>120</v>
      </c>
      <c r="K844" t="s">
        <v>120</v>
      </c>
      <c r="L844" t="s">
        <v>124</v>
      </c>
      <c r="M844" t="s">
        <v>120</v>
      </c>
      <c r="N844" t="s">
        <v>120</v>
      </c>
      <c r="O844" t="s">
        <v>1882</v>
      </c>
      <c r="P844" t="s">
        <v>120</v>
      </c>
      <c r="Q844" t="s">
        <v>120</v>
      </c>
      <c r="R844" t="s">
        <v>120</v>
      </c>
      <c r="S844" t="s">
        <v>120</v>
      </c>
      <c r="T844" t="s">
        <v>135</v>
      </c>
      <c r="U844" t="s">
        <v>120</v>
      </c>
      <c r="V844" t="s">
        <v>326</v>
      </c>
      <c r="W844" t="s">
        <v>120</v>
      </c>
      <c r="X844" t="s">
        <v>120</v>
      </c>
      <c r="Y844" t="s">
        <v>141</v>
      </c>
      <c r="Z844" t="s">
        <v>120</v>
      </c>
      <c r="AA844" t="s">
        <v>120</v>
      </c>
      <c r="AB844" t="s">
        <v>120</v>
      </c>
      <c r="AC844" t="s">
        <v>120</v>
      </c>
      <c r="AD844" t="s">
        <v>120</v>
      </c>
      <c r="AE844" t="s">
        <v>120</v>
      </c>
      <c r="AF844" t="s">
        <v>120</v>
      </c>
      <c r="AG844" t="s">
        <v>120</v>
      </c>
      <c r="AH844" t="s">
        <v>120</v>
      </c>
      <c r="AJ844">
        <v>0</v>
      </c>
      <c r="AK844">
        <v>45</v>
      </c>
      <c r="AL844">
        <v>24</v>
      </c>
      <c r="AM844">
        <v>21.000000000000004</v>
      </c>
      <c r="AN844">
        <v>0</v>
      </c>
      <c r="AO844">
        <v>33.43</v>
      </c>
      <c r="AP844">
        <v>45</v>
      </c>
      <c r="AQ844">
        <v>0</v>
      </c>
      <c r="AR844">
        <v>75.06</v>
      </c>
      <c r="AS844">
        <v>3008.7</v>
      </c>
    </row>
    <row r="845" spans="1:45" x14ac:dyDescent="0.25">
      <c r="A845" t="s">
        <v>1917</v>
      </c>
      <c r="B845" t="s">
        <v>1918</v>
      </c>
      <c r="C845" t="s">
        <v>147</v>
      </c>
      <c r="D845" t="s">
        <v>1875</v>
      </c>
      <c r="E845" t="s">
        <v>135</v>
      </c>
      <c r="F845" t="s">
        <v>135</v>
      </c>
      <c r="G845" t="s">
        <v>120</v>
      </c>
      <c r="H845" t="s">
        <v>120</v>
      </c>
      <c r="I845" t="s">
        <v>141</v>
      </c>
      <c r="J845" t="s">
        <v>135</v>
      </c>
      <c r="K845" t="s">
        <v>120</v>
      </c>
      <c r="L845" t="s">
        <v>120</v>
      </c>
      <c r="M845" t="s">
        <v>135</v>
      </c>
      <c r="N845" t="s">
        <v>135</v>
      </c>
      <c r="O845" t="s">
        <v>135</v>
      </c>
      <c r="P845" t="s">
        <v>120</v>
      </c>
      <c r="Q845" t="s">
        <v>120</v>
      </c>
      <c r="R845" t="s">
        <v>120</v>
      </c>
      <c r="S845" t="s">
        <v>120</v>
      </c>
      <c r="T845" t="s">
        <v>135</v>
      </c>
      <c r="U845" t="s">
        <v>135</v>
      </c>
      <c r="V845" t="s">
        <v>120</v>
      </c>
      <c r="W845" t="s">
        <v>120</v>
      </c>
      <c r="X845" t="s">
        <v>120</v>
      </c>
      <c r="Y845" t="s">
        <v>120</v>
      </c>
      <c r="Z845" t="s">
        <v>120</v>
      </c>
      <c r="AA845" t="s">
        <v>135</v>
      </c>
      <c r="AB845" t="s">
        <v>120</v>
      </c>
      <c r="AC845" t="s">
        <v>120</v>
      </c>
      <c r="AD845" t="s">
        <v>120</v>
      </c>
      <c r="AE845" t="s">
        <v>120</v>
      </c>
      <c r="AF845" t="s">
        <v>120</v>
      </c>
      <c r="AG845" t="s">
        <v>120</v>
      </c>
      <c r="AH845" t="s">
        <v>120</v>
      </c>
      <c r="AJ845">
        <v>0</v>
      </c>
      <c r="AK845">
        <v>60</v>
      </c>
      <c r="AL845">
        <v>8</v>
      </c>
      <c r="AM845">
        <v>52</v>
      </c>
      <c r="AN845">
        <v>0</v>
      </c>
      <c r="AO845">
        <v>31.55</v>
      </c>
      <c r="AP845">
        <v>60</v>
      </c>
      <c r="AQ845">
        <v>0</v>
      </c>
      <c r="AR845">
        <v>70.2</v>
      </c>
      <c r="AS845">
        <v>3786</v>
      </c>
    </row>
    <row r="846" spans="1:45" x14ac:dyDescent="0.25">
      <c r="A846" t="s">
        <v>1919</v>
      </c>
      <c r="B846" t="s">
        <v>1920</v>
      </c>
      <c r="C846" t="s">
        <v>130</v>
      </c>
      <c r="D846" t="s">
        <v>1875</v>
      </c>
      <c r="E846" t="s">
        <v>120</v>
      </c>
      <c r="F846" t="s">
        <v>120</v>
      </c>
      <c r="G846" t="s">
        <v>120</v>
      </c>
      <c r="H846" t="s">
        <v>120</v>
      </c>
      <c r="I846" t="s">
        <v>120</v>
      </c>
      <c r="J846" t="s">
        <v>120</v>
      </c>
      <c r="K846" t="s">
        <v>120</v>
      </c>
      <c r="L846" t="s">
        <v>120</v>
      </c>
      <c r="M846" t="s">
        <v>120</v>
      </c>
      <c r="N846" t="s">
        <v>120</v>
      </c>
      <c r="O846" t="s">
        <v>120</v>
      </c>
      <c r="P846" t="s">
        <v>120</v>
      </c>
      <c r="Q846" t="s">
        <v>120</v>
      </c>
      <c r="R846" t="s">
        <v>120</v>
      </c>
      <c r="S846" t="s">
        <v>120</v>
      </c>
      <c r="T846" t="s">
        <v>120</v>
      </c>
      <c r="U846" t="s">
        <v>120</v>
      </c>
      <c r="V846" t="s">
        <v>120</v>
      </c>
      <c r="W846" t="s">
        <v>120</v>
      </c>
      <c r="X846" t="s">
        <v>120</v>
      </c>
      <c r="Y846" t="s">
        <v>120</v>
      </c>
      <c r="Z846" t="s">
        <v>325</v>
      </c>
      <c r="AA846" t="s">
        <v>120</v>
      </c>
      <c r="AB846" t="s">
        <v>120</v>
      </c>
      <c r="AC846" t="s">
        <v>120</v>
      </c>
      <c r="AD846" t="s">
        <v>120</v>
      </c>
      <c r="AE846" t="s">
        <v>120</v>
      </c>
      <c r="AF846" t="s">
        <v>120</v>
      </c>
      <c r="AG846" t="s">
        <v>120</v>
      </c>
      <c r="AH846" t="s">
        <v>120</v>
      </c>
      <c r="AJ846">
        <v>0</v>
      </c>
      <c r="AK846">
        <v>6</v>
      </c>
      <c r="AL846">
        <v>6</v>
      </c>
      <c r="AM846">
        <v>0</v>
      </c>
      <c r="AN846">
        <v>0</v>
      </c>
      <c r="AO846">
        <v>7500</v>
      </c>
      <c r="AP846">
        <v>6</v>
      </c>
      <c r="AQ846">
        <v>0</v>
      </c>
      <c r="AR846">
        <v>126.56250000000001</v>
      </c>
      <c r="AS846">
        <v>562.5</v>
      </c>
    </row>
    <row r="847" spans="1:45" x14ac:dyDescent="0.25">
      <c r="A847" t="s">
        <v>1921</v>
      </c>
      <c r="B847" t="s">
        <v>1922</v>
      </c>
      <c r="C847" t="s">
        <v>147</v>
      </c>
      <c r="D847" t="s">
        <v>1875</v>
      </c>
      <c r="E847" t="s">
        <v>120</v>
      </c>
      <c r="F847" t="s">
        <v>120</v>
      </c>
      <c r="G847" t="s">
        <v>120</v>
      </c>
      <c r="H847" t="s">
        <v>120</v>
      </c>
      <c r="I847" t="s">
        <v>120</v>
      </c>
      <c r="J847" t="s">
        <v>120</v>
      </c>
      <c r="K847" t="s">
        <v>120</v>
      </c>
      <c r="L847" t="s">
        <v>120</v>
      </c>
      <c r="M847" t="s">
        <v>120</v>
      </c>
      <c r="N847" t="s">
        <v>120</v>
      </c>
      <c r="O847" t="s">
        <v>120</v>
      </c>
      <c r="P847" t="s">
        <v>120</v>
      </c>
      <c r="Q847" t="s">
        <v>120</v>
      </c>
      <c r="R847" t="s">
        <v>120</v>
      </c>
      <c r="S847" t="s">
        <v>120</v>
      </c>
      <c r="T847" t="s">
        <v>120</v>
      </c>
      <c r="U847" t="s">
        <v>120</v>
      </c>
      <c r="V847" t="s">
        <v>120</v>
      </c>
      <c r="W847" t="s">
        <v>120</v>
      </c>
      <c r="X847" t="s">
        <v>120</v>
      </c>
      <c r="Y847" t="s">
        <v>120</v>
      </c>
      <c r="Z847" t="s">
        <v>120</v>
      </c>
      <c r="AA847" t="s">
        <v>120</v>
      </c>
      <c r="AB847" t="s">
        <v>120</v>
      </c>
      <c r="AC847" t="s">
        <v>120</v>
      </c>
      <c r="AD847" t="s">
        <v>120</v>
      </c>
      <c r="AE847" t="s">
        <v>120</v>
      </c>
      <c r="AF847" t="s">
        <v>120</v>
      </c>
      <c r="AG847" t="s">
        <v>120</v>
      </c>
      <c r="AH847" t="s">
        <v>120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31.55</v>
      </c>
      <c r="AP847">
        <v>0</v>
      </c>
      <c r="AQ847">
        <v>0</v>
      </c>
      <c r="AR847">
        <v>70.2</v>
      </c>
      <c r="AS847">
        <v>0</v>
      </c>
    </row>
    <row r="848" spans="1:45" x14ac:dyDescent="0.25">
      <c r="A848" t="s">
        <v>1923</v>
      </c>
      <c r="B848" t="s">
        <v>1924</v>
      </c>
      <c r="C848" t="s">
        <v>147</v>
      </c>
      <c r="D848" t="s">
        <v>1925</v>
      </c>
      <c r="E848" t="s">
        <v>120</v>
      </c>
      <c r="F848" t="s">
        <v>120</v>
      </c>
      <c r="G848" t="s">
        <v>120</v>
      </c>
      <c r="H848" t="s">
        <v>120</v>
      </c>
      <c r="I848" t="s">
        <v>120</v>
      </c>
      <c r="J848" t="s">
        <v>120</v>
      </c>
      <c r="K848" t="s">
        <v>120</v>
      </c>
      <c r="L848" t="s">
        <v>120</v>
      </c>
      <c r="M848" t="s">
        <v>120</v>
      </c>
      <c r="N848" t="s">
        <v>120</v>
      </c>
      <c r="O848" t="s">
        <v>120</v>
      </c>
      <c r="P848" t="s">
        <v>120</v>
      </c>
      <c r="Q848" t="s">
        <v>120</v>
      </c>
      <c r="R848" t="s">
        <v>120</v>
      </c>
      <c r="S848" t="s">
        <v>120</v>
      </c>
      <c r="T848" t="s">
        <v>120</v>
      </c>
      <c r="U848" t="s">
        <v>120</v>
      </c>
      <c r="V848" t="s">
        <v>120</v>
      </c>
      <c r="W848" t="s">
        <v>120</v>
      </c>
      <c r="X848" t="s">
        <v>120</v>
      </c>
      <c r="Y848" t="s">
        <v>120</v>
      </c>
      <c r="Z848" t="s">
        <v>120</v>
      </c>
      <c r="AA848" t="s">
        <v>120</v>
      </c>
      <c r="AB848" t="s">
        <v>120</v>
      </c>
      <c r="AC848" t="s">
        <v>120</v>
      </c>
      <c r="AD848" t="s">
        <v>120</v>
      </c>
      <c r="AE848" t="s">
        <v>120</v>
      </c>
      <c r="AF848" t="s">
        <v>120</v>
      </c>
      <c r="AG848" t="s">
        <v>120</v>
      </c>
      <c r="AH848" t="s">
        <v>120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28.25</v>
      </c>
      <c r="AP848">
        <v>0</v>
      </c>
      <c r="AQ848">
        <v>0</v>
      </c>
      <c r="AR848">
        <v>70.2</v>
      </c>
      <c r="AS848">
        <v>0</v>
      </c>
    </row>
    <row r="849" spans="1:45" x14ac:dyDescent="0.25">
      <c r="A849" t="s">
        <v>1926</v>
      </c>
      <c r="B849" t="s">
        <v>1927</v>
      </c>
      <c r="C849" t="s">
        <v>147</v>
      </c>
      <c r="D849" t="s">
        <v>1925</v>
      </c>
      <c r="E849" t="s">
        <v>120</v>
      </c>
      <c r="F849" t="s">
        <v>120</v>
      </c>
      <c r="G849" t="s">
        <v>120</v>
      </c>
      <c r="H849" t="s">
        <v>120</v>
      </c>
      <c r="I849" t="s">
        <v>120</v>
      </c>
      <c r="J849" t="s">
        <v>120</v>
      </c>
      <c r="K849" t="s">
        <v>120</v>
      </c>
      <c r="L849" t="s">
        <v>120</v>
      </c>
      <c r="M849" t="s">
        <v>120</v>
      </c>
      <c r="N849" t="s">
        <v>120</v>
      </c>
      <c r="O849" t="s">
        <v>120</v>
      </c>
      <c r="P849" t="s">
        <v>120</v>
      </c>
      <c r="Q849" t="s">
        <v>120</v>
      </c>
      <c r="R849" t="s">
        <v>120</v>
      </c>
      <c r="S849" t="s">
        <v>120</v>
      </c>
      <c r="T849" t="s">
        <v>120</v>
      </c>
      <c r="U849" t="s">
        <v>120</v>
      </c>
      <c r="V849" t="s">
        <v>120</v>
      </c>
      <c r="W849" t="s">
        <v>120</v>
      </c>
      <c r="X849" t="s">
        <v>120</v>
      </c>
      <c r="Y849" t="s">
        <v>141</v>
      </c>
      <c r="Z849" t="s">
        <v>120</v>
      </c>
      <c r="AA849" t="s">
        <v>120</v>
      </c>
      <c r="AB849" t="s">
        <v>120</v>
      </c>
      <c r="AC849" t="s">
        <v>120</v>
      </c>
      <c r="AD849" t="s">
        <v>141</v>
      </c>
      <c r="AE849" t="s">
        <v>120</v>
      </c>
      <c r="AF849" t="s">
        <v>120</v>
      </c>
      <c r="AG849" t="s">
        <v>120</v>
      </c>
      <c r="AH849" t="s">
        <v>120</v>
      </c>
      <c r="AJ849">
        <v>0</v>
      </c>
      <c r="AK849">
        <v>16</v>
      </c>
      <c r="AL849">
        <v>16</v>
      </c>
      <c r="AM849">
        <v>0</v>
      </c>
      <c r="AN849">
        <v>0</v>
      </c>
      <c r="AO849">
        <v>31.55</v>
      </c>
      <c r="AP849">
        <v>16</v>
      </c>
      <c r="AQ849">
        <v>0</v>
      </c>
      <c r="AR849">
        <v>70.2</v>
      </c>
      <c r="AS849">
        <v>1009.6</v>
      </c>
    </row>
    <row r="850" spans="1:45" x14ac:dyDescent="0.25">
      <c r="A850" t="s">
        <v>1928</v>
      </c>
      <c r="B850" t="s">
        <v>1929</v>
      </c>
      <c r="C850" t="s">
        <v>147</v>
      </c>
      <c r="D850" t="s">
        <v>1925</v>
      </c>
      <c r="E850" t="s">
        <v>120</v>
      </c>
      <c r="F850" t="s">
        <v>120</v>
      </c>
      <c r="G850" t="s">
        <v>120</v>
      </c>
      <c r="H850" t="s">
        <v>120</v>
      </c>
      <c r="I850" t="s">
        <v>120</v>
      </c>
      <c r="J850" t="s">
        <v>120</v>
      </c>
      <c r="K850" t="s">
        <v>120</v>
      </c>
      <c r="L850" t="s">
        <v>120</v>
      </c>
      <c r="M850" t="s">
        <v>120</v>
      </c>
      <c r="N850" t="s">
        <v>120</v>
      </c>
      <c r="O850" t="s">
        <v>120</v>
      </c>
      <c r="P850" t="s">
        <v>120</v>
      </c>
      <c r="Q850" t="s">
        <v>120</v>
      </c>
      <c r="R850" t="s">
        <v>120</v>
      </c>
      <c r="S850" t="s">
        <v>120</v>
      </c>
      <c r="T850" t="s">
        <v>120</v>
      </c>
      <c r="U850" t="s">
        <v>120</v>
      </c>
      <c r="V850" t="s">
        <v>120</v>
      </c>
      <c r="W850" t="s">
        <v>120</v>
      </c>
      <c r="X850" t="s">
        <v>120</v>
      </c>
      <c r="Y850" t="s">
        <v>120</v>
      </c>
      <c r="Z850" t="s">
        <v>120</v>
      </c>
      <c r="AA850" t="s">
        <v>120</v>
      </c>
      <c r="AB850" t="s">
        <v>120</v>
      </c>
      <c r="AC850" t="s">
        <v>120</v>
      </c>
      <c r="AD850" t="s">
        <v>120</v>
      </c>
      <c r="AE850" t="s">
        <v>120</v>
      </c>
      <c r="AF850" t="s">
        <v>120</v>
      </c>
      <c r="AG850" t="s">
        <v>120</v>
      </c>
      <c r="AH850" t="s">
        <v>120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31.55</v>
      </c>
      <c r="AP850">
        <v>0</v>
      </c>
      <c r="AQ850">
        <v>0</v>
      </c>
      <c r="AR850">
        <v>70.2</v>
      </c>
      <c r="AS850">
        <v>0</v>
      </c>
    </row>
    <row r="851" spans="1:45" x14ac:dyDescent="0.25">
      <c r="A851" t="s">
        <v>1930</v>
      </c>
      <c r="B851" t="s">
        <v>1931</v>
      </c>
      <c r="C851" t="s">
        <v>147</v>
      </c>
      <c r="D851" t="s">
        <v>1925</v>
      </c>
      <c r="E851" t="s">
        <v>120</v>
      </c>
      <c r="F851" t="s">
        <v>120</v>
      </c>
      <c r="G851" t="s">
        <v>120</v>
      </c>
      <c r="H851" t="s">
        <v>120</v>
      </c>
      <c r="I851" t="s">
        <v>120</v>
      </c>
      <c r="J851" t="s">
        <v>120</v>
      </c>
      <c r="K851" t="s">
        <v>120</v>
      </c>
      <c r="L851" t="s">
        <v>120</v>
      </c>
      <c r="M851" t="s">
        <v>120</v>
      </c>
      <c r="N851" t="s">
        <v>120</v>
      </c>
      <c r="O851" t="s">
        <v>120</v>
      </c>
      <c r="P851" t="s">
        <v>120</v>
      </c>
      <c r="Q851" t="s">
        <v>120</v>
      </c>
      <c r="R851" t="s">
        <v>120</v>
      </c>
      <c r="S851" t="s">
        <v>120</v>
      </c>
      <c r="T851" t="s">
        <v>120</v>
      </c>
      <c r="U851" t="s">
        <v>120</v>
      </c>
      <c r="V851" t="s">
        <v>120</v>
      </c>
      <c r="W851" t="s">
        <v>120</v>
      </c>
      <c r="X851" t="s">
        <v>120</v>
      </c>
      <c r="Y851" t="s">
        <v>120</v>
      </c>
      <c r="Z851" t="s">
        <v>120</v>
      </c>
      <c r="AA851" t="s">
        <v>120</v>
      </c>
      <c r="AB851" t="s">
        <v>120</v>
      </c>
      <c r="AC851" t="s">
        <v>120</v>
      </c>
      <c r="AD851" t="s">
        <v>120</v>
      </c>
      <c r="AE851" t="s">
        <v>120</v>
      </c>
      <c r="AF851" t="s">
        <v>120</v>
      </c>
      <c r="AG851" t="s">
        <v>120</v>
      </c>
      <c r="AH851" t="s">
        <v>120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31.55</v>
      </c>
      <c r="AP851">
        <v>0</v>
      </c>
      <c r="AQ851">
        <v>0</v>
      </c>
      <c r="AR851">
        <v>70.2</v>
      </c>
      <c r="AS851">
        <v>0</v>
      </c>
    </row>
    <row r="852" spans="1:45" x14ac:dyDescent="0.25">
      <c r="A852" t="s">
        <v>1932</v>
      </c>
      <c r="B852" t="s">
        <v>1933</v>
      </c>
      <c r="C852" t="s">
        <v>147</v>
      </c>
      <c r="D852" t="s">
        <v>1925</v>
      </c>
      <c r="E852" t="s">
        <v>120</v>
      </c>
      <c r="F852" t="s">
        <v>120</v>
      </c>
      <c r="G852" t="s">
        <v>120</v>
      </c>
      <c r="H852" t="s">
        <v>120</v>
      </c>
      <c r="I852" t="s">
        <v>120</v>
      </c>
      <c r="J852" t="s">
        <v>120</v>
      </c>
      <c r="K852" t="s">
        <v>120</v>
      </c>
      <c r="L852" t="s">
        <v>120</v>
      </c>
      <c r="M852" t="s">
        <v>120</v>
      </c>
      <c r="N852" t="s">
        <v>120</v>
      </c>
      <c r="O852" t="s">
        <v>120</v>
      </c>
      <c r="P852" t="s">
        <v>120</v>
      </c>
      <c r="Q852" t="s">
        <v>120</v>
      </c>
      <c r="R852" t="s">
        <v>120</v>
      </c>
      <c r="S852" t="s">
        <v>120</v>
      </c>
      <c r="T852" t="s">
        <v>120</v>
      </c>
      <c r="U852" t="s">
        <v>120</v>
      </c>
      <c r="V852" t="s">
        <v>120</v>
      </c>
      <c r="W852" t="s">
        <v>120</v>
      </c>
      <c r="X852" t="s">
        <v>120</v>
      </c>
      <c r="Y852" t="s">
        <v>120</v>
      </c>
      <c r="Z852" t="s">
        <v>120</v>
      </c>
      <c r="AA852" t="s">
        <v>120</v>
      </c>
      <c r="AB852" t="s">
        <v>120</v>
      </c>
      <c r="AC852" t="s">
        <v>120</v>
      </c>
      <c r="AD852" t="s">
        <v>120</v>
      </c>
      <c r="AE852" t="s">
        <v>120</v>
      </c>
      <c r="AF852" t="s">
        <v>120</v>
      </c>
      <c r="AG852" t="s">
        <v>120</v>
      </c>
      <c r="AH852" t="s">
        <v>120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31.55</v>
      </c>
      <c r="AP852">
        <v>0</v>
      </c>
      <c r="AQ852">
        <v>0</v>
      </c>
      <c r="AR852">
        <v>70.2</v>
      </c>
      <c r="AS852">
        <v>0</v>
      </c>
    </row>
    <row r="853" spans="1:45" x14ac:dyDescent="0.25">
      <c r="A853" t="s">
        <v>1934</v>
      </c>
      <c r="B853" t="s">
        <v>1935</v>
      </c>
      <c r="C853" t="s">
        <v>147</v>
      </c>
      <c r="D853" t="s">
        <v>1925</v>
      </c>
      <c r="E853" t="s">
        <v>120</v>
      </c>
      <c r="F853" t="s">
        <v>120</v>
      </c>
      <c r="G853" t="s">
        <v>120</v>
      </c>
      <c r="H853" t="s">
        <v>120</v>
      </c>
      <c r="I853" t="s">
        <v>120</v>
      </c>
      <c r="J853" t="s">
        <v>120</v>
      </c>
      <c r="K853" t="s">
        <v>120</v>
      </c>
      <c r="L853" t="s">
        <v>120</v>
      </c>
      <c r="M853" t="s">
        <v>120</v>
      </c>
      <c r="N853" t="s">
        <v>120</v>
      </c>
      <c r="O853" t="s">
        <v>120</v>
      </c>
      <c r="P853" t="s">
        <v>120</v>
      </c>
      <c r="Q853" t="s">
        <v>120</v>
      </c>
      <c r="R853" t="s">
        <v>120</v>
      </c>
      <c r="S853" t="s">
        <v>120</v>
      </c>
      <c r="T853" t="s">
        <v>120</v>
      </c>
      <c r="U853" t="s">
        <v>120</v>
      </c>
      <c r="V853" t="s">
        <v>120</v>
      </c>
      <c r="W853" t="s">
        <v>120</v>
      </c>
      <c r="X853" t="s">
        <v>120</v>
      </c>
      <c r="Y853" t="s">
        <v>120</v>
      </c>
      <c r="Z853" t="s">
        <v>120</v>
      </c>
      <c r="AA853" t="s">
        <v>120</v>
      </c>
      <c r="AB853" t="s">
        <v>120</v>
      </c>
      <c r="AC853" t="s">
        <v>120</v>
      </c>
      <c r="AD853" t="s">
        <v>120</v>
      </c>
      <c r="AE853" t="s">
        <v>120</v>
      </c>
      <c r="AF853" t="s">
        <v>120</v>
      </c>
      <c r="AG853" t="s">
        <v>120</v>
      </c>
      <c r="AH853" t="s">
        <v>120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31.55</v>
      </c>
      <c r="AP853">
        <v>0</v>
      </c>
      <c r="AQ853">
        <v>0</v>
      </c>
      <c r="AR853">
        <v>70.2</v>
      </c>
      <c r="AS853">
        <v>0</v>
      </c>
    </row>
    <row r="854" spans="1:45" x14ac:dyDescent="0.25">
      <c r="A854" t="s">
        <v>1936</v>
      </c>
      <c r="B854" t="s">
        <v>1937</v>
      </c>
      <c r="C854" t="s">
        <v>147</v>
      </c>
      <c r="D854" t="s">
        <v>1925</v>
      </c>
      <c r="E854" t="s">
        <v>120</v>
      </c>
      <c r="F854" t="s">
        <v>120</v>
      </c>
      <c r="G854" t="s">
        <v>120</v>
      </c>
      <c r="H854" t="s">
        <v>120</v>
      </c>
      <c r="I854" t="s">
        <v>120</v>
      </c>
      <c r="J854" t="s">
        <v>120</v>
      </c>
      <c r="K854" t="s">
        <v>120</v>
      </c>
      <c r="L854" t="s">
        <v>120</v>
      </c>
      <c r="M854" t="s">
        <v>120</v>
      </c>
      <c r="N854" t="s">
        <v>120</v>
      </c>
      <c r="O854" t="s">
        <v>120</v>
      </c>
      <c r="P854" t="s">
        <v>120</v>
      </c>
      <c r="Q854" t="s">
        <v>120</v>
      </c>
      <c r="R854" t="s">
        <v>120</v>
      </c>
      <c r="S854" t="s">
        <v>120</v>
      </c>
      <c r="T854" t="s">
        <v>120</v>
      </c>
      <c r="U854" t="s">
        <v>120</v>
      </c>
      <c r="V854" t="s">
        <v>120</v>
      </c>
      <c r="W854" t="s">
        <v>120</v>
      </c>
      <c r="X854" t="s">
        <v>120</v>
      </c>
      <c r="Y854" t="s">
        <v>120</v>
      </c>
      <c r="Z854" t="s">
        <v>120</v>
      </c>
      <c r="AA854" t="s">
        <v>120</v>
      </c>
      <c r="AB854" t="s">
        <v>120</v>
      </c>
      <c r="AC854" t="s">
        <v>120</v>
      </c>
      <c r="AD854" t="s">
        <v>120</v>
      </c>
      <c r="AE854" t="s">
        <v>120</v>
      </c>
      <c r="AF854" t="s">
        <v>120</v>
      </c>
      <c r="AG854" t="s">
        <v>120</v>
      </c>
      <c r="AH854" t="s">
        <v>120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31.55</v>
      </c>
      <c r="AP854">
        <v>0</v>
      </c>
      <c r="AQ854">
        <v>0</v>
      </c>
      <c r="AR854">
        <v>70.2</v>
      </c>
      <c r="AS854">
        <v>0</v>
      </c>
    </row>
    <row r="855" spans="1:45" x14ac:dyDescent="0.25">
      <c r="A855" t="s">
        <v>1938</v>
      </c>
      <c r="B855" t="s">
        <v>1939</v>
      </c>
      <c r="C855" t="s">
        <v>147</v>
      </c>
      <c r="D855" t="s">
        <v>1925</v>
      </c>
      <c r="E855" t="s">
        <v>120</v>
      </c>
      <c r="F855" t="s">
        <v>120</v>
      </c>
      <c r="G855" t="s">
        <v>120</v>
      </c>
      <c r="H855" t="s">
        <v>120</v>
      </c>
      <c r="I855" t="s">
        <v>120</v>
      </c>
      <c r="J855" t="s">
        <v>120</v>
      </c>
      <c r="K855" t="s">
        <v>120</v>
      </c>
      <c r="L855" t="s">
        <v>141</v>
      </c>
      <c r="M855" t="s">
        <v>141</v>
      </c>
      <c r="N855" t="s">
        <v>120</v>
      </c>
      <c r="O855" t="s">
        <v>120</v>
      </c>
      <c r="P855" t="s">
        <v>120</v>
      </c>
      <c r="Q855" t="s">
        <v>120</v>
      </c>
      <c r="R855" t="s">
        <v>120</v>
      </c>
      <c r="S855" t="s">
        <v>120</v>
      </c>
      <c r="T855" t="s">
        <v>120</v>
      </c>
      <c r="U855" t="s">
        <v>120</v>
      </c>
      <c r="V855" t="s">
        <v>120</v>
      </c>
      <c r="W855" t="s">
        <v>120</v>
      </c>
      <c r="X855" t="s">
        <v>141</v>
      </c>
      <c r="Y855" t="s">
        <v>120</v>
      </c>
      <c r="Z855" t="s">
        <v>120</v>
      </c>
      <c r="AA855" t="s">
        <v>120</v>
      </c>
      <c r="AB855" t="s">
        <v>124</v>
      </c>
      <c r="AC855" t="s">
        <v>124</v>
      </c>
      <c r="AD855" t="s">
        <v>135</v>
      </c>
      <c r="AE855" t="s">
        <v>120</v>
      </c>
      <c r="AF855" t="s">
        <v>120</v>
      </c>
      <c r="AG855" t="s">
        <v>120</v>
      </c>
      <c r="AH855" t="s">
        <v>120</v>
      </c>
      <c r="AJ855">
        <v>0</v>
      </c>
      <c r="AK855">
        <v>40</v>
      </c>
      <c r="AL855">
        <v>24</v>
      </c>
      <c r="AM855">
        <v>16</v>
      </c>
      <c r="AN855">
        <v>0</v>
      </c>
      <c r="AO855">
        <v>31.55</v>
      </c>
      <c r="AP855">
        <v>40</v>
      </c>
      <c r="AQ855">
        <v>0</v>
      </c>
      <c r="AR855">
        <v>70.2</v>
      </c>
      <c r="AS855">
        <v>2524</v>
      </c>
    </row>
    <row r="856" spans="1:45" x14ac:dyDescent="0.25">
      <c r="A856" t="s">
        <v>1940</v>
      </c>
      <c r="B856" t="s">
        <v>1941</v>
      </c>
      <c r="C856" t="s">
        <v>147</v>
      </c>
      <c r="D856" t="s">
        <v>1925</v>
      </c>
      <c r="E856" t="s">
        <v>120</v>
      </c>
      <c r="F856" t="s">
        <v>120</v>
      </c>
      <c r="G856" t="s">
        <v>120</v>
      </c>
      <c r="H856" t="s">
        <v>120</v>
      </c>
      <c r="I856" t="s">
        <v>120</v>
      </c>
      <c r="J856" t="s">
        <v>120</v>
      </c>
      <c r="K856" t="s">
        <v>120</v>
      </c>
      <c r="L856" t="s">
        <v>120</v>
      </c>
      <c r="M856" t="s">
        <v>120</v>
      </c>
      <c r="N856" t="s">
        <v>120</v>
      </c>
      <c r="O856" t="s">
        <v>120</v>
      </c>
      <c r="P856" t="s">
        <v>120</v>
      </c>
      <c r="Q856" t="s">
        <v>120</v>
      </c>
      <c r="R856" t="s">
        <v>120</v>
      </c>
      <c r="S856" t="s">
        <v>120</v>
      </c>
      <c r="T856" t="s">
        <v>120</v>
      </c>
      <c r="U856" t="s">
        <v>120</v>
      </c>
      <c r="V856" t="s">
        <v>120</v>
      </c>
      <c r="W856" t="s">
        <v>120</v>
      </c>
      <c r="X856" t="s">
        <v>120</v>
      </c>
      <c r="Y856" t="s">
        <v>120</v>
      </c>
      <c r="Z856" t="s">
        <v>120</v>
      </c>
      <c r="AA856" t="s">
        <v>120</v>
      </c>
      <c r="AB856" t="s">
        <v>120</v>
      </c>
      <c r="AC856" t="s">
        <v>120</v>
      </c>
      <c r="AD856" t="s">
        <v>120</v>
      </c>
      <c r="AE856" t="s">
        <v>120</v>
      </c>
      <c r="AF856" t="s">
        <v>120</v>
      </c>
      <c r="AG856" t="s">
        <v>120</v>
      </c>
      <c r="AH856" t="s">
        <v>120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31.55</v>
      </c>
      <c r="AP856">
        <v>0</v>
      </c>
      <c r="AQ856">
        <v>0</v>
      </c>
      <c r="AR856">
        <v>70.2</v>
      </c>
      <c r="AS856">
        <v>0</v>
      </c>
    </row>
    <row r="857" spans="1:45" x14ac:dyDescent="0.25">
      <c r="A857" t="s">
        <v>1942</v>
      </c>
      <c r="B857" t="s">
        <v>1943</v>
      </c>
      <c r="C857" t="s">
        <v>147</v>
      </c>
      <c r="D857" t="s">
        <v>1925</v>
      </c>
      <c r="E857" t="s">
        <v>120</v>
      </c>
      <c r="F857" t="s">
        <v>120</v>
      </c>
      <c r="G857" t="s">
        <v>120</v>
      </c>
      <c r="H857" t="s">
        <v>120</v>
      </c>
      <c r="I857" t="s">
        <v>120</v>
      </c>
      <c r="J857" t="s">
        <v>120</v>
      </c>
      <c r="K857" t="s">
        <v>120</v>
      </c>
      <c r="L857" t="s">
        <v>120</v>
      </c>
      <c r="M857" t="s">
        <v>120</v>
      </c>
      <c r="N857" t="s">
        <v>120</v>
      </c>
      <c r="O857" t="s">
        <v>120</v>
      </c>
      <c r="P857" t="s">
        <v>120</v>
      </c>
      <c r="Q857" t="s">
        <v>120</v>
      </c>
      <c r="R857" t="s">
        <v>120</v>
      </c>
      <c r="S857" t="s">
        <v>120</v>
      </c>
      <c r="T857" t="s">
        <v>120</v>
      </c>
      <c r="U857" t="s">
        <v>120</v>
      </c>
      <c r="V857" t="s">
        <v>120</v>
      </c>
      <c r="W857" t="s">
        <v>120</v>
      </c>
      <c r="X857" t="s">
        <v>120</v>
      </c>
      <c r="Y857" t="s">
        <v>120</v>
      </c>
      <c r="Z857" t="s">
        <v>120</v>
      </c>
      <c r="AA857" t="s">
        <v>120</v>
      </c>
      <c r="AB857" t="s">
        <v>120</v>
      </c>
      <c r="AC857" t="s">
        <v>120</v>
      </c>
      <c r="AD857" t="s">
        <v>120</v>
      </c>
      <c r="AE857" t="s">
        <v>120</v>
      </c>
      <c r="AF857" t="s">
        <v>120</v>
      </c>
      <c r="AG857" t="s">
        <v>120</v>
      </c>
      <c r="AH857" t="s">
        <v>120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31.55</v>
      </c>
      <c r="AP857">
        <v>0</v>
      </c>
      <c r="AQ857">
        <v>0</v>
      </c>
      <c r="AR857">
        <v>70.2</v>
      </c>
      <c r="AS857">
        <v>0</v>
      </c>
    </row>
    <row r="858" spans="1:45" x14ac:dyDescent="0.25">
      <c r="A858" t="s">
        <v>1944</v>
      </c>
      <c r="B858" t="s">
        <v>1945</v>
      </c>
      <c r="C858" t="s">
        <v>147</v>
      </c>
      <c r="D858" t="s">
        <v>1925</v>
      </c>
      <c r="E858" t="s">
        <v>120</v>
      </c>
      <c r="F858" t="s">
        <v>120</v>
      </c>
      <c r="G858" t="s">
        <v>120</v>
      </c>
      <c r="H858" t="s">
        <v>120</v>
      </c>
      <c r="I858" t="s">
        <v>120</v>
      </c>
      <c r="J858" t="s">
        <v>120</v>
      </c>
      <c r="K858" t="s">
        <v>120</v>
      </c>
      <c r="L858" t="s">
        <v>120</v>
      </c>
      <c r="M858" t="s">
        <v>120</v>
      </c>
      <c r="N858" t="s">
        <v>120</v>
      </c>
      <c r="O858" t="s">
        <v>120</v>
      </c>
      <c r="P858" t="s">
        <v>120</v>
      </c>
      <c r="Q858" t="s">
        <v>120</v>
      </c>
      <c r="R858" t="s">
        <v>120</v>
      </c>
      <c r="S858" t="s">
        <v>120</v>
      </c>
      <c r="T858" t="s">
        <v>120</v>
      </c>
      <c r="U858" t="s">
        <v>120</v>
      </c>
      <c r="V858" t="s">
        <v>120</v>
      </c>
      <c r="W858" t="s">
        <v>120</v>
      </c>
      <c r="X858" t="s">
        <v>120</v>
      </c>
      <c r="Y858" t="s">
        <v>120</v>
      </c>
      <c r="Z858" t="s">
        <v>120</v>
      </c>
      <c r="AA858" t="s">
        <v>120</v>
      </c>
      <c r="AB858" t="s">
        <v>120</v>
      </c>
      <c r="AC858" t="s">
        <v>120</v>
      </c>
      <c r="AD858" t="s">
        <v>120</v>
      </c>
      <c r="AE858" t="s">
        <v>120</v>
      </c>
      <c r="AF858" t="s">
        <v>120</v>
      </c>
      <c r="AG858" t="s">
        <v>120</v>
      </c>
      <c r="AH858" t="s">
        <v>120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31.55</v>
      </c>
      <c r="AP858">
        <v>0</v>
      </c>
      <c r="AQ858">
        <v>0</v>
      </c>
      <c r="AR858">
        <v>70.2</v>
      </c>
      <c r="AS858">
        <v>0</v>
      </c>
    </row>
    <row r="859" spans="1:45" x14ac:dyDescent="0.25">
      <c r="A859" t="s">
        <v>1946</v>
      </c>
      <c r="B859" t="s">
        <v>1947</v>
      </c>
      <c r="C859" t="s">
        <v>147</v>
      </c>
      <c r="D859" t="s">
        <v>1925</v>
      </c>
      <c r="E859" t="s">
        <v>120</v>
      </c>
      <c r="F859" t="s">
        <v>120</v>
      </c>
      <c r="G859" t="s">
        <v>120</v>
      </c>
      <c r="H859" t="s">
        <v>120</v>
      </c>
      <c r="I859" t="s">
        <v>120</v>
      </c>
      <c r="J859" t="s">
        <v>120</v>
      </c>
      <c r="K859" t="s">
        <v>120</v>
      </c>
      <c r="L859" t="s">
        <v>120</v>
      </c>
      <c r="M859" t="s">
        <v>120</v>
      </c>
      <c r="N859" t="s">
        <v>120</v>
      </c>
      <c r="O859" t="s">
        <v>120</v>
      </c>
      <c r="P859" t="s">
        <v>120</v>
      </c>
      <c r="Q859" t="s">
        <v>120</v>
      </c>
      <c r="R859" t="s">
        <v>120</v>
      </c>
      <c r="S859" t="s">
        <v>120</v>
      </c>
      <c r="T859" t="s">
        <v>120</v>
      </c>
      <c r="U859" t="s">
        <v>120</v>
      </c>
      <c r="V859" t="s">
        <v>120</v>
      </c>
      <c r="W859" t="s">
        <v>120</v>
      </c>
      <c r="X859" t="s">
        <v>120</v>
      </c>
      <c r="Y859" t="s">
        <v>120</v>
      </c>
      <c r="Z859" t="s">
        <v>120</v>
      </c>
      <c r="AA859" t="s">
        <v>120</v>
      </c>
      <c r="AB859" t="s">
        <v>120</v>
      </c>
      <c r="AC859" t="s">
        <v>120</v>
      </c>
      <c r="AD859" t="s">
        <v>120</v>
      </c>
      <c r="AE859" t="s">
        <v>120</v>
      </c>
      <c r="AF859" t="s">
        <v>120</v>
      </c>
      <c r="AG859" t="s">
        <v>120</v>
      </c>
      <c r="AH859" t="s">
        <v>120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31.55</v>
      </c>
      <c r="AP859">
        <v>0</v>
      </c>
      <c r="AQ859">
        <v>0</v>
      </c>
      <c r="AR859">
        <v>70.2</v>
      </c>
      <c r="AS859">
        <v>0</v>
      </c>
    </row>
    <row r="860" spans="1:45" x14ac:dyDescent="0.25">
      <c r="A860" t="s">
        <v>1948</v>
      </c>
      <c r="B860" t="s">
        <v>1949</v>
      </c>
      <c r="C860" t="s">
        <v>130</v>
      </c>
      <c r="D860" t="s">
        <v>1925</v>
      </c>
      <c r="E860" t="s">
        <v>120</v>
      </c>
      <c r="F860" t="s">
        <v>120</v>
      </c>
      <c r="G860" t="s">
        <v>120</v>
      </c>
      <c r="H860" t="s">
        <v>120</v>
      </c>
      <c r="I860" t="s">
        <v>120</v>
      </c>
      <c r="J860" t="s">
        <v>120</v>
      </c>
      <c r="K860" t="s">
        <v>120</v>
      </c>
      <c r="L860" t="s">
        <v>120</v>
      </c>
      <c r="M860" t="s">
        <v>120</v>
      </c>
      <c r="N860" t="s">
        <v>120</v>
      </c>
      <c r="O860" t="s">
        <v>120</v>
      </c>
      <c r="P860" t="s">
        <v>120</v>
      </c>
      <c r="Q860" t="s">
        <v>120</v>
      </c>
      <c r="R860" t="s">
        <v>120</v>
      </c>
      <c r="S860" t="s">
        <v>120</v>
      </c>
      <c r="T860" t="s">
        <v>120</v>
      </c>
      <c r="U860" t="s">
        <v>120</v>
      </c>
      <c r="V860" t="s">
        <v>120</v>
      </c>
      <c r="W860" t="s">
        <v>120</v>
      </c>
      <c r="X860" t="s">
        <v>120</v>
      </c>
      <c r="Y860" t="s">
        <v>120</v>
      </c>
      <c r="Z860" t="s">
        <v>120</v>
      </c>
      <c r="AA860" t="s">
        <v>120</v>
      </c>
      <c r="AB860" t="s">
        <v>120</v>
      </c>
      <c r="AC860" t="s">
        <v>120</v>
      </c>
      <c r="AD860" t="s">
        <v>120</v>
      </c>
      <c r="AE860" t="s">
        <v>120</v>
      </c>
      <c r="AF860" t="s">
        <v>120</v>
      </c>
      <c r="AG860" t="s">
        <v>120</v>
      </c>
      <c r="AH860" t="s">
        <v>120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7500</v>
      </c>
      <c r="AP860">
        <v>0</v>
      </c>
      <c r="AQ860">
        <v>0</v>
      </c>
      <c r="AR860">
        <v>126.56250000000001</v>
      </c>
      <c r="AS860">
        <v>0</v>
      </c>
    </row>
    <row r="861" spans="1:45" x14ac:dyDescent="0.25">
      <c r="A861" t="s">
        <v>1950</v>
      </c>
      <c r="B861" t="s">
        <v>1951</v>
      </c>
      <c r="C861" t="s">
        <v>127</v>
      </c>
      <c r="D861" t="s">
        <v>1925</v>
      </c>
      <c r="E861" t="s">
        <v>120</v>
      </c>
      <c r="F861" t="s">
        <v>120</v>
      </c>
      <c r="G861" t="s">
        <v>120</v>
      </c>
      <c r="H861" t="s">
        <v>120</v>
      </c>
      <c r="I861" t="s">
        <v>120</v>
      </c>
      <c r="J861" t="s">
        <v>120</v>
      </c>
      <c r="K861" t="s">
        <v>120</v>
      </c>
      <c r="L861" t="s">
        <v>120</v>
      </c>
      <c r="M861" t="s">
        <v>120</v>
      </c>
      <c r="N861" t="s">
        <v>120</v>
      </c>
      <c r="O861" t="s">
        <v>120</v>
      </c>
      <c r="P861" t="s">
        <v>120</v>
      </c>
      <c r="Q861" t="s">
        <v>120</v>
      </c>
      <c r="R861" t="s">
        <v>120</v>
      </c>
      <c r="S861" t="s">
        <v>120</v>
      </c>
      <c r="T861" t="s">
        <v>120</v>
      </c>
      <c r="U861" t="s">
        <v>120</v>
      </c>
      <c r="V861" t="s">
        <v>120</v>
      </c>
      <c r="W861" t="s">
        <v>120</v>
      </c>
      <c r="X861" t="s">
        <v>120</v>
      </c>
      <c r="Y861" t="s">
        <v>120</v>
      </c>
      <c r="Z861" t="s">
        <v>120</v>
      </c>
      <c r="AA861" t="s">
        <v>120</v>
      </c>
      <c r="AB861" t="s">
        <v>120</v>
      </c>
      <c r="AC861" t="s">
        <v>120</v>
      </c>
      <c r="AD861" t="s">
        <v>120</v>
      </c>
      <c r="AE861" t="s">
        <v>120</v>
      </c>
      <c r="AF861" t="s">
        <v>120</v>
      </c>
      <c r="AG861" t="s">
        <v>120</v>
      </c>
      <c r="AH861" t="s">
        <v>120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33.43</v>
      </c>
      <c r="AP861">
        <v>0</v>
      </c>
      <c r="AQ861">
        <v>0</v>
      </c>
      <c r="AR861">
        <v>75.06</v>
      </c>
      <c r="AS861">
        <v>0</v>
      </c>
    </row>
    <row r="862" spans="1:45" x14ac:dyDescent="0.25">
      <c r="A862" t="s">
        <v>1952</v>
      </c>
      <c r="B862" t="s">
        <v>1953</v>
      </c>
      <c r="C862" t="s">
        <v>147</v>
      </c>
      <c r="D862" t="s">
        <v>1925</v>
      </c>
      <c r="E862" t="s">
        <v>120</v>
      </c>
      <c r="F862" t="s">
        <v>120</v>
      </c>
      <c r="G862" t="s">
        <v>120</v>
      </c>
      <c r="H862" t="s">
        <v>120</v>
      </c>
      <c r="I862" t="s">
        <v>120</v>
      </c>
      <c r="J862" t="s">
        <v>120</v>
      </c>
      <c r="K862" t="s">
        <v>120</v>
      </c>
      <c r="L862" t="s">
        <v>120</v>
      </c>
      <c r="M862" t="s">
        <v>120</v>
      </c>
      <c r="N862" t="s">
        <v>120</v>
      </c>
      <c r="O862" t="s">
        <v>120</v>
      </c>
      <c r="P862" t="s">
        <v>120</v>
      </c>
      <c r="Q862" t="s">
        <v>120</v>
      </c>
      <c r="R862" t="s">
        <v>120</v>
      </c>
      <c r="S862" t="s">
        <v>120</v>
      </c>
      <c r="T862" t="s">
        <v>120</v>
      </c>
      <c r="U862" t="s">
        <v>120</v>
      </c>
      <c r="V862" t="s">
        <v>120</v>
      </c>
      <c r="W862" t="s">
        <v>120</v>
      </c>
      <c r="X862" t="s">
        <v>120</v>
      </c>
      <c r="Y862" t="s">
        <v>120</v>
      </c>
      <c r="Z862" t="s">
        <v>120</v>
      </c>
      <c r="AA862" t="s">
        <v>120</v>
      </c>
      <c r="AB862" t="s">
        <v>120</v>
      </c>
      <c r="AC862" t="s">
        <v>120</v>
      </c>
      <c r="AD862" t="s">
        <v>120</v>
      </c>
      <c r="AE862" t="s">
        <v>120</v>
      </c>
      <c r="AF862" t="s">
        <v>120</v>
      </c>
      <c r="AG862" t="s">
        <v>120</v>
      </c>
      <c r="AH862" t="s">
        <v>120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31.55</v>
      </c>
      <c r="AP862">
        <v>0</v>
      </c>
      <c r="AQ862">
        <v>0</v>
      </c>
      <c r="AR862">
        <v>70.2</v>
      </c>
      <c r="AS862">
        <v>0</v>
      </c>
    </row>
    <row r="863" spans="1:45" x14ac:dyDescent="0.25">
      <c r="A863" t="s">
        <v>1954</v>
      </c>
      <c r="B863" t="s">
        <v>1955</v>
      </c>
      <c r="C863" t="s">
        <v>147</v>
      </c>
      <c r="D863" t="s">
        <v>1925</v>
      </c>
      <c r="E863" t="s">
        <v>120</v>
      </c>
      <c r="F863" t="s">
        <v>120</v>
      </c>
      <c r="G863" t="s">
        <v>120</v>
      </c>
      <c r="H863" t="s">
        <v>120</v>
      </c>
      <c r="I863" t="s">
        <v>120</v>
      </c>
      <c r="J863" t="s">
        <v>120</v>
      </c>
      <c r="K863" t="s">
        <v>120</v>
      </c>
      <c r="L863" t="s">
        <v>120</v>
      </c>
      <c r="M863" t="s">
        <v>120</v>
      </c>
      <c r="N863" t="s">
        <v>120</v>
      </c>
      <c r="O863" t="s">
        <v>120</v>
      </c>
      <c r="P863" t="s">
        <v>341</v>
      </c>
      <c r="Q863" t="s">
        <v>120</v>
      </c>
      <c r="R863" t="s">
        <v>120</v>
      </c>
      <c r="S863" t="s">
        <v>120</v>
      </c>
      <c r="T863" t="s">
        <v>120</v>
      </c>
      <c r="U863" t="s">
        <v>120</v>
      </c>
      <c r="V863" t="s">
        <v>120</v>
      </c>
      <c r="W863" t="s">
        <v>120</v>
      </c>
      <c r="X863" t="s">
        <v>120</v>
      </c>
      <c r="Y863" t="s">
        <v>120</v>
      </c>
      <c r="Z863" t="s">
        <v>120</v>
      </c>
      <c r="AA863" t="s">
        <v>120</v>
      </c>
      <c r="AB863" t="s">
        <v>120</v>
      </c>
      <c r="AC863" t="s">
        <v>120</v>
      </c>
      <c r="AD863" t="s">
        <v>120</v>
      </c>
      <c r="AE863" t="s">
        <v>120</v>
      </c>
      <c r="AF863" t="s">
        <v>120</v>
      </c>
      <c r="AG863" t="s">
        <v>120</v>
      </c>
      <c r="AH863" t="s">
        <v>120</v>
      </c>
      <c r="AJ863">
        <v>0</v>
      </c>
      <c r="AK863">
        <v>4</v>
      </c>
      <c r="AL863">
        <v>4</v>
      </c>
      <c r="AM863">
        <v>0</v>
      </c>
      <c r="AN863">
        <v>0</v>
      </c>
      <c r="AO863">
        <v>31.55</v>
      </c>
      <c r="AP863">
        <v>4</v>
      </c>
      <c r="AQ863">
        <v>0</v>
      </c>
      <c r="AR863">
        <v>70.2</v>
      </c>
      <c r="AS863">
        <v>252.4</v>
      </c>
    </row>
    <row r="864" spans="1:45" x14ac:dyDescent="0.25">
      <c r="A864" t="s">
        <v>1956</v>
      </c>
      <c r="B864" t="s">
        <v>1957</v>
      </c>
      <c r="C864" t="s">
        <v>147</v>
      </c>
      <c r="D864" t="s">
        <v>1925</v>
      </c>
      <c r="E864" t="s">
        <v>120</v>
      </c>
      <c r="F864" t="s">
        <v>120</v>
      </c>
      <c r="G864" t="s">
        <v>120</v>
      </c>
      <c r="H864" t="s">
        <v>120</v>
      </c>
      <c r="I864" t="s">
        <v>120</v>
      </c>
      <c r="J864" t="s">
        <v>120</v>
      </c>
      <c r="K864" t="s">
        <v>120</v>
      </c>
      <c r="L864" t="s">
        <v>120</v>
      </c>
      <c r="M864" t="s">
        <v>120</v>
      </c>
      <c r="N864" t="s">
        <v>120</v>
      </c>
      <c r="O864" t="s">
        <v>120</v>
      </c>
      <c r="P864" t="s">
        <v>120</v>
      </c>
      <c r="Q864" t="s">
        <v>120</v>
      </c>
      <c r="R864" t="s">
        <v>120</v>
      </c>
      <c r="S864" t="s">
        <v>120</v>
      </c>
      <c r="T864" t="s">
        <v>120</v>
      </c>
      <c r="U864" t="s">
        <v>120</v>
      </c>
      <c r="V864" t="s">
        <v>120</v>
      </c>
      <c r="W864" t="s">
        <v>120</v>
      </c>
      <c r="X864" t="s">
        <v>120</v>
      </c>
      <c r="Y864" t="s">
        <v>120</v>
      </c>
      <c r="Z864" t="s">
        <v>120</v>
      </c>
      <c r="AA864" t="s">
        <v>120</v>
      </c>
      <c r="AB864" t="s">
        <v>120</v>
      </c>
      <c r="AC864" t="s">
        <v>120</v>
      </c>
      <c r="AD864" t="s">
        <v>120</v>
      </c>
      <c r="AE864" t="s">
        <v>120</v>
      </c>
      <c r="AF864" t="s">
        <v>120</v>
      </c>
      <c r="AG864" t="s">
        <v>120</v>
      </c>
      <c r="AH864" t="s">
        <v>120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31.55</v>
      </c>
      <c r="AP864">
        <v>0</v>
      </c>
      <c r="AQ864">
        <v>0</v>
      </c>
      <c r="AR864">
        <v>70.2</v>
      </c>
      <c r="AS864">
        <v>0</v>
      </c>
    </row>
    <row r="865" spans="1:45" x14ac:dyDescent="0.25">
      <c r="A865" t="s">
        <v>1958</v>
      </c>
      <c r="B865" t="s">
        <v>1959</v>
      </c>
      <c r="C865" t="s">
        <v>147</v>
      </c>
      <c r="D865" t="s">
        <v>1925</v>
      </c>
      <c r="E865" t="s">
        <v>120</v>
      </c>
      <c r="F865" t="s">
        <v>120</v>
      </c>
      <c r="G865" t="s">
        <v>120</v>
      </c>
      <c r="H865" t="s">
        <v>120</v>
      </c>
      <c r="I865" t="s">
        <v>120</v>
      </c>
      <c r="J865" t="s">
        <v>120</v>
      </c>
      <c r="K865" t="s">
        <v>120</v>
      </c>
      <c r="L865" t="s">
        <v>120</v>
      </c>
      <c r="M865" t="s">
        <v>120</v>
      </c>
      <c r="N865" t="s">
        <v>120</v>
      </c>
      <c r="O865" t="s">
        <v>120</v>
      </c>
      <c r="P865" t="s">
        <v>120</v>
      </c>
      <c r="Q865" t="s">
        <v>120</v>
      </c>
      <c r="R865" t="s">
        <v>120</v>
      </c>
      <c r="S865" t="s">
        <v>120</v>
      </c>
      <c r="T865" t="s">
        <v>120</v>
      </c>
      <c r="U865" t="s">
        <v>120</v>
      </c>
      <c r="V865" t="s">
        <v>120</v>
      </c>
      <c r="W865" t="s">
        <v>120</v>
      </c>
      <c r="X865" t="s">
        <v>120</v>
      </c>
      <c r="Y865" t="s">
        <v>120</v>
      </c>
      <c r="Z865" t="s">
        <v>120</v>
      </c>
      <c r="AA865" t="s">
        <v>120</v>
      </c>
      <c r="AB865" t="s">
        <v>120</v>
      </c>
      <c r="AC865" t="s">
        <v>120</v>
      </c>
      <c r="AD865" t="s">
        <v>120</v>
      </c>
      <c r="AE865" t="s">
        <v>120</v>
      </c>
      <c r="AF865" t="s">
        <v>120</v>
      </c>
      <c r="AG865" t="s">
        <v>120</v>
      </c>
      <c r="AH865" t="s">
        <v>120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31.55</v>
      </c>
      <c r="AP865">
        <v>0</v>
      </c>
      <c r="AQ865">
        <v>0</v>
      </c>
      <c r="AR865">
        <v>70.2</v>
      </c>
      <c r="AS865">
        <v>0</v>
      </c>
    </row>
    <row r="866" spans="1:45" x14ac:dyDescent="0.25">
      <c r="A866" t="s">
        <v>1960</v>
      </c>
      <c r="B866" t="s">
        <v>1961</v>
      </c>
      <c r="C866" t="s">
        <v>147</v>
      </c>
      <c r="D866" t="s">
        <v>1925</v>
      </c>
      <c r="E866" t="s">
        <v>120</v>
      </c>
      <c r="F866" t="s">
        <v>120</v>
      </c>
      <c r="G866" t="s">
        <v>120</v>
      </c>
      <c r="H866" t="s">
        <v>120</v>
      </c>
      <c r="I866" t="s">
        <v>120</v>
      </c>
      <c r="J866" t="s">
        <v>120</v>
      </c>
      <c r="K866" t="s">
        <v>120</v>
      </c>
      <c r="L866" t="s">
        <v>120</v>
      </c>
      <c r="M866" t="s">
        <v>120</v>
      </c>
      <c r="N866" t="s">
        <v>120</v>
      </c>
      <c r="O866" t="s">
        <v>120</v>
      </c>
      <c r="P866" t="s">
        <v>120</v>
      </c>
      <c r="Q866" t="s">
        <v>120</v>
      </c>
      <c r="R866" t="s">
        <v>120</v>
      </c>
      <c r="S866" t="s">
        <v>120</v>
      </c>
      <c r="T866" t="s">
        <v>120</v>
      </c>
      <c r="U866" t="s">
        <v>120</v>
      </c>
      <c r="V866" t="s">
        <v>120</v>
      </c>
      <c r="W866" t="s">
        <v>120</v>
      </c>
      <c r="X866" t="s">
        <v>120</v>
      </c>
      <c r="Y866" t="s">
        <v>120</v>
      </c>
      <c r="Z866" t="s">
        <v>120</v>
      </c>
      <c r="AA866" t="s">
        <v>120</v>
      </c>
      <c r="AB866" t="s">
        <v>120</v>
      </c>
      <c r="AC866" t="s">
        <v>120</v>
      </c>
      <c r="AD866" t="s">
        <v>120</v>
      </c>
      <c r="AE866" t="s">
        <v>120</v>
      </c>
      <c r="AF866" t="s">
        <v>120</v>
      </c>
      <c r="AG866" t="s">
        <v>120</v>
      </c>
      <c r="AH866" t="s">
        <v>120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31.55</v>
      </c>
      <c r="AP866">
        <v>0</v>
      </c>
      <c r="AQ866">
        <v>0</v>
      </c>
      <c r="AR866">
        <v>70.2</v>
      </c>
      <c r="AS866">
        <v>0</v>
      </c>
    </row>
    <row r="867" spans="1:45" x14ac:dyDescent="0.25">
      <c r="A867" t="s">
        <v>1962</v>
      </c>
      <c r="B867" t="s">
        <v>1963</v>
      </c>
      <c r="C867" t="s">
        <v>147</v>
      </c>
      <c r="D867" t="s">
        <v>1925</v>
      </c>
      <c r="E867" t="s">
        <v>120</v>
      </c>
      <c r="F867" t="s">
        <v>120</v>
      </c>
      <c r="G867" t="s">
        <v>120</v>
      </c>
      <c r="H867" t="s">
        <v>120</v>
      </c>
      <c r="I867" t="s">
        <v>120</v>
      </c>
      <c r="J867" t="s">
        <v>120</v>
      </c>
      <c r="K867" t="s">
        <v>120</v>
      </c>
      <c r="L867" t="s">
        <v>120</v>
      </c>
      <c r="M867" t="s">
        <v>120</v>
      </c>
      <c r="N867" t="s">
        <v>120</v>
      </c>
      <c r="O867" t="s">
        <v>120</v>
      </c>
      <c r="P867" t="s">
        <v>120</v>
      </c>
      <c r="Q867" t="s">
        <v>120</v>
      </c>
      <c r="R867" t="s">
        <v>120</v>
      </c>
      <c r="S867" t="s">
        <v>120</v>
      </c>
      <c r="T867" t="s">
        <v>120</v>
      </c>
      <c r="U867" t="s">
        <v>120</v>
      </c>
      <c r="V867" t="s">
        <v>120</v>
      </c>
      <c r="W867" t="s">
        <v>120</v>
      </c>
      <c r="X867" t="s">
        <v>120</v>
      </c>
      <c r="Y867" t="s">
        <v>120</v>
      </c>
      <c r="Z867" t="s">
        <v>120</v>
      </c>
      <c r="AA867" t="s">
        <v>120</v>
      </c>
      <c r="AB867" t="s">
        <v>120</v>
      </c>
      <c r="AC867" t="s">
        <v>120</v>
      </c>
      <c r="AD867" t="s">
        <v>120</v>
      </c>
      <c r="AE867" t="s">
        <v>120</v>
      </c>
      <c r="AF867" t="s">
        <v>120</v>
      </c>
      <c r="AG867" t="s">
        <v>120</v>
      </c>
      <c r="AH867" t="s">
        <v>120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31.55</v>
      </c>
      <c r="AP867">
        <v>0</v>
      </c>
      <c r="AQ867">
        <v>0</v>
      </c>
      <c r="AR867">
        <v>70.2</v>
      </c>
      <c r="AS867">
        <v>0</v>
      </c>
    </row>
    <row r="868" spans="1:45" x14ac:dyDescent="0.25">
      <c r="A868" t="s">
        <v>1964</v>
      </c>
      <c r="B868" t="s">
        <v>1965</v>
      </c>
      <c r="C868" t="s">
        <v>147</v>
      </c>
      <c r="D868" t="s">
        <v>1925</v>
      </c>
      <c r="E868" t="s">
        <v>120</v>
      </c>
      <c r="F868" t="s">
        <v>120</v>
      </c>
      <c r="G868" t="s">
        <v>120</v>
      </c>
      <c r="H868" t="s">
        <v>120</v>
      </c>
      <c r="I868" t="s">
        <v>120</v>
      </c>
      <c r="J868" t="s">
        <v>120</v>
      </c>
      <c r="K868" t="s">
        <v>120</v>
      </c>
      <c r="L868" t="s">
        <v>120</v>
      </c>
      <c r="M868" t="s">
        <v>120</v>
      </c>
      <c r="N868" t="s">
        <v>120</v>
      </c>
      <c r="O868" t="s">
        <v>120</v>
      </c>
      <c r="P868" t="s">
        <v>120</v>
      </c>
      <c r="Q868" t="s">
        <v>120</v>
      </c>
      <c r="R868" t="s">
        <v>120</v>
      </c>
      <c r="S868" t="s">
        <v>120</v>
      </c>
      <c r="T868" t="s">
        <v>120</v>
      </c>
      <c r="U868" t="s">
        <v>120</v>
      </c>
      <c r="V868" t="s">
        <v>120</v>
      </c>
      <c r="W868" t="s">
        <v>120</v>
      </c>
      <c r="X868" t="s">
        <v>120</v>
      </c>
      <c r="Y868" t="s">
        <v>120</v>
      </c>
      <c r="Z868" t="s">
        <v>120</v>
      </c>
      <c r="AA868" t="s">
        <v>120</v>
      </c>
      <c r="AB868" t="s">
        <v>120</v>
      </c>
      <c r="AC868" t="s">
        <v>120</v>
      </c>
      <c r="AD868" t="s">
        <v>120</v>
      </c>
      <c r="AE868" t="s">
        <v>120</v>
      </c>
      <c r="AF868" t="s">
        <v>120</v>
      </c>
      <c r="AG868" t="s">
        <v>120</v>
      </c>
      <c r="AH868" t="s">
        <v>120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31.55</v>
      </c>
      <c r="AP868">
        <v>0</v>
      </c>
      <c r="AQ868">
        <v>0</v>
      </c>
      <c r="AR868">
        <v>70.2</v>
      </c>
      <c r="AS868">
        <v>0</v>
      </c>
    </row>
    <row r="869" spans="1:45" x14ac:dyDescent="0.25">
      <c r="A869" t="s">
        <v>1966</v>
      </c>
      <c r="B869" t="s">
        <v>1967</v>
      </c>
      <c r="C869" t="s">
        <v>127</v>
      </c>
      <c r="D869" t="s">
        <v>1925</v>
      </c>
      <c r="E869" t="s">
        <v>120</v>
      </c>
      <c r="F869" t="s">
        <v>120</v>
      </c>
      <c r="G869" t="s">
        <v>120</v>
      </c>
      <c r="H869" t="s">
        <v>120</v>
      </c>
      <c r="I869" t="s">
        <v>120</v>
      </c>
      <c r="J869" t="s">
        <v>120</v>
      </c>
      <c r="K869" t="s">
        <v>120</v>
      </c>
      <c r="L869" t="s">
        <v>120</v>
      </c>
      <c r="M869" t="s">
        <v>120</v>
      </c>
      <c r="N869" t="s">
        <v>120</v>
      </c>
      <c r="O869" t="s">
        <v>120</v>
      </c>
      <c r="P869" t="s">
        <v>120</v>
      </c>
      <c r="Q869" t="s">
        <v>120</v>
      </c>
      <c r="R869" t="s">
        <v>120</v>
      </c>
      <c r="S869" t="s">
        <v>120</v>
      </c>
      <c r="T869" t="s">
        <v>120</v>
      </c>
      <c r="U869" t="s">
        <v>120</v>
      </c>
      <c r="V869" t="s">
        <v>120</v>
      </c>
      <c r="W869" t="s">
        <v>120</v>
      </c>
      <c r="X869" t="s">
        <v>120</v>
      </c>
      <c r="Y869" t="s">
        <v>120</v>
      </c>
      <c r="Z869" t="s">
        <v>120</v>
      </c>
      <c r="AA869" t="s">
        <v>120</v>
      </c>
      <c r="AB869" t="s">
        <v>120</v>
      </c>
      <c r="AC869" t="s">
        <v>120</v>
      </c>
      <c r="AD869" t="s">
        <v>120</v>
      </c>
      <c r="AE869" t="s">
        <v>120</v>
      </c>
      <c r="AF869" t="s">
        <v>120</v>
      </c>
      <c r="AG869" t="s">
        <v>120</v>
      </c>
      <c r="AH869" t="s">
        <v>120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33.43</v>
      </c>
      <c r="AP869">
        <v>0</v>
      </c>
      <c r="AQ869">
        <v>0</v>
      </c>
      <c r="AR869">
        <v>75.06</v>
      </c>
      <c r="AS869">
        <v>0</v>
      </c>
    </row>
    <row r="870" spans="1:45" x14ac:dyDescent="0.25">
      <c r="A870" t="s">
        <v>1968</v>
      </c>
      <c r="B870" t="s">
        <v>1969</v>
      </c>
      <c r="C870" t="s">
        <v>147</v>
      </c>
      <c r="D870" t="s">
        <v>1925</v>
      </c>
      <c r="E870" t="s">
        <v>120</v>
      </c>
      <c r="F870" t="s">
        <v>120</v>
      </c>
      <c r="G870" t="s">
        <v>120</v>
      </c>
      <c r="H870" t="s">
        <v>120</v>
      </c>
      <c r="I870" t="s">
        <v>120</v>
      </c>
      <c r="J870" t="s">
        <v>120</v>
      </c>
      <c r="K870" t="s">
        <v>120</v>
      </c>
      <c r="L870" t="s">
        <v>120</v>
      </c>
      <c r="M870" t="s">
        <v>120</v>
      </c>
      <c r="N870" t="s">
        <v>120</v>
      </c>
      <c r="O870" t="s">
        <v>120</v>
      </c>
      <c r="P870" t="s">
        <v>120</v>
      </c>
      <c r="Q870" t="s">
        <v>120</v>
      </c>
      <c r="R870" t="s">
        <v>120</v>
      </c>
      <c r="S870" t="s">
        <v>120</v>
      </c>
      <c r="T870" t="s">
        <v>120</v>
      </c>
      <c r="U870" t="s">
        <v>120</v>
      </c>
      <c r="V870" t="s">
        <v>120</v>
      </c>
      <c r="W870" t="s">
        <v>120</v>
      </c>
      <c r="X870" t="s">
        <v>120</v>
      </c>
      <c r="Y870" t="s">
        <v>120</v>
      </c>
      <c r="Z870" t="s">
        <v>120</v>
      </c>
      <c r="AA870" t="s">
        <v>120</v>
      </c>
      <c r="AB870" t="s">
        <v>120</v>
      </c>
      <c r="AC870" t="s">
        <v>120</v>
      </c>
      <c r="AD870" t="s">
        <v>120</v>
      </c>
      <c r="AE870" t="s">
        <v>120</v>
      </c>
      <c r="AF870" t="s">
        <v>120</v>
      </c>
      <c r="AG870" t="s">
        <v>120</v>
      </c>
      <c r="AH870" t="s">
        <v>120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31.55</v>
      </c>
      <c r="AP870">
        <v>0</v>
      </c>
      <c r="AQ870">
        <v>0</v>
      </c>
      <c r="AR870">
        <v>70.2</v>
      </c>
      <c r="AS870">
        <v>0</v>
      </c>
    </row>
    <row r="871" spans="1:45" x14ac:dyDescent="0.25">
      <c r="A871" t="s">
        <v>1970</v>
      </c>
      <c r="B871" t="s">
        <v>1971</v>
      </c>
      <c r="C871" t="s">
        <v>147</v>
      </c>
      <c r="D871" t="s">
        <v>1925</v>
      </c>
      <c r="E871" t="s">
        <v>120</v>
      </c>
      <c r="F871" t="s">
        <v>120</v>
      </c>
      <c r="G871" t="s">
        <v>120</v>
      </c>
      <c r="H871" t="s">
        <v>120</v>
      </c>
      <c r="I871" t="s">
        <v>120</v>
      </c>
      <c r="J871" t="s">
        <v>120</v>
      </c>
      <c r="K871" t="s">
        <v>120</v>
      </c>
      <c r="L871" t="s">
        <v>120</v>
      </c>
      <c r="M871" t="s">
        <v>120</v>
      </c>
      <c r="N871" t="s">
        <v>120</v>
      </c>
      <c r="O871" t="s">
        <v>120</v>
      </c>
      <c r="P871" t="s">
        <v>120</v>
      </c>
      <c r="Q871" t="s">
        <v>120</v>
      </c>
      <c r="R871" t="s">
        <v>120</v>
      </c>
      <c r="S871" t="s">
        <v>120</v>
      </c>
      <c r="T871" t="s">
        <v>120</v>
      </c>
      <c r="U871" t="s">
        <v>120</v>
      </c>
      <c r="V871" t="s">
        <v>120</v>
      </c>
      <c r="W871" t="s">
        <v>120</v>
      </c>
      <c r="X871" t="s">
        <v>120</v>
      </c>
      <c r="Y871" t="s">
        <v>120</v>
      </c>
      <c r="Z871" t="s">
        <v>120</v>
      </c>
      <c r="AA871" t="s">
        <v>120</v>
      </c>
      <c r="AB871" t="s">
        <v>120</v>
      </c>
      <c r="AC871" t="s">
        <v>120</v>
      </c>
      <c r="AD871" t="s">
        <v>120</v>
      </c>
      <c r="AE871" t="s">
        <v>120</v>
      </c>
      <c r="AF871" t="s">
        <v>120</v>
      </c>
      <c r="AG871" t="s">
        <v>120</v>
      </c>
      <c r="AH871" t="s">
        <v>120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31.55</v>
      </c>
      <c r="AP871">
        <v>0</v>
      </c>
      <c r="AQ871">
        <v>0</v>
      </c>
      <c r="AR871">
        <v>70.2</v>
      </c>
      <c r="AS871">
        <v>0</v>
      </c>
    </row>
    <row r="872" spans="1:45" x14ac:dyDescent="0.25">
      <c r="A872" t="s">
        <v>1972</v>
      </c>
      <c r="B872" t="s">
        <v>1973</v>
      </c>
      <c r="C872" t="s">
        <v>147</v>
      </c>
      <c r="D872" t="s">
        <v>1925</v>
      </c>
      <c r="E872" t="s">
        <v>120</v>
      </c>
      <c r="F872" t="s">
        <v>120</v>
      </c>
      <c r="G872" t="s">
        <v>120</v>
      </c>
      <c r="H872" t="s">
        <v>120</v>
      </c>
      <c r="I872" t="s">
        <v>120</v>
      </c>
      <c r="J872" t="s">
        <v>120</v>
      </c>
      <c r="K872" t="s">
        <v>120</v>
      </c>
      <c r="L872" t="s">
        <v>120</v>
      </c>
      <c r="M872" t="s">
        <v>120</v>
      </c>
      <c r="N872" t="s">
        <v>120</v>
      </c>
      <c r="O872" t="s">
        <v>120</v>
      </c>
      <c r="P872" t="s">
        <v>120</v>
      </c>
      <c r="Q872" t="s">
        <v>120</v>
      </c>
      <c r="R872" t="s">
        <v>120</v>
      </c>
      <c r="S872" t="s">
        <v>120</v>
      </c>
      <c r="T872" t="s">
        <v>120</v>
      </c>
      <c r="U872" t="s">
        <v>120</v>
      </c>
      <c r="V872" t="s">
        <v>120</v>
      </c>
      <c r="W872" t="s">
        <v>120</v>
      </c>
      <c r="X872" t="s">
        <v>120</v>
      </c>
      <c r="Y872" t="s">
        <v>120</v>
      </c>
      <c r="Z872" t="s">
        <v>120</v>
      </c>
      <c r="AA872" t="s">
        <v>120</v>
      </c>
      <c r="AB872" t="s">
        <v>120</v>
      </c>
      <c r="AC872" t="s">
        <v>120</v>
      </c>
      <c r="AD872" t="s">
        <v>120</v>
      </c>
      <c r="AE872" t="s">
        <v>120</v>
      </c>
      <c r="AF872" t="s">
        <v>120</v>
      </c>
      <c r="AG872" t="s">
        <v>120</v>
      </c>
      <c r="AH872" t="s">
        <v>120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31.55</v>
      </c>
      <c r="AP872">
        <v>0</v>
      </c>
      <c r="AQ872">
        <v>0</v>
      </c>
      <c r="AR872">
        <v>70.2</v>
      </c>
      <c r="AS872">
        <v>0</v>
      </c>
    </row>
    <row r="873" spans="1:45" x14ac:dyDescent="0.25">
      <c r="A873" t="s">
        <v>1974</v>
      </c>
      <c r="B873" t="s">
        <v>1975</v>
      </c>
      <c r="C873" t="s">
        <v>147</v>
      </c>
      <c r="D873" t="s">
        <v>1976</v>
      </c>
      <c r="E873" t="s">
        <v>120</v>
      </c>
      <c r="F873" t="s">
        <v>120</v>
      </c>
      <c r="G873" t="s">
        <v>120</v>
      </c>
      <c r="H873" t="s">
        <v>120</v>
      </c>
      <c r="I873" t="s">
        <v>120</v>
      </c>
      <c r="J873" t="s">
        <v>120</v>
      </c>
      <c r="K873" t="s">
        <v>120</v>
      </c>
      <c r="L873" t="s">
        <v>120</v>
      </c>
      <c r="M873" t="s">
        <v>120</v>
      </c>
      <c r="N873" t="s">
        <v>120</v>
      </c>
      <c r="O873" t="s">
        <v>120</v>
      </c>
      <c r="P873" t="s">
        <v>120</v>
      </c>
      <c r="Q873" t="s">
        <v>120</v>
      </c>
      <c r="R873" t="s">
        <v>120</v>
      </c>
      <c r="S873" t="s">
        <v>120</v>
      </c>
      <c r="T873" t="s">
        <v>120</v>
      </c>
      <c r="U873" t="s">
        <v>120</v>
      </c>
      <c r="V873" t="s">
        <v>120</v>
      </c>
      <c r="W873" t="s">
        <v>120</v>
      </c>
      <c r="X873" t="s">
        <v>120</v>
      </c>
      <c r="Y873" t="s">
        <v>120</v>
      </c>
      <c r="Z873" t="s">
        <v>120</v>
      </c>
      <c r="AA873" t="s">
        <v>120</v>
      </c>
      <c r="AB873" t="s">
        <v>120</v>
      </c>
      <c r="AC873" t="s">
        <v>120</v>
      </c>
      <c r="AD873" t="s">
        <v>120</v>
      </c>
      <c r="AE873" t="s">
        <v>120</v>
      </c>
      <c r="AF873" t="s">
        <v>120</v>
      </c>
      <c r="AG873" t="s">
        <v>120</v>
      </c>
      <c r="AH873" t="s">
        <v>120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31.55</v>
      </c>
      <c r="AP873">
        <v>0</v>
      </c>
      <c r="AQ873">
        <v>0</v>
      </c>
      <c r="AR873">
        <v>70.2</v>
      </c>
      <c r="AS873">
        <v>0</v>
      </c>
    </row>
    <row r="874" spans="1:45" x14ac:dyDescent="0.25">
      <c r="A874" t="s">
        <v>1977</v>
      </c>
      <c r="B874" t="s">
        <v>1978</v>
      </c>
      <c r="C874" t="s">
        <v>147</v>
      </c>
      <c r="D874" t="s">
        <v>1976</v>
      </c>
      <c r="E874" t="s">
        <v>120</v>
      </c>
      <c r="F874" t="s">
        <v>120</v>
      </c>
      <c r="G874" t="s">
        <v>120</v>
      </c>
      <c r="H874" t="s">
        <v>120</v>
      </c>
      <c r="I874" t="s">
        <v>120</v>
      </c>
      <c r="J874" t="s">
        <v>120</v>
      </c>
      <c r="K874" t="s">
        <v>120</v>
      </c>
      <c r="L874" t="s">
        <v>120</v>
      </c>
      <c r="M874" t="s">
        <v>120</v>
      </c>
      <c r="N874" t="s">
        <v>120</v>
      </c>
      <c r="O874" t="s">
        <v>120</v>
      </c>
      <c r="P874" t="s">
        <v>120</v>
      </c>
      <c r="Q874" t="s">
        <v>120</v>
      </c>
      <c r="R874" t="s">
        <v>120</v>
      </c>
      <c r="S874" t="s">
        <v>120</v>
      </c>
      <c r="T874" t="s">
        <v>120</v>
      </c>
      <c r="U874" t="s">
        <v>120</v>
      </c>
      <c r="V874" t="s">
        <v>120</v>
      </c>
      <c r="W874" t="s">
        <v>120</v>
      </c>
      <c r="X874" t="s">
        <v>120</v>
      </c>
      <c r="Y874" t="s">
        <v>120</v>
      </c>
      <c r="Z874" t="s">
        <v>120</v>
      </c>
      <c r="AA874" t="s">
        <v>332</v>
      </c>
      <c r="AB874" t="s">
        <v>120</v>
      </c>
      <c r="AC874" t="s">
        <v>120</v>
      </c>
      <c r="AD874" t="s">
        <v>120</v>
      </c>
      <c r="AE874" t="s">
        <v>120</v>
      </c>
      <c r="AF874" t="s">
        <v>120</v>
      </c>
      <c r="AG874" t="s">
        <v>120</v>
      </c>
      <c r="AH874" t="s">
        <v>120</v>
      </c>
      <c r="AJ874">
        <v>0</v>
      </c>
      <c r="AK874">
        <v>7</v>
      </c>
      <c r="AL874">
        <v>7</v>
      </c>
      <c r="AM874">
        <v>0</v>
      </c>
      <c r="AN874">
        <v>0</v>
      </c>
      <c r="AO874">
        <v>28.25</v>
      </c>
      <c r="AP874">
        <v>7</v>
      </c>
      <c r="AQ874">
        <v>0</v>
      </c>
      <c r="AR874">
        <v>70.2</v>
      </c>
      <c r="AS874">
        <v>395.5</v>
      </c>
    </row>
    <row r="875" spans="1:45" x14ac:dyDescent="0.25">
      <c r="A875" t="s">
        <v>1979</v>
      </c>
      <c r="B875" t="s">
        <v>1980</v>
      </c>
      <c r="C875" t="s">
        <v>147</v>
      </c>
      <c r="D875" t="s">
        <v>1976</v>
      </c>
      <c r="E875" t="s">
        <v>120</v>
      </c>
      <c r="F875" t="s">
        <v>120</v>
      </c>
      <c r="G875" t="s">
        <v>120</v>
      </c>
      <c r="H875" t="s">
        <v>120</v>
      </c>
      <c r="I875" t="s">
        <v>120</v>
      </c>
      <c r="J875" t="s">
        <v>120</v>
      </c>
      <c r="K875" t="s">
        <v>120</v>
      </c>
      <c r="L875" t="s">
        <v>120</v>
      </c>
      <c r="M875" t="s">
        <v>120</v>
      </c>
      <c r="N875" t="s">
        <v>141</v>
      </c>
      <c r="O875" t="s">
        <v>120</v>
      </c>
      <c r="P875" t="s">
        <v>120</v>
      </c>
      <c r="Q875" t="s">
        <v>120</v>
      </c>
      <c r="R875" t="s">
        <v>120</v>
      </c>
      <c r="S875" t="s">
        <v>120</v>
      </c>
      <c r="T875" t="s">
        <v>120</v>
      </c>
      <c r="U875" t="s">
        <v>120</v>
      </c>
      <c r="V875" t="s">
        <v>120</v>
      </c>
      <c r="W875" t="s">
        <v>120</v>
      </c>
      <c r="X875" t="s">
        <v>120</v>
      </c>
      <c r="Y875" t="s">
        <v>120</v>
      </c>
      <c r="Z875" t="s">
        <v>120</v>
      </c>
      <c r="AA875" t="s">
        <v>120</v>
      </c>
      <c r="AB875" t="s">
        <v>120</v>
      </c>
      <c r="AC875" t="s">
        <v>120</v>
      </c>
      <c r="AD875" t="s">
        <v>120</v>
      </c>
      <c r="AE875" t="s">
        <v>120</v>
      </c>
      <c r="AF875" t="s">
        <v>120</v>
      </c>
      <c r="AG875" t="s">
        <v>120</v>
      </c>
      <c r="AH875" t="s">
        <v>120</v>
      </c>
      <c r="AJ875">
        <v>0</v>
      </c>
      <c r="AK875">
        <v>8</v>
      </c>
      <c r="AL875">
        <v>8</v>
      </c>
      <c r="AM875">
        <v>0</v>
      </c>
      <c r="AN875">
        <v>0</v>
      </c>
      <c r="AO875">
        <v>31.55</v>
      </c>
      <c r="AP875">
        <v>8</v>
      </c>
      <c r="AQ875">
        <v>0</v>
      </c>
      <c r="AR875">
        <v>70.2</v>
      </c>
      <c r="AS875">
        <v>504.8</v>
      </c>
    </row>
    <row r="876" spans="1:45" x14ac:dyDescent="0.25">
      <c r="A876" t="s">
        <v>1981</v>
      </c>
      <c r="B876" t="s">
        <v>1982</v>
      </c>
      <c r="C876" t="s">
        <v>147</v>
      </c>
      <c r="D876" t="s">
        <v>1976</v>
      </c>
      <c r="E876" t="s">
        <v>120</v>
      </c>
      <c r="F876" t="s">
        <v>120</v>
      </c>
      <c r="G876" t="s">
        <v>120</v>
      </c>
      <c r="H876" t="s">
        <v>120</v>
      </c>
      <c r="I876" t="s">
        <v>120</v>
      </c>
      <c r="J876" t="s">
        <v>120</v>
      </c>
      <c r="K876" t="s">
        <v>120</v>
      </c>
      <c r="L876" t="s">
        <v>120</v>
      </c>
      <c r="M876" t="s">
        <v>120</v>
      </c>
      <c r="N876" t="s">
        <v>120</v>
      </c>
      <c r="O876" t="s">
        <v>120</v>
      </c>
      <c r="P876" t="s">
        <v>120</v>
      </c>
      <c r="Q876" t="s">
        <v>120</v>
      </c>
      <c r="R876" t="s">
        <v>120</v>
      </c>
      <c r="S876" t="s">
        <v>120</v>
      </c>
      <c r="T876" t="s">
        <v>120</v>
      </c>
      <c r="U876" t="s">
        <v>120</v>
      </c>
      <c r="V876" t="s">
        <v>120</v>
      </c>
      <c r="W876" t="s">
        <v>120</v>
      </c>
      <c r="X876" t="s">
        <v>120</v>
      </c>
      <c r="Y876" t="s">
        <v>120</v>
      </c>
      <c r="Z876" t="s">
        <v>120</v>
      </c>
      <c r="AA876" t="s">
        <v>120</v>
      </c>
      <c r="AB876" t="s">
        <v>120</v>
      </c>
      <c r="AC876" t="s">
        <v>120</v>
      </c>
      <c r="AD876" t="s">
        <v>120</v>
      </c>
      <c r="AE876" t="s">
        <v>120</v>
      </c>
      <c r="AF876" t="s">
        <v>120</v>
      </c>
      <c r="AG876" t="s">
        <v>120</v>
      </c>
      <c r="AH876" t="s">
        <v>120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31.55</v>
      </c>
      <c r="AP876">
        <v>0</v>
      </c>
      <c r="AQ876">
        <v>0</v>
      </c>
      <c r="AR876">
        <v>70.2</v>
      </c>
      <c r="AS876">
        <v>0</v>
      </c>
    </row>
    <row r="877" spans="1:45" x14ac:dyDescent="0.25">
      <c r="A877" t="s">
        <v>1983</v>
      </c>
      <c r="B877" t="s">
        <v>1984</v>
      </c>
      <c r="C877" t="s">
        <v>147</v>
      </c>
      <c r="D877" t="s">
        <v>1976</v>
      </c>
      <c r="E877" t="s">
        <v>120</v>
      </c>
      <c r="F877" t="s">
        <v>120</v>
      </c>
      <c r="G877" t="s">
        <v>120</v>
      </c>
      <c r="H877" t="s">
        <v>120</v>
      </c>
      <c r="I877" t="s">
        <v>120</v>
      </c>
      <c r="J877" t="s">
        <v>120</v>
      </c>
      <c r="K877" t="s">
        <v>120</v>
      </c>
      <c r="L877" t="s">
        <v>120</v>
      </c>
      <c r="M877" t="s">
        <v>120</v>
      </c>
      <c r="N877" t="s">
        <v>120</v>
      </c>
      <c r="O877" t="s">
        <v>120</v>
      </c>
      <c r="P877" t="s">
        <v>120</v>
      </c>
      <c r="Q877" t="s">
        <v>120</v>
      </c>
      <c r="R877" t="s">
        <v>120</v>
      </c>
      <c r="S877" t="s">
        <v>120</v>
      </c>
      <c r="T877" t="s">
        <v>120</v>
      </c>
      <c r="U877" t="s">
        <v>120</v>
      </c>
      <c r="V877" t="s">
        <v>120</v>
      </c>
      <c r="W877" t="s">
        <v>120</v>
      </c>
      <c r="X877" t="s">
        <v>120</v>
      </c>
      <c r="Y877" t="s">
        <v>120</v>
      </c>
      <c r="Z877" t="s">
        <v>120</v>
      </c>
      <c r="AA877" t="s">
        <v>120</v>
      </c>
      <c r="AB877" t="s">
        <v>120</v>
      </c>
      <c r="AC877" t="s">
        <v>120</v>
      </c>
      <c r="AD877" t="s">
        <v>120</v>
      </c>
      <c r="AE877" t="s">
        <v>120</v>
      </c>
      <c r="AF877" t="s">
        <v>120</v>
      </c>
      <c r="AG877" t="s">
        <v>120</v>
      </c>
      <c r="AH877" t="s">
        <v>120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28.25</v>
      </c>
      <c r="AP877">
        <v>0</v>
      </c>
      <c r="AQ877">
        <v>0</v>
      </c>
      <c r="AR877">
        <v>70.2</v>
      </c>
      <c r="AS877">
        <v>0</v>
      </c>
    </row>
    <row r="878" spans="1:45" x14ac:dyDescent="0.25">
      <c r="A878" t="s">
        <v>1985</v>
      </c>
      <c r="B878" t="s">
        <v>1986</v>
      </c>
      <c r="C878" t="s">
        <v>147</v>
      </c>
      <c r="D878" t="s">
        <v>1976</v>
      </c>
      <c r="E878" t="s">
        <v>120</v>
      </c>
      <c r="F878" t="s">
        <v>120</v>
      </c>
      <c r="G878" t="s">
        <v>120</v>
      </c>
      <c r="H878" t="s">
        <v>120</v>
      </c>
      <c r="I878" t="s">
        <v>120</v>
      </c>
      <c r="J878" t="s">
        <v>120</v>
      </c>
      <c r="K878" t="s">
        <v>120</v>
      </c>
      <c r="L878" t="s">
        <v>120</v>
      </c>
      <c r="M878" t="s">
        <v>120</v>
      </c>
      <c r="N878" t="s">
        <v>120</v>
      </c>
      <c r="O878" t="s">
        <v>120</v>
      </c>
      <c r="P878" t="s">
        <v>120</v>
      </c>
      <c r="Q878" t="s">
        <v>120</v>
      </c>
      <c r="R878" t="s">
        <v>120</v>
      </c>
      <c r="S878" t="s">
        <v>120</v>
      </c>
      <c r="T878" t="s">
        <v>120</v>
      </c>
      <c r="U878" t="s">
        <v>120</v>
      </c>
      <c r="V878" t="s">
        <v>120</v>
      </c>
      <c r="W878" t="s">
        <v>120</v>
      </c>
      <c r="X878" t="s">
        <v>120</v>
      </c>
      <c r="Y878" t="s">
        <v>120</v>
      </c>
      <c r="Z878" t="s">
        <v>120</v>
      </c>
      <c r="AA878" t="s">
        <v>120</v>
      </c>
      <c r="AB878" t="s">
        <v>120</v>
      </c>
      <c r="AC878" t="s">
        <v>120</v>
      </c>
      <c r="AD878" t="s">
        <v>120</v>
      </c>
      <c r="AE878" t="s">
        <v>120</v>
      </c>
      <c r="AF878" t="s">
        <v>120</v>
      </c>
      <c r="AG878" t="s">
        <v>120</v>
      </c>
      <c r="AH878" t="s">
        <v>120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31.55</v>
      </c>
      <c r="AP878">
        <v>0</v>
      </c>
      <c r="AQ878">
        <v>0</v>
      </c>
      <c r="AR878">
        <v>70.2</v>
      </c>
      <c r="AS878">
        <v>0</v>
      </c>
    </row>
    <row r="879" spans="1:45" x14ac:dyDescent="0.25">
      <c r="A879" t="s">
        <v>1987</v>
      </c>
      <c r="B879" t="s">
        <v>1988</v>
      </c>
      <c r="C879" t="s">
        <v>127</v>
      </c>
      <c r="D879" t="s">
        <v>1976</v>
      </c>
      <c r="E879" t="s">
        <v>120</v>
      </c>
      <c r="F879" t="s">
        <v>120</v>
      </c>
      <c r="G879" t="s">
        <v>120</v>
      </c>
      <c r="H879" t="s">
        <v>120</v>
      </c>
      <c r="I879" t="s">
        <v>120</v>
      </c>
      <c r="J879" t="s">
        <v>120</v>
      </c>
      <c r="K879" t="s">
        <v>120</v>
      </c>
      <c r="L879" t="s">
        <v>120</v>
      </c>
      <c r="M879" t="s">
        <v>120</v>
      </c>
      <c r="N879" t="s">
        <v>120</v>
      </c>
      <c r="O879" t="s">
        <v>120</v>
      </c>
      <c r="P879" t="s">
        <v>120</v>
      </c>
      <c r="Q879" t="s">
        <v>120</v>
      </c>
      <c r="R879" t="s">
        <v>120</v>
      </c>
      <c r="S879" t="s">
        <v>120</v>
      </c>
      <c r="T879" t="s">
        <v>120</v>
      </c>
      <c r="U879" t="s">
        <v>120</v>
      </c>
      <c r="V879" t="s">
        <v>120</v>
      </c>
      <c r="W879" t="s">
        <v>120</v>
      </c>
      <c r="X879" t="s">
        <v>120</v>
      </c>
      <c r="Y879" t="s">
        <v>120</v>
      </c>
      <c r="Z879" t="s">
        <v>120</v>
      </c>
      <c r="AA879" t="s">
        <v>120</v>
      </c>
      <c r="AB879" t="s">
        <v>120</v>
      </c>
      <c r="AC879" t="s">
        <v>120</v>
      </c>
      <c r="AD879" t="s">
        <v>120</v>
      </c>
      <c r="AE879" t="s">
        <v>120</v>
      </c>
      <c r="AF879" t="s">
        <v>120</v>
      </c>
      <c r="AG879" t="s">
        <v>120</v>
      </c>
      <c r="AH879" t="s">
        <v>120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33.43</v>
      </c>
      <c r="AP879">
        <v>0</v>
      </c>
      <c r="AQ879">
        <v>0</v>
      </c>
      <c r="AR879">
        <v>75.06</v>
      </c>
      <c r="AS879">
        <v>0</v>
      </c>
    </row>
    <row r="880" spans="1:45" x14ac:dyDescent="0.25">
      <c r="A880" t="s">
        <v>1989</v>
      </c>
      <c r="B880" t="s">
        <v>1990</v>
      </c>
      <c r="C880" t="s">
        <v>147</v>
      </c>
      <c r="D880" t="s">
        <v>1976</v>
      </c>
      <c r="E880" t="s">
        <v>120</v>
      </c>
      <c r="F880" t="s">
        <v>120</v>
      </c>
      <c r="G880" t="s">
        <v>120</v>
      </c>
      <c r="H880" t="s">
        <v>135</v>
      </c>
      <c r="I880" t="s">
        <v>120</v>
      </c>
      <c r="J880" t="s">
        <v>120</v>
      </c>
      <c r="K880" t="s">
        <v>120</v>
      </c>
      <c r="L880" t="s">
        <v>120</v>
      </c>
      <c r="M880" t="s">
        <v>120</v>
      </c>
      <c r="N880" t="s">
        <v>141</v>
      </c>
      <c r="O880" t="s">
        <v>120</v>
      </c>
      <c r="P880" t="s">
        <v>120</v>
      </c>
      <c r="Q880" t="s">
        <v>120</v>
      </c>
      <c r="R880" t="s">
        <v>120</v>
      </c>
      <c r="S880" t="s">
        <v>120</v>
      </c>
      <c r="T880" t="s">
        <v>120</v>
      </c>
      <c r="U880" t="s">
        <v>120</v>
      </c>
      <c r="V880" t="s">
        <v>120</v>
      </c>
      <c r="W880" t="s">
        <v>120</v>
      </c>
      <c r="X880" t="s">
        <v>120</v>
      </c>
      <c r="Y880" t="s">
        <v>120</v>
      </c>
      <c r="Z880" t="s">
        <v>120</v>
      </c>
      <c r="AA880" t="s">
        <v>120</v>
      </c>
      <c r="AB880" t="s">
        <v>120</v>
      </c>
      <c r="AC880" t="s">
        <v>120</v>
      </c>
      <c r="AD880" t="s">
        <v>120</v>
      </c>
      <c r="AE880" t="s">
        <v>120</v>
      </c>
      <c r="AF880" t="s">
        <v>120</v>
      </c>
      <c r="AG880" t="s">
        <v>120</v>
      </c>
      <c r="AH880" t="s">
        <v>120</v>
      </c>
      <c r="AJ880">
        <v>0</v>
      </c>
      <c r="AK880">
        <v>16</v>
      </c>
      <c r="AL880">
        <v>8</v>
      </c>
      <c r="AM880">
        <v>8</v>
      </c>
      <c r="AN880">
        <v>0</v>
      </c>
      <c r="AO880">
        <v>31.55</v>
      </c>
      <c r="AP880">
        <v>16</v>
      </c>
      <c r="AQ880">
        <v>0</v>
      </c>
      <c r="AR880">
        <v>70.2</v>
      </c>
      <c r="AS880">
        <v>1009.6</v>
      </c>
    </row>
    <row r="881" spans="1:45" x14ac:dyDescent="0.25">
      <c r="A881" t="s">
        <v>1991</v>
      </c>
      <c r="B881" t="s">
        <v>1992</v>
      </c>
      <c r="C881" t="s">
        <v>147</v>
      </c>
      <c r="D881" t="s">
        <v>1976</v>
      </c>
      <c r="E881" t="s">
        <v>120</v>
      </c>
      <c r="F881" t="s">
        <v>120</v>
      </c>
      <c r="G881" t="s">
        <v>120</v>
      </c>
      <c r="H881" t="s">
        <v>120</v>
      </c>
      <c r="I881" t="s">
        <v>120</v>
      </c>
      <c r="J881" t="s">
        <v>120</v>
      </c>
      <c r="K881" t="s">
        <v>120</v>
      </c>
      <c r="L881" t="s">
        <v>120</v>
      </c>
      <c r="M881" t="s">
        <v>120</v>
      </c>
      <c r="N881" t="s">
        <v>120</v>
      </c>
      <c r="O881" t="s">
        <v>120</v>
      </c>
      <c r="P881" t="s">
        <v>120</v>
      </c>
      <c r="Q881" t="s">
        <v>120</v>
      </c>
      <c r="R881" t="s">
        <v>120</v>
      </c>
      <c r="S881" t="s">
        <v>120</v>
      </c>
      <c r="T881" t="s">
        <v>120</v>
      </c>
      <c r="U881" t="s">
        <v>120</v>
      </c>
      <c r="V881" t="s">
        <v>120</v>
      </c>
      <c r="W881" t="s">
        <v>120</v>
      </c>
      <c r="X881" t="s">
        <v>120</v>
      </c>
      <c r="Y881" t="s">
        <v>120</v>
      </c>
      <c r="Z881" t="s">
        <v>120</v>
      </c>
      <c r="AA881" t="s">
        <v>120</v>
      </c>
      <c r="AB881" t="s">
        <v>120</v>
      </c>
      <c r="AC881" t="s">
        <v>120</v>
      </c>
      <c r="AD881" t="s">
        <v>120</v>
      </c>
      <c r="AE881" t="s">
        <v>120</v>
      </c>
      <c r="AF881" t="s">
        <v>120</v>
      </c>
      <c r="AG881" t="s">
        <v>120</v>
      </c>
      <c r="AH881" t="s">
        <v>120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31.55</v>
      </c>
      <c r="AP881">
        <v>0</v>
      </c>
      <c r="AQ881">
        <v>0</v>
      </c>
      <c r="AR881">
        <v>70.2</v>
      </c>
      <c r="AS881">
        <v>0</v>
      </c>
    </row>
    <row r="882" spans="1:45" x14ac:dyDescent="0.25">
      <c r="A882" t="s">
        <v>1993</v>
      </c>
      <c r="B882" t="s">
        <v>1994</v>
      </c>
      <c r="C882" t="s">
        <v>147</v>
      </c>
      <c r="D882" t="s">
        <v>1976</v>
      </c>
      <c r="E882" t="s">
        <v>120</v>
      </c>
      <c r="F882" t="s">
        <v>120</v>
      </c>
      <c r="G882" t="s">
        <v>120</v>
      </c>
      <c r="H882" t="s">
        <v>120</v>
      </c>
      <c r="I882" t="s">
        <v>120</v>
      </c>
      <c r="J882" t="s">
        <v>120</v>
      </c>
      <c r="K882" t="s">
        <v>120</v>
      </c>
      <c r="L882" t="s">
        <v>120</v>
      </c>
      <c r="M882" t="s">
        <v>120</v>
      </c>
      <c r="N882" t="s">
        <v>120</v>
      </c>
      <c r="O882" t="s">
        <v>120</v>
      </c>
      <c r="P882" t="s">
        <v>120</v>
      </c>
      <c r="Q882" t="s">
        <v>120</v>
      </c>
      <c r="R882" t="s">
        <v>120</v>
      </c>
      <c r="S882" t="s">
        <v>120</v>
      </c>
      <c r="T882" t="s">
        <v>120</v>
      </c>
      <c r="U882" t="s">
        <v>120</v>
      </c>
      <c r="V882" t="s">
        <v>120</v>
      </c>
      <c r="W882" t="s">
        <v>120</v>
      </c>
      <c r="X882" t="s">
        <v>120</v>
      </c>
      <c r="Y882" t="s">
        <v>120</v>
      </c>
      <c r="Z882" t="s">
        <v>120</v>
      </c>
      <c r="AA882" t="s">
        <v>120</v>
      </c>
      <c r="AB882" t="s">
        <v>120</v>
      </c>
      <c r="AC882" t="s">
        <v>120</v>
      </c>
      <c r="AD882" t="s">
        <v>120</v>
      </c>
      <c r="AE882" t="s">
        <v>120</v>
      </c>
      <c r="AF882" t="s">
        <v>120</v>
      </c>
      <c r="AG882" t="s">
        <v>120</v>
      </c>
      <c r="AH882" t="s">
        <v>120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31.55</v>
      </c>
      <c r="AP882">
        <v>0</v>
      </c>
      <c r="AQ882">
        <v>0</v>
      </c>
      <c r="AR882">
        <v>70.2</v>
      </c>
      <c r="AS882">
        <v>0</v>
      </c>
    </row>
    <row r="883" spans="1:45" x14ac:dyDescent="0.25">
      <c r="A883" t="s">
        <v>1995</v>
      </c>
      <c r="B883" t="s">
        <v>1996</v>
      </c>
      <c r="C883" t="s">
        <v>147</v>
      </c>
      <c r="D883" t="s">
        <v>1976</v>
      </c>
      <c r="E883" t="s">
        <v>120</v>
      </c>
      <c r="F883" t="s">
        <v>120</v>
      </c>
      <c r="G883" t="s">
        <v>120</v>
      </c>
      <c r="H883" t="s">
        <v>120</v>
      </c>
      <c r="I883" t="s">
        <v>120</v>
      </c>
      <c r="J883" t="s">
        <v>120</v>
      </c>
      <c r="K883" t="s">
        <v>120</v>
      </c>
      <c r="L883" t="s">
        <v>120</v>
      </c>
      <c r="M883" t="s">
        <v>120</v>
      </c>
      <c r="N883" t="s">
        <v>141</v>
      </c>
      <c r="O883" t="s">
        <v>120</v>
      </c>
      <c r="P883" t="s">
        <v>120</v>
      </c>
      <c r="Q883" t="s">
        <v>120</v>
      </c>
      <c r="R883" t="s">
        <v>120</v>
      </c>
      <c r="S883" t="s">
        <v>120</v>
      </c>
      <c r="T883" t="s">
        <v>120</v>
      </c>
      <c r="U883" t="s">
        <v>120</v>
      </c>
      <c r="V883" t="s">
        <v>120</v>
      </c>
      <c r="W883" t="s">
        <v>120</v>
      </c>
      <c r="X883" t="s">
        <v>120</v>
      </c>
      <c r="Y883" t="s">
        <v>120</v>
      </c>
      <c r="Z883" t="s">
        <v>120</v>
      </c>
      <c r="AA883" t="s">
        <v>120</v>
      </c>
      <c r="AB883" t="s">
        <v>120</v>
      </c>
      <c r="AC883" t="s">
        <v>120</v>
      </c>
      <c r="AD883" t="s">
        <v>120</v>
      </c>
      <c r="AE883" t="s">
        <v>120</v>
      </c>
      <c r="AF883" t="s">
        <v>120</v>
      </c>
      <c r="AG883" t="s">
        <v>120</v>
      </c>
      <c r="AH883" t="s">
        <v>120</v>
      </c>
      <c r="AJ883">
        <v>0</v>
      </c>
      <c r="AK883">
        <v>8</v>
      </c>
      <c r="AL883">
        <v>8</v>
      </c>
      <c r="AM883">
        <v>0</v>
      </c>
      <c r="AN883">
        <v>0</v>
      </c>
      <c r="AO883">
        <v>28.25</v>
      </c>
      <c r="AP883">
        <v>8</v>
      </c>
      <c r="AQ883">
        <v>0</v>
      </c>
      <c r="AR883">
        <v>70.2</v>
      </c>
      <c r="AS883">
        <v>452</v>
      </c>
    </row>
    <row r="884" spans="1:45" x14ac:dyDescent="0.25">
      <c r="A884" t="s">
        <v>1997</v>
      </c>
      <c r="B884" t="s">
        <v>1998</v>
      </c>
      <c r="C884" t="s">
        <v>127</v>
      </c>
      <c r="D884" t="s">
        <v>1976</v>
      </c>
      <c r="E884" t="s">
        <v>120</v>
      </c>
      <c r="F884" t="s">
        <v>120</v>
      </c>
      <c r="G884" t="s">
        <v>120</v>
      </c>
      <c r="H884" t="s">
        <v>120</v>
      </c>
      <c r="I884" t="s">
        <v>120</v>
      </c>
      <c r="J884" t="s">
        <v>120</v>
      </c>
      <c r="K884" t="s">
        <v>120</v>
      </c>
      <c r="L884" t="s">
        <v>120</v>
      </c>
      <c r="M884" t="s">
        <v>120</v>
      </c>
      <c r="N884" t="s">
        <v>120</v>
      </c>
      <c r="O884" t="s">
        <v>120</v>
      </c>
      <c r="P884" t="s">
        <v>120</v>
      </c>
      <c r="Q884" t="s">
        <v>120</v>
      </c>
      <c r="R884" t="s">
        <v>120</v>
      </c>
      <c r="S884" t="s">
        <v>120</v>
      </c>
      <c r="T884" t="s">
        <v>120</v>
      </c>
      <c r="U884" t="s">
        <v>120</v>
      </c>
      <c r="V884" t="s">
        <v>120</v>
      </c>
      <c r="W884" t="s">
        <v>120</v>
      </c>
      <c r="X884" t="s">
        <v>120</v>
      </c>
      <c r="Y884" t="s">
        <v>120</v>
      </c>
      <c r="Z884" t="s">
        <v>120</v>
      </c>
      <c r="AA884" t="s">
        <v>120</v>
      </c>
      <c r="AB884" t="s">
        <v>120</v>
      </c>
      <c r="AC884" t="s">
        <v>120</v>
      </c>
      <c r="AD884" t="s">
        <v>120</v>
      </c>
      <c r="AE884" t="s">
        <v>120</v>
      </c>
      <c r="AF884" t="s">
        <v>120</v>
      </c>
      <c r="AG884" t="s">
        <v>120</v>
      </c>
      <c r="AH884" t="s">
        <v>120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33.43</v>
      </c>
      <c r="AP884">
        <v>0</v>
      </c>
      <c r="AQ884">
        <v>0</v>
      </c>
      <c r="AR884">
        <v>75.06</v>
      </c>
      <c r="AS884">
        <v>0</v>
      </c>
    </row>
    <row r="885" spans="1:45" x14ac:dyDescent="0.25">
      <c r="A885" t="s">
        <v>1999</v>
      </c>
      <c r="B885" t="s">
        <v>2000</v>
      </c>
      <c r="C885" t="s">
        <v>130</v>
      </c>
      <c r="D885" t="s">
        <v>1976</v>
      </c>
      <c r="E885" t="s">
        <v>120</v>
      </c>
      <c r="F885" t="s">
        <v>120</v>
      </c>
      <c r="G885" t="s">
        <v>120</v>
      </c>
      <c r="H885" t="s">
        <v>120</v>
      </c>
      <c r="I885" t="s">
        <v>120</v>
      </c>
      <c r="J885" t="s">
        <v>120</v>
      </c>
      <c r="K885" t="s">
        <v>120</v>
      </c>
      <c r="L885" t="s">
        <v>120</v>
      </c>
      <c r="M885" t="s">
        <v>120</v>
      </c>
      <c r="N885" t="s">
        <v>120</v>
      </c>
      <c r="O885" t="s">
        <v>120</v>
      </c>
      <c r="P885" t="s">
        <v>120</v>
      </c>
      <c r="Q885" t="s">
        <v>120</v>
      </c>
      <c r="R885" t="s">
        <v>120</v>
      </c>
      <c r="S885" t="s">
        <v>120</v>
      </c>
      <c r="T885" t="s">
        <v>120</v>
      </c>
      <c r="U885" t="s">
        <v>120</v>
      </c>
      <c r="V885" t="s">
        <v>120</v>
      </c>
      <c r="W885" t="s">
        <v>120</v>
      </c>
      <c r="X885" t="s">
        <v>120</v>
      </c>
      <c r="Y885" t="s">
        <v>120</v>
      </c>
      <c r="Z885" t="s">
        <v>120</v>
      </c>
      <c r="AA885" t="s">
        <v>120</v>
      </c>
      <c r="AB885" t="s">
        <v>120</v>
      </c>
      <c r="AC885" t="s">
        <v>120</v>
      </c>
      <c r="AD885" t="s">
        <v>120</v>
      </c>
      <c r="AE885" t="s">
        <v>120</v>
      </c>
      <c r="AF885" t="s">
        <v>120</v>
      </c>
      <c r="AG885" t="s">
        <v>120</v>
      </c>
      <c r="AH885" t="s">
        <v>120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7500</v>
      </c>
      <c r="AP885">
        <v>0</v>
      </c>
      <c r="AQ885">
        <v>0</v>
      </c>
      <c r="AR885">
        <v>126.56250000000001</v>
      </c>
      <c r="AS885">
        <v>0</v>
      </c>
    </row>
    <row r="886" spans="1:45" x14ac:dyDescent="0.25">
      <c r="A886" t="s">
        <v>2001</v>
      </c>
      <c r="B886" t="s">
        <v>2002</v>
      </c>
      <c r="C886" t="s">
        <v>147</v>
      </c>
      <c r="D886" t="s">
        <v>1976</v>
      </c>
      <c r="E886" t="s">
        <v>120</v>
      </c>
      <c r="F886" t="s">
        <v>120</v>
      </c>
      <c r="G886" t="s">
        <v>120</v>
      </c>
      <c r="H886" t="s">
        <v>120</v>
      </c>
      <c r="I886" t="s">
        <v>120</v>
      </c>
      <c r="J886" t="s">
        <v>120</v>
      </c>
      <c r="K886" t="s">
        <v>120</v>
      </c>
      <c r="L886" t="s">
        <v>120</v>
      </c>
      <c r="M886" t="s">
        <v>120</v>
      </c>
      <c r="N886" t="s">
        <v>141</v>
      </c>
      <c r="O886" t="s">
        <v>120</v>
      </c>
      <c r="P886" t="s">
        <v>120</v>
      </c>
      <c r="Q886" t="s">
        <v>120</v>
      </c>
      <c r="R886" t="s">
        <v>120</v>
      </c>
      <c r="S886" t="s">
        <v>120</v>
      </c>
      <c r="T886" t="s">
        <v>120</v>
      </c>
      <c r="U886" t="s">
        <v>120</v>
      </c>
      <c r="V886" t="s">
        <v>120</v>
      </c>
      <c r="W886" t="s">
        <v>120</v>
      </c>
      <c r="X886" t="s">
        <v>120</v>
      </c>
      <c r="Y886" t="s">
        <v>120</v>
      </c>
      <c r="Z886" t="s">
        <v>120</v>
      </c>
      <c r="AA886" t="s">
        <v>120</v>
      </c>
      <c r="AB886" t="s">
        <v>120</v>
      </c>
      <c r="AC886" t="s">
        <v>120</v>
      </c>
      <c r="AD886" t="s">
        <v>120</v>
      </c>
      <c r="AE886" t="s">
        <v>120</v>
      </c>
      <c r="AF886" t="s">
        <v>120</v>
      </c>
      <c r="AG886" t="s">
        <v>120</v>
      </c>
      <c r="AH886" t="s">
        <v>120</v>
      </c>
      <c r="AJ886">
        <v>0</v>
      </c>
      <c r="AK886">
        <v>8</v>
      </c>
      <c r="AL886">
        <v>8</v>
      </c>
      <c r="AM886">
        <v>0</v>
      </c>
      <c r="AN886">
        <v>0</v>
      </c>
      <c r="AO886">
        <v>31.55</v>
      </c>
      <c r="AP886">
        <v>8</v>
      </c>
      <c r="AQ886">
        <v>0</v>
      </c>
      <c r="AR886">
        <v>70.2</v>
      </c>
      <c r="AS886">
        <v>504.8</v>
      </c>
    </row>
    <row r="887" spans="1:45" x14ac:dyDescent="0.25">
      <c r="A887" t="s">
        <v>2003</v>
      </c>
      <c r="B887" t="s">
        <v>2004</v>
      </c>
      <c r="C887" t="s">
        <v>147</v>
      </c>
      <c r="D887" t="s">
        <v>1976</v>
      </c>
      <c r="E887" t="s">
        <v>120</v>
      </c>
      <c r="F887" t="s">
        <v>120</v>
      </c>
      <c r="G887" t="s">
        <v>120</v>
      </c>
      <c r="H887" t="s">
        <v>120</v>
      </c>
      <c r="I887" t="s">
        <v>120</v>
      </c>
      <c r="J887" t="s">
        <v>120</v>
      </c>
      <c r="K887" t="s">
        <v>120</v>
      </c>
      <c r="L887" t="s">
        <v>120</v>
      </c>
      <c r="M887" t="s">
        <v>120</v>
      </c>
      <c r="N887" t="s">
        <v>120</v>
      </c>
      <c r="O887" t="s">
        <v>120</v>
      </c>
      <c r="P887" t="s">
        <v>120</v>
      </c>
      <c r="Q887" t="s">
        <v>120</v>
      </c>
      <c r="R887" t="s">
        <v>120</v>
      </c>
      <c r="S887" t="s">
        <v>120</v>
      </c>
      <c r="T887" t="s">
        <v>120</v>
      </c>
      <c r="U887" t="s">
        <v>120</v>
      </c>
      <c r="V887" t="s">
        <v>120</v>
      </c>
      <c r="W887" t="s">
        <v>120</v>
      </c>
      <c r="X887" t="s">
        <v>120</v>
      </c>
      <c r="Y887" t="s">
        <v>120</v>
      </c>
      <c r="Z887" t="s">
        <v>120</v>
      </c>
      <c r="AA887" t="s">
        <v>120</v>
      </c>
      <c r="AB887" t="s">
        <v>120</v>
      </c>
      <c r="AC887" t="s">
        <v>120</v>
      </c>
      <c r="AD887" t="s">
        <v>120</v>
      </c>
      <c r="AE887" t="s">
        <v>120</v>
      </c>
      <c r="AF887" t="s">
        <v>120</v>
      </c>
      <c r="AG887" t="s">
        <v>120</v>
      </c>
      <c r="AH887" t="s">
        <v>120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31.55</v>
      </c>
      <c r="AP887">
        <v>0</v>
      </c>
      <c r="AQ887">
        <v>0</v>
      </c>
      <c r="AR887">
        <v>70.2</v>
      </c>
      <c r="AS887">
        <v>0</v>
      </c>
    </row>
    <row r="888" spans="1:45" x14ac:dyDescent="0.25">
      <c r="A888" t="s">
        <v>2005</v>
      </c>
      <c r="B888" t="s">
        <v>2006</v>
      </c>
      <c r="C888" t="s">
        <v>147</v>
      </c>
      <c r="D888" t="s">
        <v>1976</v>
      </c>
      <c r="E888" t="s">
        <v>120</v>
      </c>
      <c r="F888" t="s">
        <v>120</v>
      </c>
      <c r="G888" t="s">
        <v>120</v>
      </c>
      <c r="H888" t="s">
        <v>120</v>
      </c>
      <c r="I888" t="s">
        <v>120</v>
      </c>
      <c r="J888" t="s">
        <v>120</v>
      </c>
      <c r="K888" t="s">
        <v>120</v>
      </c>
      <c r="L888" t="s">
        <v>120</v>
      </c>
      <c r="M888" t="s">
        <v>120</v>
      </c>
      <c r="N888" t="s">
        <v>120</v>
      </c>
      <c r="O888" t="s">
        <v>120</v>
      </c>
      <c r="P888" t="s">
        <v>120</v>
      </c>
      <c r="Q888" t="s">
        <v>120</v>
      </c>
      <c r="R888" t="s">
        <v>120</v>
      </c>
      <c r="S888" t="s">
        <v>120</v>
      </c>
      <c r="T888" t="s">
        <v>120</v>
      </c>
      <c r="U888" t="s">
        <v>120</v>
      </c>
      <c r="V888" t="s">
        <v>120</v>
      </c>
      <c r="W888" t="s">
        <v>120</v>
      </c>
      <c r="X888" t="s">
        <v>120</v>
      </c>
      <c r="Y888" t="s">
        <v>120</v>
      </c>
      <c r="Z888" t="s">
        <v>120</v>
      </c>
      <c r="AA888" t="s">
        <v>120</v>
      </c>
      <c r="AB888" t="s">
        <v>120</v>
      </c>
      <c r="AC888" t="s">
        <v>120</v>
      </c>
      <c r="AD888" t="s">
        <v>120</v>
      </c>
      <c r="AE888" t="s">
        <v>120</v>
      </c>
      <c r="AF888" t="s">
        <v>120</v>
      </c>
      <c r="AG888" t="s">
        <v>120</v>
      </c>
      <c r="AH888" t="s">
        <v>120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31.55</v>
      </c>
      <c r="AP888">
        <v>0</v>
      </c>
      <c r="AQ888">
        <v>0</v>
      </c>
      <c r="AR888">
        <v>70.2</v>
      </c>
      <c r="AS888">
        <v>0</v>
      </c>
    </row>
    <row r="889" spans="1:45" x14ac:dyDescent="0.25">
      <c r="A889" t="s">
        <v>2007</v>
      </c>
      <c r="B889" t="s">
        <v>2008</v>
      </c>
      <c r="C889" t="s">
        <v>147</v>
      </c>
      <c r="D889" t="s">
        <v>1976</v>
      </c>
      <c r="E889" t="s">
        <v>120</v>
      </c>
      <c r="F889" t="s">
        <v>120</v>
      </c>
      <c r="G889" t="s">
        <v>120</v>
      </c>
      <c r="H889" t="s">
        <v>120</v>
      </c>
      <c r="I889" t="s">
        <v>120</v>
      </c>
      <c r="J889" t="s">
        <v>120</v>
      </c>
      <c r="K889" t="s">
        <v>120</v>
      </c>
      <c r="L889" t="s">
        <v>120</v>
      </c>
      <c r="M889" t="s">
        <v>120</v>
      </c>
      <c r="N889" t="s">
        <v>120</v>
      </c>
      <c r="O889" t="s">
        <v>120</v>
      </c>
      <c r="P889" t="s">
        <v>120</v>
      </c>
      <c r="Q889" t="s">
        <v>120</v>
      </c>
      <c r="R889" t="s">
        <v>120</v>
      </c>
      <c r="S889" t="s">
        <v>120</v>
      </c>
      <c r="T889" t="s">
        <v>120</v>
      </c>
      <c r="U889" t="s">
        <v>120</v>
      </c>
      <c r="V889" t="s">
        <v>120</v>
      </c>
      <c r="W889" t="s">
        <v>120</v>
      </c>
      <c r="X889" t="s">
        <v>120</v>
      </c>
      <c r="Y889" t="s">
        <v>120</v>
      </c>
      <c r="Z889" t="s">
        <v>120</v>
      </c>
      <c r="AA889" t="s">
        <v>120</v>
      </c>
      <c r="AB889" t="s">
        <v>120</v>
      </c>
      <c r="AC889" t="s">
        <v>120</v>
      </c>
      <c r="AD889" t="s">
        <v>120</v>
      </c>
      <c r="AE889" t="s">
        <v>120</v>
      </c>
      <c r="AF889" t="s">
        <v>120</v>
      </c>
      <c r="AG889" t="s">
        <v>120</v>
      </c>
      <c r="AH889" t="s">
        <v>120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31.55</v>
      </c>
      <c r="AP889">
        <v>0</v>
      </c>
      <c r="AQ889">
        <v>0</v>
      </c>
      <c r="AR889">
        <v>70.2</v>
      </c>
      <c r="AS889">
        <v>0</v>
      </c>
    </row>
    <row r="890" spans="1:45" x14ac:dyDescent="0.25">
      <c r="A890" t="s">
        <v>2009</v>
      </c>
      <c r="B890" t="s">
        <v>2010</v>
      </c>
      <c r="C890" t="s">
        <v>147</v>
      </c>
      <c r="D890" t="s">
        <v>1976</v>
      </c>
      <c r="E890" t="s">
        <v>120</v>
      </c>
      <c r="F890" t="s">
        <v>120</v>
      </c>
      <c r="G890" t="s">
        <v>120</v>
      </c>
      <c r="H890" t="s">
        <v>120</v>
      </c>
      <c r="I890" t="s">
        <v>120</v>
      </c>
      <c r="J890" t="s">
        <v>120</v>
      </c>
      <c r="K890" t="s">
        <v>120</v>
      </c>
      <c r="L890" t="s">
        <v>120</v>
      </c>
      <c r="M890" t="s">
        <v>120</v>
      </c>
      <c r="N890" t="s">
        <v>120</v>
      </c>
      <c r="O890" t="s">
        <v>120</v>
      </c>
      <c r="P890" t="s">
        <v>120</v>
      </c>
      <c r="Q890" t="s">
        <v>120</v>
      </c>
      <c r="R890" t="s">
        <v>120</v>
      </c>
      <c r="S890" t="s">
        <v>120</v>
      </c>
      <c r="T890" t="s">
        <v>120</v>
      </c>
      <c r="U890" t="s">
        <v>120</v>
      </c>
      <c r="V890" t="s">
        <v>120</v>
      </c>
      <c r="W890" t="s">
        <v>120</v>
      </c>
      <c r="X890" t="s">
        <v>120</v>
      </c>
      <c r="Y890" t="s">
        <v>120</v>
      </c>
      <c r="Z890" t="s">
        <v>120</v>
      </c>
      <c r="AA890" t="s">
        <v>120</v>
      </c>
      <c r="AB890" t="s">
        <v>120</v>
      </c>
      <c r="AC890" t="s">
        <v>120</v>
      </c>
      <c r="AD890" t="s">
        <v>120</v>
      </c>
      <c r="AE890" t="s">
        <v>120</v>
      </c>
      <c r="AF890" t="s">
        <v>120</v>
      </c>
      <c r="AG890" t="s">
        <v>120</v>
      </c>
      <c r="AH890" t="s">
        <v>120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31.55</v>
      </c>
      <c r="AP890">
        <v>0</v>
      </c>
      <c r="AQ890">
        <v>0</v>
      </c>
      <c r="AR890">
        <v>70.2</v>
      </c>
      <c r="AS890">
        <v>0</v>
      </c>
    </row>
    <row r="891" spans="1:45" x14ac:dyDescent="0.25">
      <c r="A891" t="s">
        <v>2011</v>
      </c>
      <c r="B891" t="s">
        <v>2012</v>
      </c>
      <c r="C891" t="s">
        <v>147</v>
      </c>
      <c r="D891" t="s">
        <v>1976</v>
      </c>
      <c r="E891" t="s">
        <v>120</v>
      </c>
      <c r="F891" t="s">
        <v>120</v>
      </c>
      <c r="G891" t="s">
        <v>120</v>
      </c>
      <c r="H891" t="s">
        <v>120</v>
      </c>
      <c r="I891" t="s">
        <v>120</v>
      </c>
      <c r="J891" t="s">
        <v>120</v>
      </c>
      <c r="K891" t="s">
        <v>120</v>
      </c>
      <c r="L891" t="s">
        <v>120</v>
      </c>
      <c r="M891" t="s">
        <v>120</v>
      </c>
      <c r="N891" t="s">
        <v>120</v>
      </c>
      <c r="O891" t="s">
        <v>120</v>
      </c>
      <c r="P891" t="s">
        <v>120</v>
      </c>
      <c r="Q891" t="s">
        <v>120</v>
      </c>
      <c r="R891" t="s">
        <v>120</v>
      </c>
      <c r="S891" t="s">
        <v>120</v>
      </c>
      <c r="T891" t="s">
        <v>120</v>
      </c>
      <c r="U891" t="s">
        <v>120</v>
      </c>
      <c r="V891" t="s">
        <v>120</v>
      </c>
      <c r="W891" t="s">
        <v>120</v>
      </c>
      <c r="X891" t="s">
        <v>120</v>
      </c>
      <c r="Y891" t="s">
        <v>120</v>
      </c>
      <c r="Z891" t="s">
        <v>120</v>
      </c>
      <c r="AA891" t="s">
        <v>120</v>
      </c>
      <c r="AB891" t="s">
        <v>120</v>
      </c>
      <c r="AC891" t="s">
        <v>120</v>
      </c>
      <c r="AD891" t="s">
        <v>120</v>
      </c>
      <c r="AE891" t="s">
        <v>120</v>
      </c>
      <c r="AF891" t="s">
        <v>120</v>
      </c>
      <c r="AG891" t="s">
        <v>120</v>
      </c>
      <c r="AH891" t="s">
        <v>120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28.25</v>
      </c>
      <c r="AP891">
        <v>0</v>
      </c>
      <c r="AQ891">
        <v>0</v>
      </c>
      <c r="AR891">
        <v>70.2</v>
      </c>
      <c r="AS891">
        <v>0</v>
      </c>
    </row>
    <row r="892" spans="1:45" x14ac:dyDescent="0.25">
      <c r="A892" t="s">
        <v>2013</v>
      </c>
      <c r="B892" t="s">
        <v>2014</v>
      </c>
      <c r="C892" t="s">
        <v>147</v>
      </c>
      <c r="D892" t="s">
        <v>1976</v>
      </c>
      <c r="E892" t="s">
        <v>120</v>
      </c>
      <c r="F892" t="s">
        <v>120</v>
      </c>
      <c r="G892" t="s">
        <v>120</v>
      </c>
      <c r="H892" t="s">
        <v>120</v>
      </c>
      <c r="I892" t="s">
        <v>120</v>
      </c>
      <c r="J892" t="s">
        <v>120</v>
      </c>
      <c r="K892" t="s">
        <v>120</v>
      </c>
      <c r="L892" t="s">
        <v>120</v>
      </c>
      <c r="M892" t="s">
        <v>120</v>
      </c>
      <c r="N892" t="s">
        <v>141</v>
      </c>
      <c r="O892" t="s">
        <v>120</v>
      </c>
      <c r="P892" t="s">
        <v>120</v>
      </c>
      <c r="Q892" t="s">
        <v>120</v>
      </c>
      <c r="R892" t="s">
        <v>120</v>
      </c>
      <c r="S892" t="s">
        <v>120</v>
      </c>
      <c r="T892" t="s">
        <v>120</v>
      </c>
      <c r="U892" t="s">
        <v>120</v>
      </c>
      <c r="V892" t="s">
        <v>120</v>
      </c>
      <c r="W892" t="s">
        <v>120</v>
      </c>
      <c r="X892" t="s">
        <v>120</v>
      </c>
      <c r="Y892" t="s">
        <v>120</v>
      </c>
      <c r="Z892" t="s">
        <v>120</v>
      </c>
      <c r="AA892" t="s">
        <v>120</v>
      </c>
      <c r="AB892" t="s">
        <v>120</v>
      </c>
      <c r="AC892" t="s">
        <v>120</v>
      </c>
      <c r="AD892" t="s">
        <v>120</v>
      </c>
      <c r="AE892" t="s">
        <v>120</v>
      </c>
      <c r="AF892" t="s">
        <v>120</v>
      </c>
      <c r="AG892" t="s">
        <v>120</v>
      </c>
      <c r="AH892" t="s">
        <v>120</v>
      </c>
      <c r="AJ892">
        <v>0</v>
      </c>
      <c r="AK892">
        <v>8</v>
      </c>
      <c r="AL892">
        <v>8</v>
      </c>
      <c r="AM892">
        <v>0</v>
      </c>
      <c r="AN892">
        <v>0</v>
      </c>
      <c r="AO892">
        <v>31.55</v>
      </c>
      <c r="AP892">
        <v>8</v>
      </c>
      <c r="AQ892">
        <v>0</v>
      </c>
      <c r="AR892">
        <v>70.2</v>
      </c>
      <c r="AS892">
        <v>504.8</v>
      </c>
    </row>
    <row r="893" spans="1:45" x14ac:dyDescent="0.25">
      <c r="A893" t="s">
        <v>2015</v>
      </c>
      <c r="B893" t="s">
        <v>2016</v>
      </c>
      <c r="C893" t="s">
        <v>147</v>
      </c>
      <c r="D893" t="s">
        <v>1976</v>
      </c>
      <c r="E893" t="s">
        <v>124</v>
      </c>
      <c r="F893" t="s">
        <v>120</v>
      </c>
      <c r="G893" t="s">
        <v>120</v>
      </c>
      <c r="H893" t="s">
        <v>120</v>
      </c>
      <c r="I893" t="s">
        <v>120</v>
      </c>
      <c r="J893" t="s">
        <v>120</v>
      </c>
      <c r="K893" t="s">
        <v>120</v>
      </c>
      <c r="L893" t="s">
        <v>120</v>
      </c>
      <c r="M893" t="s">
        <v>120</v>
      </c>
      <c r="N893" t="s">
        <v>120</v>
      </c>
      <c r="O893" t="s">
        <v>120</v>
      </c>
      <c r="P893" t="s">
        <v>120</v>
      </c>
      <c r="Q893" t="s">
        <v>120</v>
      </c>
      <c r="R893" t="s">
        <v>120</v>
      </c>
      <c r="S893" t="s">
        <v>120</v>
      </c>
      <c r="T893" t="s">
        <v>120</v>
      </c>
      <c r="U893" t="s">
        <v>120</v>
      </c>
      <c r="V893" t="s">
        <v>120</v>
      </c>
      <c r="W893" t="s">
        <v>120</v>
      </c>
      <c r="X893" t="s">
        <v>120</v>
      </c>
      <c r="Y893" t="s">
        <v>120</v>
      </c>
      <c r="Z893" t="s">
        <v>120</v>
      </c>
      <c r="AA893" t="s">
        <v>120</v>
      </c>
      <c r="AB893" t="s">
        <v>120</v>
      </c>
      <c r="AC893" t="s">
        <v>120</v>
      </c>
      <c r="AD893" t="s">
        <v>120</v>
      </c>
      <c r="AE893" t="s">
        <v>120</v>
      </c>
      <c r="AF893" t="s">
        <v>120</v>
      </c>
      <c r="AG893" t="s">
        <v>120</v>
      </c>
      <c r="AH893" t="s">
        <v>120</v>
      </c>
      <c r="AJ893">
        <v>0</v>
      </c>
      <c r="AK893">
        <v>4</v>
      </c>
      <c r="AL893">
        <v>0</v>
      </c>
      <c r="AM893">
        <v>4</v>
      </c>
      <c r="AN893">
        <v>0</v>
      </c>
      <c r="AO893">
        <v>31.55</v>
      </c>
      <c r="AP893">
        <v>4</v>
      </c>
      <c r="AQ893">
        <v>0</v>
      </c>
      <c r="AR893">
        <v>70.2</v>
      </c>
      <c r="AS893">
        <v>252.4</v>
      </c>
    </row>
    <row r="894" spans="1:45" x14ac:dyDescent="0.25">
      <c r="A894" t="s">
        <v>2017</v>
      </c>
      <c r="B894" t="s">
        <v>2018</v>
      </c>
      <c r="C894" t="s">
        <v>147</v>
      </c>
      <c r="D894" t="s">
        <v>1976</v>
      </c>
      <c r="E894" t="s">
        <v>120</v>
      </c>
      <c r="F894" t="s">
        <v>120</v>
      </c>
      <c r="G894" t="s">
        <v>120</v>
      </c>
      <c r="H894" t="s">
        <v>120</v>
      </c>
      <c r="I894" t="s">
        <v>120</v>
      </c>
      <c r="J894" t="s">
        <v>120</v>
      </c>
      <c r="K894" t="s">
        <v>120</v>
      </c>
      <c r="L894" t="s">
        <v>120</v>
      </c>
      <c r="M894" t="s">
        <v>120</v>
      </c>
      <c r="N894" t="s">
        <v>141</v>
      </c>
      <c r="O894" t="s">
        <v>120</v>
      </c>
      <c r="P894" t="s">
        <v>120</v>
      </c>
      <c r="Q894" t="s">
        <v>120</v>
      </c>
      <c r="R894" t="s">
        <v>120</v>
      </c>
      <c r="S894" t="s">
        <v>120</v>
      </c>
      <c r="T894" t="s">
        <v>120</v>
      </c>
      <c r="U894" t="s">
        <v>120</v>
      </c>
      <c r="V894" t="s">
        <v>120</v>
      </c>
      <c r="W894" t="s">
        <v>120</v>
      </c>
      <c r="X894" t="s">
        <v>120</v>
      </c>
      <c r="Y894" t="s">
        <v>120</v>
      </c>
      <c r="Z894" t="s">
        <v>120</v>
      </c>
      <c r="AA894" t="s">
        <v>120</v>
      </c>
      <c r="AB894" t="s">
        <v>120</v>
      </c>
      <c r="AC894" t="s">
        <v>120</v>
      </c>
      <c r="AD894" t="s">
        <v>120</v>
      </c>
      <c r="AE894" t="s">
        <v>120</v>
      </c>
      <c r="AF894" t="s">
        <v>120</v>
      </c>
      <c r="AG894" t="s">
        <v>120</v>
      </c>
      <c r="AH894" t="s">
        <v>120</v>
      </c>
      <c r="AJ894">
        <v>0</v>
      </c>
      <c r="AK894">
        <v>8</v>
      </c>
      <c r="AL894">
        <v>8</v>
      </c>
      <c r="AM894">
        <v>0</v>
      </c>
      <c r="AN894">
        <v>0</v>
      </c>
      <c r="AO894">
        <v>31.55</v>
      </c>
      <c r="AP894">
        <v>8</v>
      </c>
      <c r="AQ894">
        <v>0</v>
      </c>
      <c r="AR894">
        <v>70.2</v>
      </c>
      <c r="AS894">
        <v>504.8</v>
      </c>
    </row>
    <row r="895" spans="1:45" x14ac:dyDescent="0.25">
      <c r="A895" t="s">
        <v>2019</v>
      </c>
      <c r="B895" t="s">
        <v>2020</v>
      </c>
      <c r="C895" t="s">
        <v>147</v>
      </c>
      <c r="D895" t="s">
        <v>1976</v>
      </c>
      <c r="E895" t="s">
        <v>120</v>
      </c>
      <c r="F895" t="s">
        <v>120</v>
      </c>
      <c r="G895" t="s">
        <v>120</v>
      </c>
      <c r="H895" t="s">
        <v>120</v>
      </c>
      <c r="I895" t="s">
        <v>120</v>
      </c>
      <c r="J895" t="s">
        <v>120</v>
      </c>
      <c r="K895" t="s">
        <v>120</v>
      </c>
      <c r="L895" t="s">
        <v>120</v>
      </c>
      <c r="M895" t="s">
        <v>120</v>
      </c>
      <c r="N895" t="s">
        <v>141</v>
      </c>
      <c r="O895" t="s">
        <v>120</v>
      </c>
      <c r="P895" t="s">
        <v>120</v>
      </c>
      <c r="Q895" t="s">
        <v>120</v>
      </c>
      <c r="R895" t="s">
        <v>120</v>
      </c>
      <c r="S895" t="s">
        <v>120</v>
      </c>
      <c r="T895" t="s">
        <v>120</v>
      </c>
      <c r="U895" t="s">
        <v>120</v>
      </c>
      <c r="V895" t="s">
        <v>120</v>
      </c>
      <c r="W895" t="s">
        <v>120</v>
      </c>
      <c r="X895" t="s">
        <v>120</v>
      </c>
      <c r="Y895" t="s">
        <v>120</v>
      </c>
      <c r="Z895" t="s">
        <v>120</v>
      </c>
      <c r="AA895" t="s">
        <v>120</v>
      </c>
      <c r="AB895" t="s">
        <v>120</v>
      </c>
      <c r="AC895" t="s">
        <v>120</v>
      </c>
      <c r="AD895" t="s">
        <v>120</v>
      </c>
      <c r="AE895" t="s">
        <v>120</v>
      </c>
      <c r="AF895" t="s">
        <v>120</v>
      </c>
      <c r="AG895" t="s">
        <v>120</v>
      </c>
      <c r="AH895" t="s">
        <v>120</v>
      </c>
      <c r="AJ895">
        <v>0</v>
      </c>
      <c r="AK895">
        <v>8</v>
      </c>
      <c r="AL895">
        <v>8</v>
      </c>
      <c r="AM895">
        <v>0</v>
      </c>
      <c r="AN895">
        <v>0</v>
      </c>
      <c r="AO895">
        <v>28.25</v>
      </c>
      <c r="AP895">
        <v>8</v>
      </c>
      <c r="AQ895">
        <v>0</v>
      </c>
      <c r="AR895">
        <v>70.2</v>
      </c>
      <c r="AS895">
        <v>452</v>
      </c>
    </row>
    <row r="896" spans="1:45" x14ac:dyDescent="0.25">
      <c r="A896" t="s">
        <v>2021</v>
      </c>
      <c r="B896" t="s">
        <v>2022</v>
      </c>
      <c r="C896" t="s">
        <v>147</v>
      </c>
      <c r="D896" t="s">
        <v>1976</v>
      </c>
      <c r="E896" t="s">
        <v>120</v>
      </c>
      <c r="F896" t="s">
        <v>120</v>
      </c>
      <c r="G896" t="s">
        <v>120</v>
      </c>
      <c r="H896" t="s">
        <v>120</v>
      </c>
      <c r="I896" t="s">
        <v>120</v>
      </c>
      <c r="J896" t="s">
        <v>120</v>
      </c>
      <c r="K896" t="s">
        <v>120</v>
      </c>
      <c r="L896" t="s">
        <v>120</v>
      </c>
      <c r="M896" t="s">
        <v>120</v>
      </c>
      <c r="N896" t="s">
        <v>120</v>
      </c>
      <c r="O896" t="s">
        <v>120</v>
      </c>
      <c r="P896" t="s">
        <v>120</v>
      </c>
      <c r="Q896" t="s">
        <v>120</v>
      </c>
      <c r="R896" t="s">
        <v>120</v>
      </c>
      <c r="S896" t="s">
        <v>120</v>
      </c>
      <c r="T896" t="s">
        <v>120</v>
      </c>
      <c r="U896" t="s">
        <v>120</v>
      </c>
      <c r="V896" t="s">
        <v>120</v>
      </c>
      <c r="W896" t="s">
        <v>120</v>
      </c>
      <c r="X896" t="s">
        <v>120</v>
      </c>
      <c r="Y896" t="s">
        <v>120</v>
      </c>
      <c r="Z896" t="s">
        <v>120</v>
      </c>
      <c r="AA896" t="s">
        <v>120</v>
      </c>
      <c r="AB896" t="s">
        <v>120</v>
      </c>
      <c r="AC896" t="s">
        <v>120</v>
      </c>
      <c r="AD896" t="s">
        <v>120</v>
      </c>
      <c r="AE896" t="s">
        <v>120</v>
      </c>
      <c r="AF896" t="s">
        <v>120</v>
      </c>
      <c r="AG896" t="s">
        <v>120</v>
      </c>
      <c r="AH896" t="s">
        <v>120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31.55</v>
      </c>
      <c r="AP896">
        <v>0</v>
      </c>
      <c r="AQ896">
        <v>0</v>
      </c>
      <c r="AR896">
        <v>70.2</v>
      </c>
      <c r="AS896">
        <v>0</v>
      </c>
    </row>
    <row r="897" spans="1:45" x14ac:dyDescent="0.25">
      <c r="A897" t="s">
        <v>2023</v>
      </c>
      <c r="B897" t="s">
        <v>2024</v>
      </c>
      <c r="C897" t="s">
        <v>147</v>
      </c>
      <c r="D897" t="s">
        <v>144</v>
      </c>
      <c r="E897" t="s">
        <v>120</v>
      </c>
      <c r="F897" t="s">
        <v>120</v>
      </c>
      <c r="G897" t="s">
        <v>120</v>
      </c>
      <c r="H897" t="s">
        <v>120</v>
      </c>
      <c r="I897" t="s">
        <v>120</v>
      </c>
      <c r="J897" t="s">
        <v>120</v>
      </c>
      <c r="K897" t="s">
        <v>120</v>
      </c>
      <c r="L897" t="s">
        <v>120</v>
      </c>
      <c r="M897" t="s">
        <v>120</v>
      </c>
      <c r="N897" t="s">
        <v>120</v>
      </c>
      <c r="O897" t="s">
        <v>120</v>
      </c>
      <c r="P897" t="s">
        <v>120</v>
      </c>
      <c r="Q897" t="s">
        <v>120</v>
      </c>
      <c r="R897" t="s">
        <v>120</v>
      </c>
      <c r="S897" t="s">
        <v>120</v>
      </c>
      <c r="T897" t="s">
        <v>120</v>
      </c>
      <c r="U897" t="s">
        <v>120</v>
      </c>
      <c r="V897" t="s">
        <v>120</v>
      </c>
      <c r="W897" t="s">
        <v>120</v>
      </c>
      <c r="X897" t="s">
        <v>120</v>
      </c>
      <c r="Y897" t="s">
        <v>120</v>
      </c>
      <c r="Z897" t="s">
        <v>120</v>
      </c>
      <c r="AA897" t="s">
        <v>120</v>
      </c>
      <c r="AB897" t="s">
        <v>120</v>
      </c>
      <c r="AC897" t="s">
        <v>120</v>
      </c>
      <c r="AD897" t="s">
        <v>120</v>
      </c>
      <c r="AE897" t="s">
        <v>120</v>
      </c>
      <c r="AF897" t="s">
        <v>120</v>
      </c>
      <c r="AG897" t="s">
        <v>120</v>
      </c>
      <c r="AH897" t="s">
        <v>120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31.55</v>
      </c>
      <c r="AP897">
        <v>0</v>
      </c>
      <c r="AQ897">
        <v>0</v>
      </c>
      <c r="AR897">
        <v>70.2</v>
      </c>
      <c r="AS897">
        <v>0</v>
      </c>
    </row>
    <row r="898" spans="1:45" x14ac:dyDescent="0.25">
      <c r="A898" t="s">
        <v>2025</v>
      </c>
      <c r="B898" t="s">
        <v>2026</v>
      </c>
      <c r="C898" t="s">
        <v>147</v>
      </c>
      <c r="D898" t="s">
        <v>144</v>
      </c>
      <c r="E898" t="s">
        <v>120</v>
      </c>
      <c r="F898" t="s">
        <v>120</v>
      </c>
      <c r="G898" t="s">
        <v>120</v>
      </c>
      <c r="H898" t="s">
        <v>120</v>
      </c>
      <c r="I898" t="s">
        <v>120</v>
      </c>
      <c r="J898" t="s">
        <v>120</v>
      </c>
      <c r="K898" t="s">
        <v>120</v>
      </c>
      <c r="L898" t="s">
        <v>120</v>
      </c>
      <c r="M898" t="s">
        <v>120</v>
      </c>
      <c r="N898" t="s">
        <v>120</v>
      </c>
      <c r="O898" t="s">
        <v>120</v>
      </c>
      <c r="P898" t="s">
        <v>120</v>
      </c>
      <c r="Q898" t="s">
        <v>120</v>
      </c>
      <c r="R898" t="s">
        <v>120</v>
      </c>
      <c r="S898" t="s">
        <v>120</v>
      </c>
      <c r="T898" t="s">
        <v>120</v>
      </c>
      <c r="U898" t="s">
        <v>120</v>
      </c>
      <c r="V898" t="s">
        <v>120</v>
      </c>
      <c r="W898" t="s">
        <v>120</v>
      </c>
      <c r="X898" t="s">
        <v>120</v>
      </c>
      <c r="Y898" t="s">
        <v>120</v>
      </c>
      <c r="Z898" t="s">
        <v>120</v>
      </c>
      <c r="AA898" t="s">
        <v>120</v>
      </c>
      <c r="AB898" t="s">
        <v>120</v>
      </c>
      <c r="AC898" t="s">
        <v>120</v>
      </c>
      <c r="AD898" t="s">
        <v>120</v>
      </c>
      <c r="AE898" t="s">
        <v>120</v>
      </c>
      <c r="AF898" t="s">
        <v>120</v>
      </c>
      <c r="AG898" t="s">
        <v>120</v>
      </c>
      <c r="AH898" t="s">
        <v>120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28.25</v>
      </c>
      <c r="AP898">
        <v>0</v>
      </c>
      <c r="AQ898">
        <v>0</v>
      </c>
      <c r="AR898">
        <v>70.2</v>
      </c>
      <c r="AS898">
        <v>0</v>
      </c>
    </row>
    <row r="899" spans="1:45" x14ac:dyDescent="0.25">
      <c r="A899" t="s">
        <v>2027</v>
      </c>
      <c r="B899" t="s">
        <v>2028</v>
      </c>
      <c r="C899" t="s">
        <v>147</v>
      </c>
      <c r="D899" t="s">
        <v>144</v>
      </c>
      <c r="E899" t="s">
        <v>120</v>
      </c>
      <c r="F899" t="s">
        <v>120</v>
      </c>
      <c r="G899" t="s">
        <v>120</v>
      </c>
      <c r="H899" t="s">
        <v>326</v>
      </c>
      <c r="I899" t="s">
        <v>120</v>
      </c>
      <c r="J899" t="s">
        <v>120</v>
      </c>
      <c r="K899" t="s">
        <v>120</v>
      </c>
      <c r="L899" t="s">
        <v>120</v>
      </c>
      <c r="M899" t="s">
        <v>120</v>
      </c>
      <c r="N899" t="s">
        <v>120</v>
      </c>
      <c r="O899" t="s">
        <v>120</v>
      </c>
      <c r="P899" t="s">
        <v>120</v>
      </c>
      <c r="Q899" t="s">
        <v>120</v>
      </c>
      <c r="R899" t="s">
        <v>120</v>
      </c>
      <c r="S899" t="s">
        <v>120</v>
      </c>
      <c r="T899" t="s">
        <v>120</v>
      </c>
      <c r="U899" t="s">
        <v>120</v>
      </c>
      <c r="V899" t="s">
        <v>120</v>
      </c>
      <c r="W899" t="s">
        <v>120</v>
      </c>
      <c r="X899" t="s">
        <v>120</v>
      </c>
      <c r="Y899" t="s">
        <v>120</v>
      </c>
      <c r="Z899" t="s">
        <v>120</v>
      </c>
      <c r="AA899" t="s">
        <v>120</v>
      </c>
      <c r="AB899" t="s">
        <v>120</v>
      </c>
      <c r="AC899" t="s">
        <v>120</v>
      </c>
      <c r="AD899" t="s">
        <v>120</v>
      </c>
      <c r="AE899" t="s">
        <v>120</v>
      </c>
      <c r="AF899" t="s">
        <v>120</v>
      </c>
      <c r="AG899" t="s">
        <v>120</v>
      </c>
      <c r="AH899" t="s">
        <v>120</v>
      </c>
      <c r="AJ899">
        <v>0</v>
      </c>
      <c r="AK899">
        <v>2</v>
      </c>
      <c r="AL899">
        <v>0</v>
      </c>
      <c r="AM899">
        <v>2</v>
      </c>
      <c r="AN899">
        <v>0</v>
      </c>
      <c r="AO899">
        <v>31.55</v>
      </c>
      <c r="AP899">
        <v>2</v>
      </c>
      <c r="AQ899">
        <v>0</v>
      </c>
      <c r="AR899">
        <v>70.2</v>
      </c>
      <c r="AS899">
        <v>126.2</v>
      </c>
    </row>
    <row r="900" spans="1:45" x14ac:dyDescent="0.25">
      <c r="A900" t="s">
        <v>2029</v>
      </c>
      <c r="B900" t="s">
        <v>2030</v>
      </c>
      <c r="C900" t="s">
        <v>147</v>
      </c>
      <c r="D900" t="s">
        <v>144</v>
      </c>
      <c r="E900" t="s">
        <v>120</v>
      </c>
      <c r="F900" t="s">
        <v>120</v>
      </c>
      <c r="G900" t="s">
        <v>120</v>
      </c>
      <c r="H900" t="s">
        <v>120</v>
      </c>
      <c r="I900" t="s">
        <v>120</v>
      </c>
      <c r="J900" t="s">
        <v>120</v>
      </c>
      <c r="K900" t="s">
        <v>120</v>
      </c>
      <c r="L900" t="s">
        <v>120</v>
      </c>
      <c r="M900" t="s">
        <v>120</v>
      </c>
      <c r="N900" t="s">
        <v>120</v>
      </c>
      <c r="O900" t="s">
        <v>120</v>
      </c>
      <c r="P900" t="s">
        <v>120</v>
      </c>
      <c r="Q900" t="s">
        <v>120</v>
      </c>
      <c r="R900" t="s">
        <v>120</v>
      </c>
      <c r="S900" t="s">
        <v>120</v>
      </c>
      <c r="T900" t="s">
        <v>120</v>
      </c>
      <c r="U900" t="s">
        <v>120</v>
      </c>
      <c r="V900" t="s">
        <v>120</v>
      </c>
      <c r="W900" t="s">
        <v>120</v>
      </c>
      <c r="X900" t="s">
        <v>120</v>
      </c>
      <c r="Y900" t="s">
        <v>120</v>
      </c>
      <c r="Z900" t="s">
        <v>120</v>
      </c>
      <c r="AA900" t="s">
        <v>120</v>
      </c>
      <c r="AB900" t="s">
        <v>120</v>
      </c>
      <c r="AC900" t="s">
        <v>120</v>
      </c>
      <c r="AD900" t="s">
        <v>120</v>
      </c>
      <c r="AE900" t="s">
        <v>120</v>
      </c>
      <c r="AF900" t="s">
        <v>120</v>
      </c>
      <c r="AG900" t="s">
        <v>120</v>
      </c>
      <c r="AH900" t="s">
        <v>120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31.55</v>
      </c>
      <c r="AP900">
        <v>0</v>
      </c>
      <c r="AQ900">
        <v>0</v>
      </c>
      <c r="AR900">
        <v>70.2</v>
      </c>
      <c r="AS900">
        <v>0</v>
      </c>
    </row>
    <row r="901" spans="1:45" x14ac:dyDescent="0.25">
      <c r="A901" t="s">
        <v>2031</v>
      </c>
      <c r="B901" t="s">
        <v>2032</v>
      </c>
      <c r="C901" t="s">
        <v>147</v>
      </c>
      <c r="D901" t="s">
        <v>144</v>
      </c>
      <c r="E901" t="s">
        <v>120</v>
      </c>
      <c r="F901" t="s">
        <v>120</v>
      </c>
      <c r="G901" t="s">
        <v>120</v>
      </c>
      <c r="H901" t="s">
        <v>120</v>
      </c>
      <c r="I901" t="s">
        <v>120</v>
      </c>
      <c r="J901" t="s">
        <v>120</v>
      </c>
      <c r="K901" t="s">
        <v>120</v>
      </c>
      <c r="L901" t="s">
        <v>120</v>
      </c>
      <c r="M901" t="s">
        <v>120</v>
      </c>
      <c r="N901" t="s">
        <v>120</v>
      </c>
      <c r="O901" t="s">
        <v>120</v>
      </c>
      <c r="P901" t="s">
        <v>120</v>
      </c>
      <c r="Q901" t="s">
        <v>120</v>
      </c>
      <c r="R901" t="s">
        <v>120</v>
      </c>
      <c r="S901" t="s">
        <v>120</v>
      </c>
      <c r="T901" t="s">
        <v>120</v>
      </c>
      <c r="U901" t="s">
        <v>120</v>
      </c>
      <c r="V901" t="s">
        <v>120</v>
      </c>
      <c r="W901" t="s">
        <v>120</v>
      </c>
      <c r="X901" t="s">
        <v>120</v>
      </c>
      <c r="Y901" t="s">
        <v>120</v>
      </c>
      <c r="Z901" t="s">
        <v>120</v>
      </c>
      <c r="AA901" t="s">
        <v>120</v>
      </c>
      <c r="AB901" t="s">
        <v>120</v>
      </c>
      <c r="AC901" t="s">
        <v>120</v>
      </c>
      <c r="AD901" t="s">
        <v>120</v>
      </c>
      <c r="AE901" t="s">
        <v>120</v>
      </c>
      <c r="AF901" t="s">
        <v>120</v>
      </c>
      <c r="AG901" t="s">
        <v>120</v>
      </c>
      <c r="AH901" t="s">
        <v>120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28.25</v>
      </c>
      <c r="AP901">
        <v>0</v>
      </c>
      <c r="AQ901">
        <v>0</v>
      </c>
      <c r="AR901">
        <v>70.2</v>
      </c>
      <c r="AS901">
        <v>0</v>
      </c>
    </row>
    <row r="902" spans="1:45" x14ac:dyDescent="0.25">
      <c r="A902" t="s">
        <v>2033</v>
      </c>
      <c r="B902" t="s">
        <v>2034</v>
      </c>
      <c r="C902" t="s">
        <v>147</v>
      </c>
      <c r="D902" t="s">
        <v>144</v>
      </c>
      <c r="E902" t="s">
        <v>120</v>
      </c>
      <c r="F902" t="s">
        <v>120</v>
      </c>
      <c r="G902" t="s">
        <v>120</v>
      </c>
      <c r="H902" t="s">
        <v>120</v>
      </c>
      <c r="I902" t="s">
        <v>120</v>
      </c>
      <c r="J902" t="s">
        <v>120</v>
      </c>
      <c r="K902" t="s">
        <v>120</v>
      </c>
      <c r="L902" t="s">
        <v>120</v>
      </c>
      <c r="M902" t="s">
        <v>120</v>
      </c>
      <c r="N902" t="s">
        <v>120</v>
      </c>
      <c r="O902" t="s">
        <v>120</v>
      </c>
      <c r="P902" t="s">
        <v>120</v>
      </c>
      <c r="Q902" t="s">
        <v>120</v>
      </c>
      <c r="R902" t="s">
        <v>120</v>
      </c>
      <c r="S902" t="s">
        <v>120</v>
      </c>
      <c r="T902" t="s">
        <v>120</v>
      </c>
      <c r="U902" t="s">
        <v>120</v>
      </c>
      <c r="V902" t="s">
        <v>120</v>
      </c>
      <c r="W902" t="s">
        <v>120</v>
      </c>
      <c r="X902" t="s">
        <v>120</v>
      </c>
      <c r="Y902" t="s">
        <v>120</v>
      </c>
      <c r="Z902" t="s">
        <v>120</v>
      </c>
      <c r="AA902" t="s">
        <v>120</v>
      </c>
      <c r="AB902" t="s">
        <v>120</v>
      </c>
      <c r="AC902" t="s">
        <v>120</v>
      </c>
      <c r="AD902" t="s">
        <v>120</v>
      </c>
      <c r="AE902" t="s">
        <v>120</v>
      </c>
      <c r="AF902" t="s">
        <v>120</v>
      </c>
      <c r="AG902" t="s">
        <v>120</v>
      </c>
      <c r="AH902" t="s">
        <v>120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28.25</v>
      </c>
      <c r="AP902">
        <v>0</v>
      </c>
      <c r="AQ902">
        <v>0</v>
      </c>
      <c r="AR902">
        <v>70.2</v>
      </c>
      <c r="AS902">
        <v>0</v>
      </c>
    </row>
    <row r="903" spans="1:45" x14ac:dyDescent="0.25">
      <c r="A903" t="s">
        <v>2035</v>
      </c>
      <c r="B903" t="s">
        <v>2036</v>
      </c>
      <c r="C903" t="s">
        <v>147</v>
      </c>
      <c r="D903" t="s">
        <v>144</v>
      </c>
      <c r="E903" t="s">
        <v>120</v>
      </c>
      <c r="F903" t="s">
        <v>120</v>
      </c>
      <c r="G903" t="s">
        <v>120</v>
      </c>
      <c r="H903" t="s">
        <v>124</v>
      </c>
      <c r="I903" t="s">
        <v>120</v>
      </c>
      <c r="J903" t="s">
        <v>120</v>
      </c>
      <c r="K903" t="s">
        <v>120</v>
      </c>
      <c r="L903" t="s">
        <v>120</v>
      </c>
      <c r="M903" t="s">
        <v>120</v>
      </c>
      <c r="N903" t="s">
        <v>120</v>
      </c>
      <c r="O903" t="s">
        <v>120</v>
      </c>
      <c r="P903" t="s">
        <v>120</v>
      </c>
      <c r="Q903" t="s">
        <v>120</v>
      </c>
      <c r="R903" t="s">
        <v>120</v>
      </c>
      <c r="S903" t="s">
        <v>120</v>
      </c>
      <c r="T903" t="s">
        <v>120</v>
      </c>
      <c r="U903" t="s">
        <v>120</v>
      </c>
      <c r="V903" t="s">
        <v>120</v>
      </c>
      <c r="W903" t="s">
        <v>120</v>
      </c>
      <c r="X903" t="s">
        <v>120</v>
      </c>
      <c r="Y903" t="s">
        <v>141</v>
      </c>
      <c r="Z903" t="s">
        <v>120</v>
      </c>
      <c r="AA903" t="s">
        <v>120</v>
      </c>
      <c r="AB903" t="s">
        <v>120</v>
      </c>
      <c r="AC903" t="s">
        <v>120</v>
      </c>
      <c r="AD903" t="s">
        <v>120</v>
      </c>
      <c r="AE903" t="s">
        <v>120</v>
      </c>
      <c r="AF903" t="s">
        <v>120</v>
      </c>
      <c r="AG903" t="s">
        <v>120</v>
      </c>
      <c r="AH903" t="s">
        <v>120</v>
      </c>
      <c r="AJ903">
        <v>0</v>
      </c>
      <c r="AK903">
        <v>12</v>
      </c>
      <c r="AL903">
        <v>8</v>
      </c>
      <c r="AM903">
        <v>4</v>
      </c>
      <c r="AN903">
        <v>0</v>
      </c>
      <c r="AO903">
        <v>31.55</v>
      </c>
      <c r="AP903">
        <v>12</v>
      </c>
      <c r="AQ903">
        <v>0</v>
      </c>
      <c r="AR903">
        <v>70.2</v>
      </c>
      <c r="AS903">
        <v>757.2</v>
      </c>
    </row>
    <row r="904" spans="1:45" x14ac:dyDescent="0.25">
      <c r="A904" t="s">
        <v>2037</v>
      </c>
      <c r="B904" t="s">
        <v>2038</v>
      </c>
      <c r="C904" t="s">
        <v>147</v>
      </c>
      <c r="D904" t="s">
        <v>144</v>
      </c>
      <c r="E904" t="s">
        <v>120</v>
      </c>
      <c r="F904" t="s">
        <v>120</v>
      </c>
      <c r="G904" t="s">
        <v>120</v>
      </c>
      <c r="H904" t="s">
        <v>120</v>
      </c>
      <c r="I904" t="s">
        <v>120</v>
      </c>
      <c r="J904" t="s">
        <v>120</v>
      </c>
      <c r="K904" t="s">
        <v>120</v>
      </c>
      <c r="L904" t="s">
        <v>120</v>
      </c>
      <c r="M904" t="s">
        <v>120</v>
      </c>
      <c r="N904" t="s">
        <v>120</v>
      </c>
      <c r="O904" t="s">
        <v>120</v>
      </c>
      <c r="P904" t="s">
        <v>120</v>
      </c>
      <c r="Q904" t="s">
        <v>120</v>
      </c>
      <c r="R904" t="s">
        <v>120</v>
      </c>
      <c r="S904" t="s">
        <v>120</v>
      </c>
      <c r="T904" t="s">
        <v>120</v>
      </c>
      <c r="U904" t="s">
        <v>120</v>
      </c>
      <c r="V904" t="s">
        <v>120</v>
      </c>
      <c r="W904" t="s">
        <v>120</v>
      </c>
      <c r="X904" t="s">
        <v>120</v>
      </c>
      <c r="Y904" t="s">
        <v>120</v>
      </c>
      <c r="Z904" t="s">
        <v>120</v>
      </c>
      <c r="AA904" t="s">
        <v>120</v>
      </c>
      <c r="AB904" t="s">
        <v>120</v>
      </c>
      <c r="AC904" t="s">
        <v>120</v>
      </c>
      <c r="AD904" t="s">
        <v>120</v>
      </c>
      <c r="AE904" t="s">
        <v>120</v>
      </c>
      <c r="AF904" t="s">
        <v>120</v>
      </c>
      <c r="AG904" t="s">
        <v>120</v>
      </c>
      <c r="AH904" t="s">
        <v>120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31.55</v>
      </c>
      <c r="AP904">
        <v>0</v>
      </c>
      <c r="AQ904">
        <v>0</v>
      </c>
      <c r="AR904">
        <v>70.2</v>
      </c>
      <c r="AS904">
        <v>0</v>
      </c>
    </row>
    <row r="905" spans="1:45" x14ac:dyDescent="0.25">
      <c r="A905" t="s">
        <v>2039</v>
      </c>
      <c r="B905" t="s">
        <v>2040</v>
      </c>
      <c r="C905" t="s">
        <v>147</v>
      </c>
      <c r="D905" t="s">
        <v>144</v>
      </c>
      <c r="E905" t="s">
        <v>120</v>
      </c>
      <c r="F905" t="s">
        <v>120</v>
      </c>
      <c r="G905" t="s">
        <v>120</v>
      </c>
      <c r="H905" t="s">
        <v>120</v>
      </c>
      <c r="I905" t="s">
        <v>120</v>
      </c>
      <c r="J905" t="s">
        <v>120</v>
      </c>
      <c r="K905" t="s">
        <v>120</v>
      </c>
      <c r="L905" t="s">
        <v>120</v>
      </c>
      <c r="M905" t="s">
        <v>120</v>
      </c>
      <c r="N905" t="s">
        <v>120</v>
      </c>
      <c r="O905" t="s">
        <v>120</v>
      </c>
      <c r="P905" t="s">
        <v>120</v>
      </c>
      <c r="Q905" t="s">
        <v>120</v>
      </c>
      <c r="R905" t="s">
        <v>120</v>
      </c>
      <c r="S905" t="s">
        <v>120</v>
      </c>
      <c r="T905" t="s">
        <v>120</v>
      </c>
      <c r="U905" t="s">
        <v>120</v>
      </c>
      <c r="V905" t="s">
        <v>120</v>
      </c>
      <c r="W905" t="s">
        <v>120</v>
      </c>
      <c r="X905" t="s">
        <v>120</v>
      </c>
      <c r="Y905" t="s">
        <v>120</v>
      </c>
      <c r="Z905" t="s">
        <v>120</v>
      </c>
      <c r="AA905" t="s">
        <v>120</v>
      </c>
      <c r="AB905" t="s">
        <v>120</v>
      </c>
      <c r="AC905" t="s">
        <v>120</v>
      </c>
      <c r="AD905" t="s">
        <v>120</v>
      </c>
      <c r="AE905" t="s">
        <v>120</v>
      </c>
      <c r="AF905" t="s">
        <v>120</v>
      </c>
      <c r="AG905" t="s">
        <v>120</v>
      </c>
      <c r="AH905" t="s">
        <v>120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31.55</v>
      </c>
      <c r="AP905">
        <v>0</v>
      </c>
      <c r="AQ905">
        <v>0</v>
      </c>
      <c r="AR905">
        <v>70.2</v>
      </c>
      <c r="AS905">
        <v>0</v>
      </c>
    </row>
    <row r="906" spans="1:45" x14ac:dyDescent="0.25">
      <c r="A906" t="s">
        <v>2041</v>
      </c>
      <c r="B906" t="s">
        <v>2042</v>
      </c>
      <c r="C906" t="s">
        <v>147</v>
      </c>
      <c r="D906" t="s">
        <v>144</v>
      </c>
      <c r="E906" t="s">
        <v>120</v>
      </c>
      <c r="F906" t="s">
        <v>120</v>
      </c>
      <c r="G906" t="s">
        <v>120</v>
      </c>
      <c r="H906" t="s">
        <v>120</v>
      </c>
      <c r="I906" t="s">
        <v>120</v>
      </c>
      <c r="J906" t="s">
        <v>120</v>
      </c>
      <c r="K906" t="s">
        <v>120</v>
      </c>
      <c r="L906" t="s">
        <v>120</v>
      </c>
      <c r="M906" t="s">
        <v>120</v>
      </c>
      <c r="N906" t="s">
        <v>120</v>
      </c>
      <c r="O906" t="s">
        <v>120</v>
      </c>
      <c r="P906" t="s">
        <v>120</v>
      </c>
      <c r="Q906" t="s">
        <v>120</v>
      </c>
      <c r="R906" t="s">
        <v>120</v>
      </c>
      <c r="S906" t="s">
        <v>120</v>
      </c>
      <c r="T906" t="s">
        <v>120</v>
      </c>
      <c r="U906" t="s">
        <v>120</v>
      </c>
      <c r="V906" t="s">
        <v>120</v>
      </c>
      <c r="W906" t="s">
        <v>120</v>
      </c>
      <c r="X906" t="s">
        <v>120</v>
      </c>
      <c r="Y906" t="s">
        <v>120</v>
      </c>
      <c r="Z906" t="s">
        <v>120</v>
      </c>
      <c r="AA906" t="s">
        <v>120</v>
      </c>
      <c r="AB906" t="s">
        <v>120</v>
      </c>
      <c r="AC906" t="s">
        <v>120</v>
      </c>
      <c r="AD906" t="s">
        <v>120</v>
      </c>
      <c r="AE906" t="s">
        <v>120</v>
      </c>
      <c r="AF906" t="s">
        <v>120</v>
      </c>
      <c r="AG906" t="s">
        <v>120</v>
      </c>
      <c r="AH906" t="s">
        <v>120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31.55</v>
      </c>
      <c r="AP906">
        <v>0</v>
      </c>
      <c r="AQ906">
        <v>0</v>
      </c>
      <c r="AR906">
        <v>70.2</v>
      </c>
      <c r="AS906">
        <v>0</v>
      </c>
    </row>
    <row r="907" spans="1:45" x14ac:dyDescent="0.25">
      <c r="A907" t="s">
        <v>2043</v>
      </c>
      <c r="B907" t="s">
        <v>2044</v>
      </c>
      <c r="C907" t="s">
        <v>147</v>
      </c>
      <c r="D907" t="s">
        <v>144</v>
      </c>
      <c r="E907" t="s">
        <v>120</v>
      </c>
      <c r="F907" t="s">
        <v>120</v>
      </c>
      <c r="G907" t="s">
        <v>120</v>
      </c>
      <c r="H907" t="s">
        <v>120</v>
      </c>
      <c r="I907" t="s">
        <v>120</v>
      </c>
      <c r="J907" t="s">
        <v>120</v>
      </c>
      <c r="K907" t="s">
        <v>120</v>
      </c>
      <c r="L907" t="s">
        <v>120</v>
      </c>
      <c r="M907" t="s">
        <v>120</v>
      </c>
      <c r="N907" t="s">
        <v>120</v>
      </c>
      <c r="O907" t="s">
        <v>120</v>
      </c>
      <c r="P907" t="s">
        <v>120</v>
      </c>
      <c r="Q907" t="s">
        <v>120</v>
      </c>
      <c r="R907" t="s">
        <v>120</v>
      </c>
      <c r="S907" t="s">
        <v>120</v>
      </c>
      <c r="T907" t="s">
        <v>120</v>
      </c>
      <c r="U907" t="s">
        <v>120</v>
      </c>
      <c r="V907" t="s">
        <v>120</v>
      </c>
      <c r="W907" t="s">
        <v>120</v>
      </c>
      <c r="X907" t="s">
        <v>120</v>
      </c>
      <c r="Y907" t="s">
        <v>120</v>
      </c>
      <c r="Z907" t="s">
        <v>120</v>
      </c>
      <c r="AA907" t="s">
        <v>120</v>
      </c>
      <c r="AB907" t="s">
        <v>120</v>
      </c>
      <c r="AC907" t="s">
        <v>120</v>
      </c>
      <c r="AD907" t="s">
        <v>120</v>
      </c>
      <c r="AE907" t="s">
        <v>120</v>
      </c>
      <c r="AF907" t="s">
        <v>120</v>
      </c>
      <c r="AG907" t="s">
        <v>120</v>
      </c>
      <c r="AH907" t="s">
        <v>120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31.55</v>
      </c>
      <c r="AP907">
        <v>0</v>
      </c>
      <c r="AQ907">
        <v>0</v>
      </c>
      <c r="AR907">
        <v>70.2</v>
      </c>
      <c r="AS907">
        <v>0</v>
      </c>
    </row>
    <row r="908" spans="1:45" x14ac:dyDescent="0.25">
      <c r="A908" t="s">
        <v>2045</v>
      </c>
      <c r="B908" t="s">
        <v>2046</v>
      </c>
      <c r="C908" t="s">
        <v>147</v>
      </c>
      <c r="D908" t="s">
        <v>144</v>
      </c>
      <c r="E908" t="s">
        <v>120</v>
      </c>
      <c r="F908" t="s">
        <v>120</v>
      </c>
      <c r="G908" t="s">
        <v>120</v>
      </c>
      <c r="H908" t="s">
        <v>120</v>
      </c>
      <c r="I908" t="s">
        <v>120</v>
      </c>
      <c r="J908" t="s">
        <v>120</v>
      </c>
      <c r="K908" t="s">
        <v>120</v>
      </c>
      <c r="L908" t="s">
        <v>120</v>
      </c>
      <c r="M908" t="s">
        <v>120</v>
      </c>
      <c r="N908" t="s">
        <v>120</v>
      </c>
      <c r="O908" t="s">
        <v>120</v>
      </c>
      <c r="P908" t="s">
        <v>120</v>
      </c>
      <c r="Q908" t="s">
        <v>120</v>
      </c>
      <c r="R908" t="s">
        <v>120</v>
      </c>
      <c r="S908" t="s">
        <v>120</v>
      </c>
      <c r="T908" t="s">
        <v>120</v>
      </c>
      <c r="U908" t="s">
        <v>120</v>
      </c>
      <c r="V908" t="s">
        <v>120</v>
      </c>
      <c r="W908" t="s">
        <v>120</v>
      </c>
      <c r="X908" t="s">
        <v>120</v>
      </c>
      <c r="Y908" t="s">
        <v>120</v>
      </c>
      <c r="Z908" t="s">
        <v>120</v>
      </c>
      <c r="AA908" t="s">
        <v>120</v>
      </c>
      <c r="AB908" t="s">
        <v>120</v>
      </c>
      <c r="AC908" t="s">
        <v>120</v>
      </c>
      <c r="AD908" t="s">
        <v>120</v>
      </c>
      <c r="AE908" t="s">
        <v>120</v>
      </c>
      <c r="AF908" t="s">
        <v>120</v>
      </c>
      <c r="AG908" t="s">
        <v>120</v>
      </c>
      <c r="AH908" t="s">
        <v>120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31.55</v>
      </c>
      <c r="AP908">
        <v>0</v>
      </c>
      <c r="AQ908">
        <v>0</v>
      </c>
      <c r="AR908">
        <v>70.2</v>
      </c>
      <c r="AS908">
        <v>0</v>
      </c>
    </row>
    <row r="909" spans="1:45" x14ac:dyDescent="0.25">
      <c r="A909" t="s">
        <v>2047</v>
      </c>
      <c r="B909" t="s">
        <v>2048</v>
      </c>
      <c r="C909" t="s">
        <v>147</v>
      </c>
      <c r="D909" t="s">
        <v>144</v>
      </c>
      <c r="E909" t="s">
        <v>120</v>
      </c>
      <c r="F909" t="s">
        <v>120</v>
      </c>
      <c r="G909" t="s">
        <v>120</v>
      </c>
      <c r="H909" t="s">
        <v>135</v>
      </c>
      <c r="I909" t="s">
        <v>135</v>
      </c>
      <c r="J909" t="s">
        <v>135</v>
      </c>
      <c r="L909" t="s">
        <v>120</v>
      </c>
      <c r="M909" t="s">
        <v>120</v>
      </c>
      <c r="N909" t="s">
        <v>120</v>
      </c>
      <c r="O909" t="s">
        <v>120</v>
      </c>
      <c r="P909" t="s">
        <v>120</v>
      </c>
      <c r="Q909" t="s">
        <v>120</v>
      </c>
      <c r="R909" t="s">
        <v>120</v>
      </c>
      <c r="S909" t="s">
        <v>120</v>
      </c>
      <c r="T909" t="s">
        <v>135</v>
      </c>
      <c r="U909" t="s">
        <v>135</v>
      </c>
      <c r="V909" t="s">
        <v>120</v>
      </c>
      <c r="W909" t="s">
        <v>120</v>
      </c>
      <c r="X909" t="s">
        <v>120</v>
      </c>
      <c r="Y909" t="s">
        <v>120</v>
      </c>
      <c r="Z909" t="s">
        <v>120</v>
      </c>
      <c r="AA909" t="s">
        <v>120</v>
      </c>
      <c r="AB909" t="s">
        <v>120</v>
      </c>
      <c r="AC909" t="s">
        <v>120</v>
      </c>
      <c r="AD909" t="s">
        <v>120</v>
      </c>
      <c r="AE909" t="s">
        <v>120</v>
      </c>
      <c r="AF909" t="s">
        <v>120</v>
      </c>
      <c r="AG909" t="s">
        <v>120</v>
      </c>
      <c r="AH909" t="s">
        <v>120</v>
      </c>
      <c r="AJ909">
        <v>0</v>
      </c>
      <c r="AK909">
        <v>40</v>
      </c>
      <c r="AL909">
        <v>0</v>
      </c>
      <c r="AM909">
        <v>40</v>
      </c>
      <c r="AN909">
        <v>0</v>
      </c>
      <c r="AO909">
        <v>31.55</v>
      </c>
      <c r="AP909">
        <v>40</v>
      </c>
      <c r="AQ909">
        <v>0</v>
      </c>
      <c r="AR909">
        <v>70.2</v>
      </c>
      <c r="AS909">
        <v>2524</v>
      </c>
    </row>
    <row r="910" spans="1:45" x14ac:dyDescent="0.25">
      <c r="A910" t="s">
        <v>2049</v>
      </c>
      <c r="B910" t="s">
        <v>2050</v>
      </c>
      <c r="C910" t="s">
        <v>147</v>
      </c>
      <c r="D910" t="s">
        <v>144</v>
      </c>
      <c r="E910" t="s">
        <v>120</v>
      </c>
      <c r="F910" t="s">
        <v>120</v>
      </c>
      <c r="G910" t="s">
        <v>120</v>
      </c>
      <c r="H910" t="s">
        <v>120</v>
      </c>
      <c r="I910" t="s">
        <v>120</v>
      </c>
      <c r="J910" t="s">
        <v>120</v>
      </c>
      <c r="K910" t="s">
        <v>120</v>
      </c>
      <c r="L910" t="s">
        <v>120</v>
      </c>
      <c r="M910" t="s">
        <v>120</v>
      </c>
      <c r="N910" t="s">
        <v>120</v>
      </c>
      <c r="O910" t="s">
        <v>120</v>
      </c>
      <c r="P910" t="s">
        <v>120</v>
      </c>
      <c r="Q910" t="s">
        <v>120</v>
      </c>
      <c r="R910" t="s">
        <v>120</v>
      </c>
      <c r="S910" t="s">
        <v>120</v>
      </c>
      <c r="T910" t="s">
        <v>120</v>
      </c>
      <c r="U910" t="s">
        <v>120</v>
      </c>
      <c r="V910" t="s">
        <v>120</v>
      </c>
      <c r="W910" t="s">
        <v>120</v>
      </c>
      <c r="X910" t="s">
        <v>120</v>
      </c>
      <c r="Y910" t="s">
        <v>120</v>
      </c>
      <c r="Z910" t="s">
        <v>120</v>
      </c>
      <c r="AA910" t="s">
        <v>120</v>
      </c>
      <c r="AB910" t="s">
        <v>120</v>
      </c>
      <c r="AC910" t="s">
        <v>120</v>
      </c>
      <c r="AD910" t="s">
        <v>120</v>
      </c>
      <c r="AE910" t="s">
        <v>120</v>
      </c>
      <c r="AF910" t="s">
        <v>120</v>
      </c>
      <c r="AG910" t="s">
        <v>120</v>
      </c>
      <c r="AH910" t="s">
        <v>120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31.55</v>
      </c>
      <c r="AP910">
        <v>0</v>
      </c>
      <c r="AQ910">
        <v>0</v>
      </c>
      <c r="AR910">
        <v>70.2</v>
      </c>
      <c r="AS910">
        <v>0</v>
      </c>
    </row>
    <row r="911" spans="1:45" x14ac:dyDescent="0.25">
      <c r="A911" t="s">
        <v>2051</v>
      </c>
      <c r="B911" t="s">
        <v>2052</v>
      </c>
      <c r="C911" t="s">
        <v>147</v>
      </c>
      <c r="D911" t="s">
        <v>144</v>
      </c>
      <c r="E911" t="s">
        <v>120</v>
      </c>
      <c r="F911" t="s">
        <v>120</v>
      </c>
      <c r="G911" t="s">
        <v>120</v>
      </c>
      <c r="H911" t="s">
        <v>120</v>
      </c>
      <c r="I911" t="s">
        <v>120</v>
      </c>
      <c r="J911" t="s">
        <v>120</v>
      </c>
      <c r="K911" t="s">
        <v>120</v>
      </c>
      <c r="L911" t="s">
        <v>120</v>
      </c>
      <c r="M911" t="s">
        <v>120</v>
      </c>
      <c r="N911" t="s">
        <v>120</v>
      </c>
      <c r="O911" t="s">
        <v>120</v>
      </c>
      <c r="P911" t="s">
        <v>120</v>
      </c>
      <c r="Q911" t="s">
        <v>120</v>
      </c>
      <c r="R911" t="s">
        <v>120</v>
      </c>
      <c r="S911" t="s">
        <v>120</v>
      </c>
      <c r="T911" t="s">
        <v>120</v>
      </c>
      <c r="U911" t="s">
        <v>120</v>
      </c>
      <c r="V911" t="s">
        <v>120</v>
      </c>
      <c r="W911" t="s">
        <v>120</v>
      </c>
      <c r="X911" t="s">
        <v>120</v>
      </c>
      <c r="Y911" t="s">
        <v>341</v>
      </c>
      <c r="Z911" t="s">
        <v>120</v>
      </c>
      <c r="AA911" t="s">
        <v>120</v>
      </c>
      <c r="AB911" t="s">
        <v>120</v>
      </c>
      <c r="AC911" t="s">
        <v>120</v>
      </c>
      <c r="AD911" t="s">
        <v>120</v>
      </c>
      <c r="AE911" t="s">
        <v>120</v>
      </c>
      <c r="AF911" t="s">
        <v>120</v>
      </c>
      <c r="AG911" t="s">
        <v>120</v>
      </c>
      <c r="AH911" t="s">
        <v>120</v>
      </c>
      <c r="AJ911">
        <v>0</v>
      </c>
      <c r="AK911">
        <v>4</v>
      </c>
      <c r="AL911">
        <v>4</v>
      </c>
      <c r="AM911">
        <v>0</v>
      </c>
      <c r="AN911">
        <v>0</v>
      </c>
      <c r="AO911">
        <v>31.55</v>
      </c>
      <c r="AP911">
        <v>4</v>
      </c>
      <c r="AQ911">
        <v>0</v>
      </c>
      <c r="AR911">
        <v>70.2</v>
      </c>
      <c r="AS911">
        <v>252.4</v>
      </c>
    </row>
    <row r="912" spans="1:45" x14ac:dyDescent="0.25">
      <c r="A912" t="s">
        <v>2053</v>
      </c>
      <c r="B912" t="s">
        <v>2054</v>
      </c>
      <c r="C912" t="s">
        <v>147</v>
      </c>
      <c r="D912" t="s">
        <v>144</v>
      </c>
      <c r="E912" t="s">
        <v>135</v>
      </c>
      <c r="F912" t="s">
        <v>120</v>
      </c>
      <c r="G912" t="s">
        <v>120</v>
      </c>
      <c r="H912" t="s">
        <v>120</v>
      </c>
      <c r="I912" t="s">
        <v>120</v>
      </c>
      <c r="J912" t="s">
        <v>120</v>
      </c>
      <c r="K912" t="s">
        <v>141</v>
      </c>
      <c r="L912" t="s">
        <v>120</v>
      </c>
      <c r="M912" t="s">
        <v>120</v>
      </c>
      <c r="N912" t="s">
        <v>120</v>
      </c>
      <c r="O912" t="s">
        <v>120</v>
      </c>
      <c r="P912" t="s">
        <v>120</v>
      </c>
      <c r="Q912" t="s">
        <v>120</v>
      </c>
      <c r="R912" t="s">
        <v>120</v>
      </c>
      <c r="S912" t="s">
        <v>120</v>
      </c>
      <c r="T912" t="s">
        <v>120</v>
      </c>
      <c r="U912" t="s">
        <v>120</v>
      </c>
      <c r="V912" t="s">
        <v>120</v>
      </c>
      <c r="W912" t="s">
        <v>120</v>
      </c>
      <c r="X912" t="s">
        <v>120</v>
      </c>
      <c r="Y912" t="s">
        <v>141</v>
      </c>
      <c r="Z912" t="s">
        <v>120</v>
      </c>
      <c r="AA912" t="s">
        <v>120</v>
      </c>
      <c r="AB912" t="s">
        <v>120</v>
      </c>
      <c r="AC912" t="s">
        <v>120</v>
      </c>
      <c r="AD912" t="s">
        <v>120</v>
      </c>
      <c r="AE912" t="s">
        <v>120</v>
      </c>
      <c r="AF912" t="s">
        <v>120</v>
      </c>
      <c r="AG912" t="s">
        <v>120</v>
      </c>
      <c r="AH912" t="s">
        <v>120</v>
      </c>
      <c r="AJ912">
        <v>0</v>
      </c>
      <c r="AK912">
        <v>24</v>
      </c>
      <c r="AL912">
        <v>16</v>
      </c>
      <c r="AM912">
        <v>8</v>
      </c>
      <c r="AN912">
        <v>0</v>
      </c>
      <c r="AO912">
        <v>31.55</v>
      </c>
      <c r="AP912">
        <v>24</v>
      </c>
      <c r="AQ912">
        <v>0</v>
      </c>
      <c r="AR912">
        <v>70.2</v>
      </c>
      <c r="AS912">
        <v>1514.4</v>
      </c>
    </row>
    <row r="913" spans="1:45" x14ac:dyDescent="0.25">
      <c r="A913" t="s">
        <v>2055</v>
      </c>
      <c r="B913" t="s">
        <v>2056</v>
      </c>
      <c r="C913" t="s">
        <v>127</v>
      </c>
      <c r="D913" t="s">
        <v>144</v>
      </c>
      <c r="E913" t="s">
        <v>120</v>
      </c>
      <c r="F913" t="s">
        <v>120</v>
      </c>
      <c r="G913" t="s">
        <v>120</v>
      </c>
      <c r="H913" t="s">
        <v>120</v>
      </c>
      <c r="I913" t="s">
        <v>120</v>
      </c>
      <c r="J913" t="s">
        <v>120</v>
      </c>
      <c r="K913" t="s">
        <v>120</v>
      </c>
      <c r="L913" t="s">
        <v>120</v>
      </c>
      <c r="M913" t="s">
        <v>120</v>
      </c>
      <c r="N913" t="s">
        <v>120</v>
      </c>
      <c r="O913" t="s">
        <v>120</v>
      </c>
      <c r="P913" t="s">
        <v>120</v>
      </c>
      <c r="Q913" t="s">
        <v>120</v>
      </c>
      <c r="R913" t="s">
        <v>120</v>
      </c>
      <c r="S913" t="s">
        <v>120</v>
      </c>
      <c r="T913" t="s">
        <v>120</v>
      </c>
      <c r="U913" t="s">
        <v>120</v>
      </c>
      <c r="V913" t="s">
        <v>120</v>
      </c>
      <c r="W913" t="s">
        <v>120</v>
      </c>
      <c r="X913" t="s">
        <v>120</v>
      </c>
      <c r="Y913" t="s">
        <v>120</v>
      </c>
      <c r="Z913" t="s">
        <v>120</v>
      </c>
      <c r="AA913" t="s">
        <v>120</v>
      </c>
      <c r="AB913" t="s">
        <v>120</v>
      </c>
      <c r="AC913" t="s">
        <v>120</v>
      </c>
      <c r="AD913" t="s">
        <v>120</v>
      </c>
      <c r="AE913" t="s">
        <v>120</v>
      </c>
      <c r="AF913" t="s">
        <v>120</v>
      </c>
      <c r="AG913" t="s">
        <v>120</v>
      </c>
      <c r="AH913" t="s">
        <v>120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33.43</v>
      </c>
      <c r="AP913">
        <v>0</v>
      </c>
      <c r="AQ913">
        <v>0</v>
      </c>
      <c r="AR913">
        <v>75.06</v>
      </c>
      <c r="AS913">
        <v>0</v>
      </c>
    </row>
    <row r="914" spans="1:45" x14ac:dyDescent="0.25">
      <c r="A914" t="s">
        <v>2057</v>
      </c>
      <c r="B914" t="s">
        <v>2058</v>
      </c>
      <c r="C914" t="s">
        <v>147</v>
      </c>
      <c r="D914" t="s">
        <v>144</v>
      </c>
      <c r="E914" t="s">
        <v>120</v>
      </c>
      <c r="F914" t="s">
        <v>120</v>
      </c>
      <c r="G914" t="s">
        <v>120</v>
      </c>
      <c r="H914" t="s">
        <v>120</v>
      </c>
      <c r="I914" t="s">
        <v>120</v>
      </c>
      <c r="J914" t="s">
        <v>141</v>
      </c>
      <c r="K914" t="s">
        <v>120</v>
      </c>
      <c r="L914" t="s">
        <v>120</v>
      </c>
      <c r="M914" t="s">
        <v>120</v>
      </c>
      <c r="N914" t="s">
        <v>120</v>
      </c>
      <c r="O914" t="s">
        <v>120</v>
      </c>
      <c r="P914" t="s">
        <v>120</v>
      </c>
      <c r="Q914" t="s">
        <v>120</v>
      </c>
      <c r="R914" t="s">
        <v>120</v>
      </c>
      <c r="S914" t="s">
        <v>120</v>
      </c>
      <c r="T914" t="s">
        <v>120</v>
      </c>
      <c r="U914" t="s">
        <v>120</v>
      </c>
      <c r="V914" t="s">
        <v>135</v>
      </c>
      <c r="W914" t="s">
        <v>120</v>
      </c>
      <c r="X914" t="s">
        <v>120</v>
      </c>
      <c r="Y914" t="s">
        <v>141</v>
      </c>
      <c r="Z914" t="s">
        <v>120</v>
      </c>
      <c r="AA914" t="s">
        <v>120</v>
      </c>
      <c r="AB914" t="s">
        <v>120</v>
      </c>
      <c r="AC914" t="s">
        <v>120</v>
      </c>
      <c r="AD914" t="s">
        <v>120</v>
      </c>
      <c r="AE914" t="s">
        <v>120</v>
      </c>
      <c r="AF914" t="s">
        <v>120</v>
      </c>
      <c r="AG914" t="s">
        <v>120</v>
      </c>
      <c r="AH914" t="s">
        <v>120</v>
      </c>
      <c r="AJ914">
        <v>0</v>
      </c>
      <c r="AK914">
        <v>24</v>
      </c>
      <c r="AL914">
        <v>16</v>
      </c>
      <c r="AM914">
        <v>8</v>
      </c>
      <c r="AN914">
        <v>0</v>
      </c>
      <c r="AO914">
        <v>31.55</v>
      </c>
      <c r="AP914">
        <v>24</v>
      </c>
      <c r="AQ914">
        <v>0</v>
      </c>
      <c r="AR914">
        <v>70.2</v>
      </c>
      <c r="AS914">
        <v>1514.4</v>
      </c>
    </row>
    <row r="915" spans="1:45" x14ac:dyDescent="0.25">
      <c r="A915" t="s">
        <v>2059</v>
      </c>
      <c r="B915" t="s">
        <v>2060</v>
      </c>
      <c r="C915" t="s">
        <v>147</v>
      </c>
      <c r="D915" t="s">
        <v>144</v>
      </c>
      <c r="E915" t="s">
        <v>120</v>
      </c>
      <c r="F915" t="s">
        <v>120</v>
      </c>
      <c r="G915" t="s">
        <v>120</v>
      </c>
      <c r="H915" t="s">
        <v>120</v>
      </c>
      <c r="I915" t="s">
        <v>120</v>
      </c>
      <c r="J915" t="s">
        <v>120</v>
      </c>
      <c r="K915" t="s">
        <v>120</v>
      </c>
      <c r="L915" t="s">
        <v>120</v>
      </c>
      <c r="M915" t="s">
        <v>120</v>
      </c>
      <c r="N915" t="s">
        <v>120</v>
      </c>
      <c r="O915" t="s">
        <v>120</v>
      </c>
      <c r="P915" t="s">
        <v>120</v>
      </c>
      <c r="Q915" t="s">
        <v>120</v>
      </c>
      <c r="R915" t="s">
        <v>120</v>
      </c>
      <c r="S915" t="s">
        <v>120</v>
      </c>
      <c r="T915" t="s">
        <v>120</v>
      </c>
      <c r="U915" t="s">
        <v>120</v>
      </c>
      <c r="V915" t="s">
        <v>120</v>
      </c>
      <c r="W915" t="s">
        <v>120</v>
      </c>
      <c r="X915" t="s">
        <v>120</v>
      </c>
      <c r="Y915" t="s">
        <v>120</v>
      </c>
      <c r="Z915" t="s">
        <v>120</v>
      </c>
      <c r="AA915" t="s">
        <v>120</v>
      </c>
      <c r="AB915" t="s">
        <v>120</v>
      </c>
      <c r="AC915" t="s">
        <v>120</v>
      </c>
      <c r="AD915" t="s">
        <v>120</v>
      </c>
      <c r="AE915" t="s">
        <v>120</v>
      </c>
      <c r="AF915" t="s">
        <v>120</v>
      </c>
      <c r="AG915" t="s">
        <v>120</v>
      </c>
      <c r="AH915" t="s">
        <v>120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31.55</v>
      </c>
      <c r="AP915">
        <v>0</v>
      </c>
      <c r="AQ915">
        <v>0</v>
      </c>
      <c r="AR915">
        <v>70.2</v>
      </c>
      <c r="AS915">
        <v>0</v>
      </c>
    </row>
    <row r="916" spans="1:45" x14ac:dyDescent="0.25">
      <c r="A916" t="s">
        <v>2061</v>
      </c>
      <c r="B916" t="s">
        <v>2062</v>
      </c>
      <c r="C916" t="s">
        <v>147</v>
      </c>
      <c r="D916" t="s">
        <v>144</v>
      </c>
      <c r="E916" t="s">
        <v>120</v>
      </c>
      <c r="F916" t="s">
        <v>120</v>
      </c>
      <c r="G916" t="s">
        <v>120</v>
      </c>
      <c r="H916" t="s">
        <v>120</v>
      </c>
      <c r="I916" t="s">
        <v>120</v>
      </c>
      <c r="J916" t="s">
        <v>120</v>
      </c>
      <c r="K916" t="s">
        <v>120</v>
      </c>
      <c r="L916" t="s">
        <v>120</v>
      </c>
      <c r="M916" t="s">
        <v>120</v>
      </c>
      <c r="N916" t="s">
        <v>120</v>
      </c>
      <c r="O916" t="s">
        <v>120</v>
      </c>
      <c r="P916" t="s">
        <v>120</v>
      </c>
      <c r="Q916" t="s">
        <v>120</v>
      </c>
      <c r="R916" t="s">
        <v>120</v>
      </c>
      <c r="S916" t="s">
        <v>120</v>
      </c>
      <c r="T916" t="s">
        <v>120</v>
      </c>
      <c r="U916" t="s">
        <v>120</v>
      </c>
      <c r="V916" t="s">
        <v>120</v>
      </c>
      <c r="W916" t="s">
        <v>120</v>
      </c>
      <c r="X916" t="s">
        <v>120</v>
      </c>
      <c r="Y916" t="s">
        <v>120</v>
      </c>
      <c r="Z916" t="s">
        <v>120</v>
      </c>
      <c r="AA916" t="s">
        <v>120</v>
      </c>
      <c r="AB916" t="s">
        <v>120</v>
      </c>
      <c r="AC916" t="s">
        <v>120</v>
      </c>
      <c r="AD916" t="s">
        <v>120</v>
      </c>
      <c r="AE916" t="s">
        <v>120</v>
      </c>
      <c r="AF916" t="s">
        <v>120</v>
      </c>
      <c r="AG916" t="s">
        <v>120</v>
      </c>
      <c r="AH916" t="s">
        <v>120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31.55</v>
      </c>
      <c r="AP916">
        <v>0</v>
      </c>
      <c r="AQ916">
        <v>0</v>
      </c>
      <c r="AR916">
        <v>70.2</v>
      </c>
      <c r="AS916">
        <v>0</v>
      </c>
    </row>
    <row r="917" spans="1:45" x14ac:dyDescent="0.25">
      <c r="A917" t="s">
        <v>2063</v>
      </c>
      <c r="B917" t="s">
        <v>2064</v>
      </c>
      <c r="C917" t="s">
        <v>147</v>
      </c>
      <c r="D917" t="s">
        <v>144</v>
      </c>
      <c r="E917" t="s">
        <v>120</v>
      </c>
      <c r="F917" t="s">
        <v>120</v>
      </c>
      <c r="G917" t="s">
        <v>120</v>
      </c>
      <c r="H917" t="s">
        <v>120</v>
      </c>
      <c r="I917" t="s">
        <v>120</v>
      </c>
      <c r="J917" t="s">
        <v>120</v>
      </c>
      <c r="K917" t="s">
        <v>120</v>
      </c>
      <c r="L917" t="s">
        <v>120</v>
      </c>
      <c r="M917" t="s">
        <v>120</v>
      </c>
      <c r="N917" t="s">
        <v>120</v>
      </c>
      <c r="O917" t="s">
        <v>120</v>
      </c>
      <c r="P917" t="s">
        <v>120</v>
      </c>
      <c r="Q917" t="s">
        <v>120</v>
      </c>
      <c r="R917" t="s">
        <v>120</v>
      </c>
      <c r="S917" t="s">
        <v>120</v>
      </c>
      <c r="T917" t="s">
        <v>120</v>
      </c>
      <c r="U917" t="s">
        <v>120</v>
      </c>
      <c r="V917" t="s">
        <v>120</v>
      </c>
      <c r="W917" t="s">
        <v>120</v>
      </c>
      <c r="X917" t="s">
        <v>120</v>
      </c>
      <c r="Y917" t="s">
        <v>120</v>
      </c>
      <c r="Z917" t="s">
        <v>120</v>
      </c>
      <c r="AA917" t="s">
        <v>120</v>
      </c>
      <c r="AB917" t="s">
        <v>120</v>
      </c>
      <c r="AC917" t="s">
        <v>120</v>
      </c>
      <c r="AD917" t="s">
        <v>120</v>
      </c>
      <c r="AE917" t="s">
        <v>120</v>
      </c>
      <c r="AF917" t="s">
        <v>120</v>
      </c>
      <c r="AG917" t="s">
        <v>120</v>
      </c>
      <c r="AH917" t="s">
        <v>120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31.55</v>
      </c>
      <c r="AP917">
        <v>0</v>
      </c>
      <c r="AQ917">
        <v>0</v>
      </c>
      <c r="AR917">
        <v>70.2</v>
      </c>
      <c r="AS917">
        <v>0</v>
      </c>
    </row>
    <row r="918" spans="1:45" x14ac:dyDescent="0.25">
      <c r="A918" t="s">
        <v>2065</v>
      </c>
      <c r="B918" t="s">
        <v>2066</v>
      </c>
      <c r="C918" t="s">
        <v>147</v>
      </c>
      <c r="D918" t="s">
        <v>2067</v>
      </c>
      <c r="E918" t="s">
        <v>120</v>
      </c>
      <c r="F918" t="s">
        <v>120</v>
      </c>
      <c r="G918" t="s">
        <v>120</v>
      </c>
      <c r="H918" t="s">
        <v>120</v>
      </c>
      <c r="I918" t="s">
        <v>120</v>
      </c>
      <c r="J918" t="s">
        <v>120</v>
      </c>
      <c r="K918" t="s">
        <v>120</v>
      </c>
      <c r="L918" t="s">
        <v>120</v>
      </c>
      <c r="M918" t="s">
        <v>120</v>
      </c>
      <c r="N918" t="s">
        <v>120</v>
      </c>
      <c r="O918" t="s">
        <v>120</v>
      </c>
      <c r="P918" t="s">
        <v>120</v>
      </c>
      <c r="Q918" t="s">
        <v>120</v>
      </c>
      <c r="R918" t="s">
        <v>120</v>
      </c>
      <c r="S918" t="s">
        <v>120</v>
      </c>
      <c r="T918" t="s">
        <v>120</v>
      </c>
      <c r="U918" t="s">
        <v>120</v>
      </c>
      <c r="V918" t="s">
        <v>120</v>
      </c>
      <c r="W918" t="s">
        <v>120</v>
      </c>
      <c r="X918" t="s">
        <v>120</v>
      </c>
      <c r="Y918" t="s">
        <v>120</v>
      </c>
      <c r="Z918" t="s">
        <v>120</v>
      </c>
      <c r="AA918" t="s">
        <v>120</v>
      </c>
      <c r="AB918" t="s">
        <v>120</v>
      </c>
      <c r="AC918" t="s">
        <v>120</v>
      </c>
      <c r="AD918" t="s">
        <v>120</v>
      </c>
      <c r="AE918" t="s">
        <v>120</v>
      </c>
      <c r="AF918" t="s">
        <v>120</v>
      </c>
      <c r="AG918" t="s">
        <v>120</v>
      </c>
      <c r="AH918" t="s">
        <v>120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31.55</v>
      </c>
      <c r="AP918">
        <v>0</v>
      </c>
      <c r="AQ918">
        <v>0</v>
      </c>
      <c r="AR918">
        <v>70.2</v>
      </c>
      <c r="AS918">
        <v>0</v>
      </c>
    </row>
    <row r="919" spans="1:45" x14ac:dyDescent="0.25">
      <c r="A919" t="s">
        <v>2068</v>
      </c>
      <c r="B919" t="s">
        <v>2069</v>
      </c>
      <c r="C919" t="s">
        <v>147</v>
      </c>
      <c r="D919" t="s">
        <v>2067</v>
      </c>
      <c r="E919" t="s">
        <v>120</v>
      </c>
      <c r="F919" t="s">
        <v>120</v>
      </c>
      <c r="G919" t="s">
        <v>120</v>
      </c>
      <c r="H919" t="s">
        <v>120</v>
      </c>
      <c r="I919" t="s">
        <v>120</v>
      </c>
      <c r="J919" t="s">
        <v>120</v>
      </c>
      <c r="K919" t="s">
        <v>120</v>
      </c>
      <c r="L919" t="s">
        <v>120</v>
      </c>
      <c r="M919" t="s">
        <v>120</v>
      </c>
      <c r="N919" t="s">
        <v>120</v>
      </c>
      <c r="O919" t="s">
        <v>120</v>
      </c>
      <c r="P919" t="s">
        <v>120</v>
      </c>
      <c r="Q919" t="s">
        <v>120</v>
      </c>
      <c r="R919" t="s">
        <v>120</v>
      </c>
      <c r="S919" t="s">
        <v>120</v>
      </c>
      <c r="T919" t="s">
        <v>120</v>
      </c>
      <c r="U919" t="s">
        <v>120</v>
      </c>
      <c r="V919" t="s">
        <v>120</v>
      </c>
      <c r="W919" t="s">
        <v>120</v>
      </c>
      <c r="X919" t="s">
        <v>120</v>
      </c>
      <c r="Y919" t="s">
        <v>120</v>
      </c>
      <c r="Z919" t="s">
        <v>120</v>
      </c>
      <c r="AA919" t="s">
        <v>120</v>
      </c>
      <c r="AB919" t="s">
        <v>120</v>
      </c>
      <c r="AC919" t="s">
        <v>120</v>
      </c>
      <c r="AD919" t="s">
        <v>120</v>
      </c>
      <c r="AE919" t="s">
        <v>120</v>
      </c>
      <c r="AF919" t="s">
        <v>120</v>
      </c>
      <c r="AG919" t="s">
        <v>120</v>
      </c>
      <c r="AH919" t="s">
        <v>120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31.55</v>
      </c>
      <c r="AP919">
        <v>0</v>
      </c>
      <c r="AQ919">
        <v>0</v>
      </c>
      <c r="AR919">
        <v>70.2</v>
      </c>
      <c r="AS919">
        <v>0</v>
      </c>
    </row>
    <row r="920" spans="1:45" x14ac:dyDescent="0.25">
      <c r="A920" t="s">
        <v>2070</v>
      </c>
      <c r="B920" t="s">
        <v>2071</v>
      </c>
      <c r="C920" t="s">
        <v>127</v>
      </c>
      <c r="D920" t="s">
        <v>2067</v>
      </c>
      <c r="E920" t="s">
        <v>120</v>
      </c>
      <c r="F920" t="s">
        <v>120</v>
      </c>
      <c r="G920" t="s">
        <v>120</v>
      </c>
      <c r="H920" t="s">
        <v>120</v>
      </c>
      <c r="I920" t="s">
        <v>120</v>
      </c>
      <c r="J920" t="s">
        <v>120</v>
      </c>
      <c r="K920" t="s">
        <v>120</v>
      </c>
      <c r="L920" t="s">
        <v>120</v>
      </c>
      <c r="M920" t="s">
        <v>120</v>
      </c>
      <c r="N920" t="s">
        <v>120</v>
      </c>
      <c r="O920" t="s">
        <v>120</v>
      </c>
      <c r="P920" t="s">
        <v>120</v>
      </c>
      <c r="Q920" t="s">
        <v>120</v>
      </c>
      <c r="R920" t="s">
        <v>120</v>
      </c>
      <c r="S920" t="s">
        <v>120</v>
      </c>
      <c r="T920" t="s">
        <v>120</v>
      </c>
      <c r="U920" t="s">
        <v>120</v>
      </c>
      <c r="V920" t="s">
        <v>120</v>
      </c>
      <c r="W920" t="s">
        <v>120</v>
      </c>
      <c r="X920" t="s">
        <v>120</v>
      </c>
      <c r="Y920" t="s">
        <v>120</v>
      </c>
      <c r="Z920" t="s">
        <v>120</v>
      </c>
      <c r="AA920" t="s">
        <v>120</v>
      </c>
      <c r="AB920" t="s">
        <v>120</v>
      </c>
      <c r="AC920" t="s">
        <v>120</v>
      </c>
      <c r="AD920" t="s">
        <v>120</v>
      </c>
      <c r="AE920" t="s">
        <v>120</v>
      </c>
      <c r="AF920" t="s">
        <v>120</v>
      </c>
      <c r="AG920" t="s">
        <v>120</v>
      </c>
      <c r="AH920" t="s">
        <v>120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33.43</v>
      </c>
      <c r="AP920">
        <v>0</v>
      </c>
      <c r="AQ920">
        <v>0</v>
      </c>
      <c r="AR920">
        <v>75.06</v>
      </c>
      <c r="AS920">
        <v>0</v>
      </c>
    </row>
    <row r="921" spans="1:45" x14ac:dyDescent="0.25">
      <c r="A921" t="s">
        <v>2072</v>
      </c>
      <c r="B921" t="s">
        <v>2073</v>
      </c>
      <c r="C921" t="s">
        <v>147</v>
      </c>
      <c r="D921" t="s">
        <v>2067</v>
      </c>
      <c r="E921" t="s">
        <v>120</v>
      </c>
      <c r="F921" t="s">
        <v>120</v>
      </c>
      <c r="G921" t="s">
        <v>120</v>
      </c>
      <c r="H921" t="s">
        <v>120</v>
      </c>
      <c r="I921" t="s">
        <v>120</v>
      </c>
      <c r="J921" t="s">
        <v>120</v>
      </c>
      <c r="K921" t="s">
        <v>120</v>
      </c>
      <c r="L921" t="s">
        <v>120</v>
      </c>
      <c r="M921" t="s">
        <v>120</v>
      </c>
      <c r="N921" t="s">
        <v>120</v>
      </c>
      <c r="O921" t="s">
        <v>120</v>
      </c>
      <c r="P921" t="s">
        <v>120</v>
      </c>
      <c r="Q921" t="s">
        <v>120</v>
      </c>
      <c r="R921" t="s">
        <v>120</v>
      </c>
      <c r="S921" t="s">
        <v>120</v>
      </c>
      <c r="T921" t="s">
        <v>120</v>
      </c>
      <c r="U921" t="s">
        <v>120</v>
      </c>
      <c r="V921" t="s">
        <v>120</v>
      </c>
      <c r="W921" t="s">
        <v>120</v>
      </c>
      <c r="X921" t="s">
        <v>120</v>
      </c>
      <c r="Y921" t="s">
        <v>120</v>
      </c>
      <c r="Z921" t="s">
        <v>120</v>
      </c>
      <c r="AA921" t="s">
        <v>120</v>
      </c>
      <c r="AB921" t="s">
        <v>120</v>
      </c>
      <c r="AC921" t="s">
        <v>120</v>
      </c>
      <c r="AD921" t="s">
        <v>120</v>
      </c>
      <c r="AE921" t="s">
        <v>120</v>
      </c>
      <c r="AF921" t="s">
        <v>120</v>
      </c>
      <c r="AG921" t="s">
        <v>120</v>
      </c>
      <c r="AH921" t="s">
        <v>120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28.25</v>
      </c>
      <c r="AP921">
        <v>0</v>
      </c>
      <c r="AQ921">
        <v>0</v>
      </c>
      <c r="AR921">
        <v>70.2</v>
      </c>
      <c r="AS921">
        <v>0</v>
      </c>
    </row>
    <row r="922" spans="1:45" x14ac:dyDescent="0.25">
      <c r="A922" t="s">
        <v>2074</v>
      </c>
      <c r="B922" t="s">
        <v>2075</v>
      </c>
      <c r="C922" t="s">
        <v>147</v>
      </c>
      <c r="D922" t="s">
        <v>2067</v>
      </c>
      <c r="E922" t="s">
        <v>120</v>
      </c>
      <c r="F922" t="s">
        <v>120</v>
      </c>
      <c r="G922" t="s">
        <v>120</v>
      </c>
      <c r="H922" t="s">
        <v>120</v>
      </c>
      <c r="I922" t="s">
        <v>120</v>
      </c>
      <c r="J922" t="s">
        <v>120</v>
      </c>
      <c r="K922" t="s">
        <v>120</v>
      </c>
      <c r="L922" t="s">
        <v>120</v>
      </c>
      <c r="M922" t="s">
        <v>120</v>
      </c>
      <c r="N922" t="s">
        <v>120</v>
      </c>
      <c r="O922" t="s">
        <v>120</v>
      </c>
      <c r="P922" t="s">
        <v>120</v>
      </c>
      <c r="Q922" t="s">
        <v>120</v>
      </c>
      <c r="R922" t="s">
        <v>120</v>
      </c>
      <c r="S922" t="s">
        <v>120</v>
      </c>
      <c r="T922" t="s">
        <v>120</v>
      </c>
      <c r="U922" t="s">
        <v>120</v>
      </c>
      <c r="V922" t="s">
        <v>120</v>
      </c>
      <c r="W922" t="s">
        <v>120</v>
      </c>
      <c r="X922" t="s">
        <v>120</v>
      </c>
      <c r="Y922" t="s">
        <v>120</v>
      </c>
      <c r="Z922" t="s">
        <v>120</v>
      </c>
      <c r="AA922" t="s">
        <v>120</v>
      </c>
      <c r="AB922" t="s">
        <v>120</v>
      </c>
      <c r="AC922" t="s">
        <v>120</v>
      </c>
      <c r="AD922" t="s">
        <v>120</v>
      </c>
      <c r="AE922" t="s">
        <v>120</v>
      </c>
      <c r="AF922" t="s">
        <v>120</v>
      </c>
      <c r="AG922" t="s">
        <v>120</v>
      </c>
      <c r="AH922" t="s">
        <v>120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31.55</v>
      </c>
      <c r="AP922">
        <v>0</v>
      </c>
      <c r="AQ922">
        <v>0</v>
      </c>
      <c r="AR922">
        <v>70.2</v>
      </c>
      <c r="AS922">
        <v>0</v>
      </c>
    </row>
    <row r="923" spans="1:45" x14ac:dyDescent="0.25">
      <c r="A923" t="s">
        <v>2076</v>
      </c>
      <c r="B923" t="s">
        <v>2077</v>
      </c>
      <c r="C923" t="s">
        <v>147</v>
      </c>
      <c r="D923" t="s">
        <v>2067</v>
      </c>
      <c r="E923" t="s">
        <v>120</v>
      </c>
      <c r="F923" t="s">
        <v>120</v>
      </c>
      <c r="G923" t="s">
        <v>120</v>
      </c>
      <c r="H923" t="s">
        <v>120</v>
      </c>
      <c r="I923" t="s">
        <v>120</v>
      </c>
      <c r="J923" t="s">
        <v>120</v>
      </c>
      <c r="K923" t="s">
        <v>120</v>
      </c>
      <c r="L923" t="s">
        <v>120</v>
      </c>
      <c r="M923" t="s">
        <v>120</v>
      </c>
      <c r="N923" t="s">
        <v>120</v>
      </c>
      <c r="O923" t="s">
        <v>120</v>
      </c>
      <c r="P923" t="s">
        <v>120</v>
      </c>
      <c r="Q923" t="s">
        <v>120</v>
      </c>
      <c r="R923" t="s">
        <v>120</v>
      </c>
      <c r="S923" t="s">
        <v>120</v>
      </c>
      <c r="T923" t="s">
        <v>120</v>
      </c>
      <c r="U923" t="s">
        <v>120</v>
      </c>
      <c r="V923" t="s">
        <v>120</v>
      </c>
      <c r="W923" t="s">
        <v>120</v>
      </c>
      <c r="X923" t="s">
        <v>120</v>
      </c>
      <c r="Y923" t="s">
        <v>120</v>
      </c>
      <c r="Z923" t="s">
        <v>120</v>
      </c>
      <c r="AA923" t="s">
        <v>120</v>
      </c>
      <c r="AB923" t="s">
        <v>120</v>
      </c>
      <c r="AC923" t="s">
        <v>120</v>
      </c>
      <c r="AD923" t="s">
        <v>120</v>
      </c>
      <c r="AE923" t="s">
        <v>120</v>
      </c>
      <c r="AF923" t="s">
        <v>120</v>
      </c>
      <c r="AG923" t="s">
        <v>120</v>
      </c>
      <c r="AH923" t="s">
        <v>120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31.55</v>
      </c>
      <c r="AP923">
        <v>0</v>
      </c>
      <c r="AQ923">
        <v>0</v>
      </c>
      <c r="AR923">
        <v>70.2</v>
      </c>
      <c r="AS923">
        <v>0</v>
      </c>
    </row>
    <row r="924" spans="1:45" x14ac:dyDescent="0.25">
      <c r="A924" t="s">
        <v>2078</v>
      </c>
      <c r="B924" t="s">
        <v>2079</v>
      </c>
      <c r="C924" t="s">
        <v>147</v>
      </c>
      <c r="D924" t="s">
        <v>2067</v>
      </c>
      <c r="E924" t="s">
        <v>120</v>
      </c>
      <c r="F924" t="s">
        <v>120</v>
      </c>
      <c r="G924" t="s">
        <v>120</v>
      </c>
      <c r="H924" t="s">
        <v>120</v>
      </c>
      <c r="I924" t="s">
        <v>120</v>
      </c>
      <c r="J924" t="s">
        <v>120</v>
      </c>
      <c r="K924" t="s">
        <v>120</v>
      </c>
      <c r="L924" t="s">
        <v>120</v>
      </c>
      <c r="M924" t="s">
        <v>120</v>
      </c>
      <c r="N924" t="s">
        <v>120</v>
      </c>
      <c r="O924" t="s">
        <v>120</v>
      </c>
      <c r="P924" t="s">
        <v>120</v>
      </c>
      <c r="Q924" t="s">
        <v>120</v>
      </c>
      <c r="R924" t="s">
        <v>120</v>
      </c>
      <c r="S924" t="s">
        <v>120</v>
      </c>
      <c r="T924" t="s">
        <v>120</v>
      </c>
      <c r="U924" t="s">
        <v>120</v>
      </c>
      <c r="V924" t="s">
        <v>120</v>
      </c>
      <c r="W924" t="s">
        <v>120</v>
      </c>
      <c r="X924" t="s">
        <v>120</v>
      </c>
      <c r="Y924" t="s">
        <v>120</v>
      </c>
      <c r="Z924" t="s">
        <v>120</v>
      </c>
      <c r="AA924" t="s">
        <v>120</v>
      </c>
      <c r="AB924" t="s">
        <v>120</v>
      </c>
      <c r="AC924" t="s">
        <v>120</v>
      </c>
      <c r="AD924" t="s">
        <v>120</v>
      </c>
      <c r="AE924" t="s">
        <v>120</v>
      </c>
      <c r="AF924" t="s">
        <v>120</v>
      </c>
      <c r="AG924" t="s">
        <v>120</v>
      </c>
      <c r="AH924" t="s">
        <v>120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31.55</v>
      </c>
      <c r="AP924">
        <v>0</v>
      </c>
      <c r="AQ924">
        <v>0</v>
      </c>
      <c r="AR924">
        <v>70.2</v>
      </c>
      <c r="AS924">
        <v>0</v>
      </c>
    </row>
    <row r="925" spans="1:45" x14ac:dyDescent="0.25">
      <c r="A925" t="s">
        <v>2080</v>
      </c>
      <c r="B925" t="s">
        <v>2081</v>
      </c>
      <c r="C925" t="s">
        <v>147</v>
      </c>
      <c r="D925" t="s">
        <v>2067</v>
      </c>
      <c r="E925" t="s">
        <v>120</v>
      </c>
      <c r="F925" t="s">
        <v>120</v>
      </c>
      <c r="G925" t="s">
        <v>120</v>
      </c>
      <c r="H925" t="s">
        <v>120</v>
      </c>
      <c r="I925" t="s">
        <v>120</v>
      </c>
      <c r="J925" t="s">
        <v>120</v>
      </c>
      <c r="K925" t="s">
        <v>120</v>
      </c>
      <c r="L925" t="s">
        <v>120</v>
      </c>
      <c r="M925" t="s">
        <v>120</v>
      </c>
      <c r="N925" t="s">
        <v>120</v>
      </c>
      <c r="O925" t="s">
        <v>120</v>
      </c>
      <c r="P925" t="s">
        <v>120</v>
      </c>
      <c r="Q925" t="s">
        <v>120</v>
      </c>
      <c r="R925" t="s">
        <v>120</v>
      </c>
      <c r="S925" t="s">
        <v>120</v>
      </c>
      <c r="T925" t="s">
        <v>120</v>
      </c>
      <c r="U925" t="s">
        <v>120</v>
      </c>
      <c r="V925" t="s">
        <v>120</v>
      </c>
      <c r="W925" t="s">
        <v>120</v>
      </c>
      <c r="X925" t="s">
        <v>120</v>
      </c>
      <c r="Y925" t="s">
        <v>120</v>
      </c>
      <c r="Z925" t="s">
        <v>120</v>
      </c>
      <c r="AA925" t="s">
        <v>120</v>
      </c>
      <c r="AB925" t="s">
        <v>120</v>
      </c>
      <c r="AC925" t="s">
        <v>120</v>
      </c>
      <c r="AD925" t="s">
        <v>120</v>
      </c>
      <c r="AE925" t="s">
        <v>120</v>
      </c>
      <c r="AF925" t="s">
        <v>120</v>
      </c>
      <c r="AG925" t="s">
        <v>120</v>
      </c>
      <c r="AH925" t="s">
        <v>120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31.55</v>
      </c>
      <c r="AP925">
        <v>0</v>
      </c>
      <c r="AQ925">
        <v>0</v>
      </c>
      <c r="AR925">
        <v>70.2</v>
      </c>
      <c r="AS925">
        <v>0</v>
      </c>
    </row>
    <row r="926" spans="1:45" x14ac:dyDescent="0.25">
      <c r="A926" t="s">
        <v>2082</v>
      </c>
      <c r="B926" t="s">
        <v>2083</v>
      </c>
      <c r="C926" t="s">
        <v>130</v>
      </c>
      <c r="D926" t="s">
        <v>2067</v>
      </c>
      <c r="E926" t="s">
        <v>120</v>
      </c>
      <c r="F926" t="s">
        <v>120</v>
      </c>
      <c r="G926" t="s">
        <v>120</v>
      </c>
      <c r="H926" t="s">
        <v>285</v>
      </c>
      <c r="I926" t="s">
        <v>120</v>
      </c>
      <c r="J926" t="s">
        <v>120</v>
      </c>
      <c r="K926" t="s">
        <v>120</v>
      </c>
      <c r="L926" t="s">
        <v>120</v>
      </c>
      <c r="M926" t="s">
        <v>120</v>
      </c>
      <c r="N926" t="s">
        <v>120</v>
      </c>
      <c r="O926" t="s">
        <v>120</v>
      </c>
      <c r="P926" t="s">
        <v>120</v>
      </c>
      <c r="Q926" t="s">
        <v>120</v>
      </c>
      <c r="R926" t="s">
        <v>120</v>
      </c>
      <c r="S926" t="s">
        <v>120</v>
      </c>
      <c r="T926" t="s">
        <v>285</v>
      </c>
      <c r="U926" t="s">
        <v>120</v>
      </c>
      <c r="V926" t="s">
        <v>120</v>
      </c>
      <c r="W926" t="s">
        <v>120</v>
      </c>
      <c r="X926" t="s">
        <v>120</v>
      </c>
      <c r="Y926" t="s">
        <v>141</v>
      </c>
      <c r="Z926" t="s">
        <v>120</v>
      </c>
      <c r="AA926" t="s">
        <v>120</v>
      </c>
      <c r="AB926" t="s">
        <v>120</v>
      </c>
      <c r="AC926" t="s">
        <v>120</v>
      </c>
      <c r="AD926" t="s">
        <v>285</v>
      </c>
      <c r="AE926" t="s">
        <v>285</v>
      </c>
      <c r="AF926" t="s">
        <v>120</v>
      </c>
      <c r="AG926" t="s">
        <v>120</v>
      </c>
      <c r="AH926" t="s">
        <v>120</v>
      </c>
      <c r="AJ926">
        <v>0</v>
      </c>
      <c r="AK926">
        <v>36</v>
      </c>
      <c r="AL926">
        <v>8</v>
      </c>
      <c r="AM926">
        <v>0</v>
      </c>
      <c r="AN926">
        <v>28</v>
      </c>
      <c r="AO926">
        <v>7500</v>
      </c>
      <c r="AP926">
        <v>8</v>
      </c>
      <c r="AQ926">
        <v>3543.7500000000005</v>
      </c>
      <c r="AR926">
        <v>126.56250000000001</v>
      </c>
      <c r="AS926">
        <v>750</v>
      </c>
    </row>
    <row r="927" spans="1:45" x14ac:dyDescent="0.25">
      <c r="A927" t="s">
        <v>2084</v>
      </c>
      <c r="B927" t="s">
        <v>2085</v>
      </c>
      <c r="C927" t="s">
        <v>147</v>
      </c>
      <c r="D927" t="s">
        <v>2067</v>
      </c>
      <c r="E927" t="s">
        <v>120</v>
      </c>
      <c r="F927" t="s">
        <v>120</v>
      </c>
      <c r="G927" t="s">
        <v>120</v>
      </c>
      <c r="H927" t="s">
        <v>120</v>
      </c>
      <c r="I927" t="s">
        <v>120</v>
      </c>
      <c r="J927" t="s">
        <v>120</v>
      </c>
      <c r="K927" t="s">
        <v>120</v>
      </c>
      <c r="L927" t="s">
        <v>120</v>
      </c>
      <c r="M927" t="s">
        <v>120</v>
      </c>
      <c r="N927" t="s">
        <v>120</v>
      </c>
      <c r="O927" t="s">
        <v>120</v>
      </c>
      <c r="P927" t="s">
        <v>120</v>
      </c>
      <c r="Q927" t="s">
        <v>120</v>
      </c>
      <c r="R927" t="s">
        <v>120</v>
      </c>
      <c r="S927" t="s">
        <v>120</v>
      </c>
      <c r="T927" t="s">
        <v>120</v>
      </c>
      <c r="U927" t="s">
        <v>120</v>
      </c>
      <c r="V927" t="s">
        <v>120</v>
      </c>
      <c r="W927" t="s">
        <v>120</v>
      </c>
      <c r="X927" t="s">
        <v>120</v>
      </c>
      <c r="Y927" t="s">
        <v>120</v>
      </c>
      <c r="Z927" t="s">
        <v>120</v>
      </c>
      <c r="AA927" t="s">
        <v>120</v>
      </c>
      <c r="AB927" t="s">
        <v>120</v>
      </c>
      <c r="AC927" t="s">
        <v>120</v>
      </c>
      <c r="AD927" t="s">
        <v>120</v>
      </c>
      <c r="AE927" t="s">
        <v>120</v>
      </c>
      <c r="AF927" t="s">
        <v>120</v>
      </c>
      <c r="AG927" t="s">
        <v>120</v>
      </c>
      <c r="AH927" t="s">
        <v>120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31.55</v>
      </c>
      <c r="AP927">
        <v>0</v>
      </c>
      <c r="AQ927">
        <v>0</v>
      </c>
      <c r="AR927">
        <v>70.2</v>
      </c>
      <c r="AS927">
        <v>0</v>
      </c>
    </row>
    <row r="928" spans="1:45" x14ac:dyDescent="0.25">
      <c r="A928" t="s">
        <v>2086</v>
      </c>
      <c r="B928" t="s">
        <v>2087</v>
      </c>
      <c r="C928" t="s">
        <v>147</v>
      </c>
      <c r="D928" t="s">
        <v>2067</v>
      </c>
      <c r="E928" t="s">
        <v>120</v>
      </c>
      <c r="F928" t="s">
        <v>120</v>
      </c>
      <c r="G928" t="s">
        <v>120</v>
      </c>
      <c r="H928" t="s">
        <v>120</v>
      </c>
      <c r="I928" t="s">
        <v>120</v>
      </c>
      <c r="J928" t="s">
        <v>120</v>
      </c>
      <c r="K928" t="s">
        <v>120</v>
      </c>
      <c r="L928" t="s">
        <v>120</v>
      </c>
      <c r="M928" t="s">
        <v>120</v>
      </c>
      <c r="N928" t="s">
        <v>120</v>
      </c>
      <c r="O928" t="s">
        <v>120</v>
      </c>
      <c r="P928" t="s">
        <v>120</v>
      </c>
      <c r="Q928" t="s">
        <v>120</v>
      </c>
      <c r="R928" t="s">
        <v>120</v>
      </c>
      <c r="S928" t="s">
        <v>120</v>
      </c>
      <c r="T928" t="s">
        <v>120</v>
      </c>
      <c r="U928" t="s">
        <v>120</v>
      </c>
      <c r="V928" t="s">
        <v>120</v>
      </c>
      <c r="W928" t="s">
        <v>120</v>
      </c>
      <c r="X928" t="s">
        <v>120</v>
      </c>
      <c r="Y928" t="s">
        <v>120</v>
      </c>
      <c r="Z928" t="s">
        <v>120</v>
      </c>
      <c r="AA928" t="s">
        <v>120</v>
      </c>
      <c r="AB928" t="s">
        <v>120</v>
      </c>
      <c r="AC928" t="s">
        <v>120</v>
      </c>
      <c r="AD928" t="s">
        <v>120</v>
      </c>
      <c r="AE928" t="s">
        <v>120</v>
      </c>
      <c r="AF928" t="s">
        <v>120</v>
      </c>
      <c r="AG928" t="s">
        <v>120</v>
      </c>
      <c r="AH928" t="s">
        <v>120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31.55</v>
      </c>
      <c r="AP928">
        <v>0</v>
      </c>
      <c r="AQ928">
        <v>0</v>
      </c>
      <c r="AR928">
        <v>70.2</v>
      </c>
      <c r="AS928">
        <v>0</v>
      </c>
    </row>
    <row r="929" spans="1:45" x14ac:dyDescent="0.25">
      <c r="A929" t="s">
        <v>2088</v>
      </c>
      <c r="B929" t="s">
        <v>2089</v>
      </c>
      <c r="C929" t="s">
        <v>147</v>
      </c>
      <c r="D929" t="s">
        <v>2067</v>
      </c>
      <c r="E929" t="s">
        <v>120</v>
      </c>
      <c r="F929" t="s">
        <v>120</v>
      </c>
      <c r="G929" t="s">
        <v>120</v>
      </c>
      <c r="H929" t="s">
        <v>120</v>
      </c>
      <c r="I929" t="s">
        <v>120</v>
      </c>
      <c r="J929" t="s">
        <v>120</v>
      </c>
      <c r="K929" t="s">
        <v>120</v>
      </c>
      <c r="L929" t="s">
        <v>120</v>
      </c>
      <c r="M929" t="s">
        <v>120</v>
      </c>
      <c r="N929" t="s">
        <v>120</v>
      </c>
      <c r="O929" t="s">
        <v>120</v>
      </c>
      <c r="P929" t="s">
        <v>120</v>
      </c>
      <c r="Q929" t="s">
        <v>120</v>
      </c>
      <c r="R929" t="s">
        <v>120</v>
      </c>
      <c r="S929" t="s">
        <v>120</v>
      </c>
      <c r="T929" t="s">
        <v>120</v>
      </c>
      <c r="U929" t="s">
        <v>120</v>
      </c>
      <c r="V929" t="s">
        <v>120</v>
      </c>
      <c r="W929" t="s">
        <v>120</v>
      </c>
      <c r="X929" t="s">
        <v>120</v>
      </c>
      <c r="Y929" t="s">
        <v>120</v>
      </c>
      <c r="Z929" t="s">
        <v>120</v>
      </c>
      <c r="AA929" t="s">
        <v>120</v>
      </c>
      <c r="AB929" t="s">
        <v>120</v>
      </c>
      <c r="AC929" t="s">
        <v>120</v>
      </c>
      <c r="AD929" t="s">
        <v>120</v>
      </c>
      <c r="AE929" t="s">
        <v>120</v>
      </c>
      <c r="AF929" t="s">
        <v>120</v>
      </c>
      <c r="AG929" t="s">
        <v>120</v>
      </c>
      <c r="AH929" t="s">
        <v>120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31.55</v>
      </c>
      <c r="AP929">
        <v>0</v>
      </c>
      <c r="AQ929">
        <v>0</v>
      </c>
      <c r="AR929">
        <v>70.2</v>
      </c>
      <c r="AS929">
        <v>0</v>
      </c>
    </row>
    <row r="930" spans="1:45" x14ac:dyDescent="0.25">
      <c r="A930" t="s">
        <v>2090</v>
      </c>
      <c r="B930" t="s">
        <v>2091</v>
      </c>
      <c r="C930" t="s">
        <v>147</v>
      </c>
      <c r="D930" t="s">
        <v>2067</v>
      </c>
      <c r="E930" t="s">
        <v>120</v>
      </c>
      <c r="F930" t="s">
        <v>120</v>
      </c>
      <c r="G930" t="s">
        <v>120</v>
      </c>
      <c r="H930" t="s">
        <v>120</v>
      </c>
      <c r="I930" t="s">
        <v>120</v>
      </c>
      <c r="J930" t="s">
        <v>120</v>
      </c>
      <c r="K930" t="s">
        <v>120</v>
      </c>
      <c r="L930" t="s">
        <v>120</v>
      </c>
      <c r="M930" t="s">
        <v>120</v>
      </c>
      <c r="N930" t="s">
        <v>120</v>
      </c>
      <c r="O930" t="s">
        <v>120</v>
      </c>
      <c r="P930" t="s">
        <v>120</v>
      </c>
      <c r="Q930" t="s">
        <v>120</v>
      </c>
      <c r="R930" t="s">
        <v>120</v>
      </c>
      <c r="S930" t="s">
        <v>120</v>
      </c>
      <c r="T930" t="s">
        <v>120</v>
      </c>
      <c r="U930" t="s">
        <v>120</v>
      </c>
      <c r="V930" t="s">
        <v>120</v>
      </c>
      <c r="W930" t="s">
        <v>120</v>
      </c>
      <c r="X930" t="s">
        <v>120</v>
      </c>
      <c r="Y930" t="s">
        <v>120</v>
      </c>
      <c r="Z930" t="s">
        <v>120</v>
      </c>
      <c r="AA930" t="s">
        <v>120</v>
      </c>
      <c r="AB930" t="s">
        <v>120</v>
      </c>
      <c r="AC930" t="s">
        <v>120</v>
      </c>
      <c r="AD930" t="s">
        <v>120</v>
      </c>
      <c r="AE930" t="s">
        <v>120</v>
      </c>
      <c r="AF930" t="s">
        <v>120</v>
      </c>
      <c r="AG930" t="s">
        <v>120</v>
      </c>
      <c r="AH930" t="s">
        <v>120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31.55</v>
      </c>
      <c r="AP930">
        <v>0</v>
      </c>
      <c r="AQ930">
        <v>0</v>
      </c>
      <c r="AR930">
        <v>70.2</v>
      </c>
      <c r="AS930">
        <v>0</v>
      </c>
    </row>
    <row r="931" spans="1:45" x14ac:dyDescent="0.25">
      <c r="A931" t="s">
        <v>2092</v>
      </c>
      <c r="B931" t="s">
        <v>2093</v>
      </c>
      <c r="C931" t="s">
        <v>147</v>
      </c>
      <c r="D931" t="s">
        <v>2067</v>
      </c>
      <c r="E931" t="s">
        <v>120</v>
      </c>
      <c r="F931" t="s">
        <v>120</v>
      </c>
      <c r="G931" t="s">
        <v>120</v>
      </c>
      <c r="H931" t="s">
        <v>120</v>
      </c>
      <c r="I931" t="s">
        <v>120</v>
      </c>
      <c r="J931" t="s">
        <v>120</v>
      </c>
      <c r="K931" t="s">
        <v>120</v>
      </c>
      <c r="L931" t="s">
        <v>120</v>
      </c>
      <c r="M931" t="s">
        <v>120</v>
      </c>
      <c r="N931" t="s">
        <v>120</v>
      </c>
      <c r="O931" t="s">
        <v>120</v>
      </c>
      <c r="P931" t="s">
        <v>120</v>
      </c>
      <c r="Q931" t="s">
        <v>120</v>
      </c>
      <c r="R931" t="s">
        <v>120</v>
      </c>
      <c r="S931" t="s">
        <v>120</v>
      </c>
      <c r="T931" t="s">
        <v>120</v>
      </c>
      <c r="U931" t="s">
        <v>120</v>
      </c>
      <c r="V931" t="s">
        <v>120</v>
      </c>
      <c r="W931" t="s">
        <v>120</v>
      </c>
      <c r="X931" t="s">
        <v>120</v>
      </c>
      <c r="Y931" t="s">
        <v>120</v>
      </c>
      <c r="Z931" t="s">
        <v>120</v>
      </c>
      <c r="AA931" t="s">
        <v>120</v>
      </c>
      <c r="AB931" t="s">
        <v>120</v>
      </c>
      <c r="AC931" t="s">
        <v>120</v>
      </c>
      <c r="AD931" t="s">
        <v>120</v>
      </c>
      <c r="AE931" t="s">
        <v>120</v>
      </c>
      <c r="AF931" t="s">
        <v>120</v>
      </c>
      <c r="AG931" t="s">
        <v>120</v>
      </c>
      <c r="AH931" t="s">
        <v>120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31.55</v>
      </c>
      <c r="AP931">
        <v>0</v>
      </c>
      <c r="AQ931">
        <v>0</v>
      </c>
      <c r="AR931">
        <v>70.2</v>
      </c>
      <c r="AS931">
        <v>0</v>
      </c>
    </row>
    <row r="932" spans="1:45" x14ac:dyDescent="0.25">
      <c r="A932" t="s">
        <v>2094</v>
      </c>
      <c r="B932" t="s">
        <v>2095</v>
      </c>
      <c r="C932" t="s">
        <v>127</v>
      </c>
      <c r="D932" t="s">
        <v>2067</v>
      </c>
      <c r="E932" t="s">
        <v>120</v>
      </c>
      <c r="F932" t="s">
        <v>120</v>
      </c>
      <c r="G932" t="s">
        <v>120</v>
      </c>
      <c r="H932" t="s">
        <v>285</v>
      </c>
      <c r="I932" t="s">
        <v>120</v>
      </c>
      <c r="J932" t="s">
        <v>120</v>
      </c>
      <c r="K932" t="s">
        <v>120</v>
      </c>
      <c r="L932" t="s">
        <v>120</v>
      </c>
      <c r="M932" t="s">
        <v>120</v>
      </c>
      <c r="N932" t="s">
        <v>120</v>
      </c>
      <c r="O932" t="s">
        <v>120</v>
      </c>
      <c r="P932" t="s">
        <v>120</v>
      </c>
      <c r="Q932" t="s">
        <v>120</v>
      </c>
      <c r="R932" t="s">
        <v>120</v>
      </c>
      <c r="S932" t="s">
        <v>120</v>
      </c>
      <c r="T932" t="s">
        <v>285</v>
      </c>
      <c r="U932" t="s">
        <v>120</v>
      </c>
      <c r="V932" t="s">
        <v>120</v>
      </c>
      <c r="W932" t="s">
        <v>120</v>
      </c>
      <c r="X932" t="s">
        <v>120</v>
      </c>
      <c r="Y932" t="s">
        <v>141</v>
      </c>
      <c r="Z932" t="s">
        <v>120</v>
      </c>
      <c r="AA932" t="s">
        <v>120</v>
      </c>
      <c r="AB932" t="s">
        <v>120</v>
      </c>
      <c r="AC932" t="s">
        <v>120</v>
      </c>
      <c r="AD932" t="s">
        <v>120</v>
      </c>
      <c r="AE932" t="s">
        <v>120</v>
      </c>
      <c r="AF932" t="s">
        <v>120</v>
      </c>
      <c r="AG932" t="s">
        <v>120</v>
      </c>
      <c r="AH932" t="s">
        <v>120</v>
      </c>
      <c r="AJ932">
        <v>0</v>
      </c>
      <c r="AK932">
        <v>22</v>
      </c>
      <c r="AL932">
        <v>8</v>
      </c>
      <c r="AM932">
        <v>0</v>
      </c>
      <c r="AN932">
        <v>14</v>
      </c>
      <c r="AO932">
        <v>33.43</v>
      </c>
      <c r="AP932">
        <v>8</v>
      </c>
      <c r="AQ932">
        <v>1050.8400000000001</v>
      </c>
      <c r="AR932">
        <v>75.06</v>
      </c>
      <c r="AS932">
        <v>534.88</v>
      </c>
    </row>
    <row r="933" spans="1:45" x14ac:dyDescent="0.25">
      <c r="A933" t="s">
        <v>2096</v>
      </c>
      <c r="B933" t="s">
        <v>2097</v>
      </c>
      <c r="C933" t="s">
        <v>147</v>
      </c>
      <c r="D933" t="s">
        <v>2067</v>
      </c>
      <c r="E933" t="s">
        <v>120</v>
      </c>
      <c r="F933" t="s">
        <v>120</v>
      </c>
      <c r="G933" t="s">
        <v>120</v>
      </c>
      <c r="H933" t="s">
        <v>120</v>
      </c>
      <c r="I933" t="s">
        <v>120</v>
      </c>
      <c r="J933" t="s">
        <v>120</v>
      </c>
      <c r="K933" t="s">
        <v>120</v>
      </c>
      <c r="L933" t="s">
        <v>120</v>
      </c>
      <c r="M933" t="s">
        <v>120</v>
      </c>
      <c r="N933" t="s">
        <v>120</v>
      </c>
      <c r="O933" t="s">
        <v>120</v>
      </c>
      <c r="P933" t="s">
        <v>120</v>
      </c>
      <c r="Q933" t="s">
        <v>120</v>
      </c>
      <c r="R933" t="s">
        <v>120</v>
      </c>
      <c r="S933" t="s">
        <v>120</v>
      </c>
      <c r="T933" t="s">
        <v>285</v>
      </c>
      <c r="U933" t="s">
        <v>120</v>
      </c>
      <c r="V933" t="s">
        <v>120</v>
      </c>
      <c r="W933" t="s">
        <v>120</v>
      </c>
      <c r="X933" t="s">
        <v>120</v>
      </c>
      <c r="Y933" t="s">
        <v>141</v>
      </c>
      <c r="Z933" t="s">
        <v>120</v>
      </c>
      <c r="AA933" t="s">
        <v>120</v>
      </c>
      <c r="AB933" t="s">
        <v>120</v>
      </c>
      <c r="AC933" t="s">
        <v>120</v>
      </c>
      <c r="AD933" t="s">
        <v>120</v>
      </c>
      <c r="AE933" t="s">
        <v>120</v>
      </c>
      <c r="AF933" t="s">
        <v>120</v>
      </c>
      <c r="AG933" t="s">
        <v>120</v>
      </c>
      <c r="AH933" t="s">
        <v>120</v>
      </c>
      <c r="AJ933">
        <v>0</v>
      </c>
      <c r="AK933">
        <v>15</v>
      </c>
      <c r="AL933">
        <v>8</v>
      </c>
      <c r="AM933">
        <v>0</v>
      </c>
      <c r="AN933">
        <v>7</v>
      </c>
      <c r="AO933">
        <v>31.55</v>
      </c>
      <c r="AP933">
        <v>8</v>
      </c>
      <c r="AQ933">
        <v>491.40000000000003</v>
      </c>
      <c r="AR933">
        <v>70.2</v>
      </c>
      <c r="AS933">
        <v>504.8</v>
      </c>
    </row>
    <row r="934" spans="1:45" x14ac:dyDescent="0.25">
      <c r="A934" t="s">
        <v>2098</v>
      </c>
      <c r="B934" t="s">
        <v>2099</v>
      </c>
      <c r="C934" t="s">
        <v>147</v>
      </c>
      <c r="D934" t="s">
        <v>2067</v>
      </c>
      <c r="E934" t="s">
        <v>120</v>
      </c>
      <c r="F934" t="s">
        <v>120</v>
      </c>
      <c r="G934" t="s">
        <v>120</v>
      </c>
      <c r="H934" t="s">
        <v>120</v>
      </c>
      <c r="I934" t="s">
        <v>120</v>
      </c>
      <c r="J934" t="s">
        <v>120</v>
      </c>
      <c r="K934" t="s">
        <v>120</v>
      </c>
      <c r="L934" t="s">
        <v>120</v>
      </c>
      <c r="M934" t="s">
        <v>120</v>
      </c>
      <c r="N934" t="s">
        <v>120</v>
      </c>
      <c r="O934" t="s">
        <v>120</v>
      </c>
      <c r="P934" t="s">
        <v>120</v>
      </c>
      <c r="Q934" t="s">
        <v>120</v>
      </c>
      <c r="R934" t="s">
        <v>120</v>
      </c>
      <c r="S934" t="s">
        <v>120</v>
      </c>
      <c r="T934" t="s">
        <v>120</v>
      </c>
      <c r="U934" t="s">
        <v>120</v>
      </c>
      <c r="V934" t="s">
        <v>120</v>
      </c>
      <c r="W934" t="s">
        <v>120</v>
      </c>
      <c r="X934" t="s">
        <v>120</v>
      </c>
      <c r="Y934" t="s">
        <v>120</v>
      </c>
      <c r="Z934" t="s">
        <v>120</v>
      </c>
      <c r="AA934" t="s">
        <v>120</v>
      </c>
      <c r="AB934" t="s">
        <v>120</v>
      </c>
      <c r="AC934" t="s">
        <v>120</v>
      </c>
      <c r="AD934" t="s">
        <v>120</v>
      </c>
      <c r="AE934" t="s">
        <v>120</v>
      </c>
      <c r="AF934" t="s">
        <v>120</v>
      </c>
      <c r="AG934" t="s">
        <v>120</v>
      </c>
      <c r="AH934" t="s">
        <v>120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31.55</v>
      </c>
      <c r="AP934">
        <v>0</v>
      </c>
      <c r="AQ934">
        <v>0</v>
      </c>
      <c r="AR934">
        <v>70.2</v>
      </c>
      <c r="AS934">
        <v>0</v>
      </c>
    </row>
    <row r="935" spans="1:45" x14ac:dyDescent="0.25">
      <c r="A935" t="s">
        <v>2100</v>
      </c>
      <c r="B935" t="s">
        <v>2101</v>
      </c>
      <c r="C935" t="s">
        <v>147</v>
      </c>
      <c r="D935" t="s">
        <v>2067</v>
      </c>
      <c r="E935" t="s">
        <v>120</v>
      </c>
      <c r="F935" t="s">
        <v>120</v>
      </c>
      <c r="G935" t="s">
        <v>120</v>
      </c>
      <c r="H935" t="s">
        <v>120</v>
      </c>
      <c r="I935" t="s">
        <v>120</v>
      </c>
      <c r="J935" t="s">
        <v>120</v>
      </c>
      <c r="K935" t="s">
        <v>120</v>
      </c>
      <c r="L935" t="s">
        <v>120</v>
      </c>
      <c r="M935" t="s">
        <v>120</v>
      </c>
      <c r="N935" t="s">
        <v>120</v>
      </c>
      <c r="O935" t="s">
        <v>120</v>
      </c>
      <c r="P935" t="s">
        <v>120</v>
      </c>
      <c r="Q935" t="s">
        <v>120</v>
      </c>
      <c r="R935" t="s">
        <v>120</v>
      </c>
      <c r="S935" t="s">
        <v>120</v>
      </c>
      <c r="T935" t="s">
        <v>120</v>
      </c>
      <c r="U935" t="s">
        <v>120</v>
      </c>
      <c r="V935" t="s">
        <v>120</v>
      </c>
      <c r="W935" t="s">
        <v>120</v>
      </c>
      <c r="X935" t="s">
        <v>120</v>
      </c>
      <c r="Y935" t="s">
        <v>120</v>
      </c>
      <c r="Z935" t="s">
        <v>120</v>
      </c>
      <c r="AA935" t="s">
        <v>120</v>
      </c>
      <c r="AB935" t="s">
        <v>120</v>
      </c>
      <c r="AC935" t="s">
        <v>120</v>
      </c>
      <c r="AD935" t="s">
        <v>120</v>
      </c>
      <c r="AE935" t="s">
        <v>120</v>
      </c>
      <c r="AF935" t="s">
        <v>120</v>
      </c>
      <c r="AG935" t="s">
        <v>120</v>
      </c>
      <c r="AH935" t="s">
        <v>120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31.55</v>
      </c>
      <c r="AP935">
        <v>0</v>
      </c>
      <c r="AQ935">
        <v>0</v>
      </c>
      <c r="AR935">
        <v>70.2</v>
      </c>
      <c r="AS935">
        <v>0</v>
      </c>
    </row>
    <row r="936" spans="1:45" x14ac:dyDescent="0.25">
      <c r="A936" t="s">
        <v>2102</v>
      </c>
      <c r="B936" t="s">
        <v>2103</v>
      </c>
      <c r="C936" t="s">
        <v>147</v>
      </c>
      <c r="D936" t="s">
        <v>2067</v>
      </c>
      <c r="E936" t="s">
        <v>120</v>
      </c>
      <c r="F936" t="s">
        <v>120</v>
      </c>
      <c r="G936" t="s">
        <v>120</v>
      </c>
      <c r="H936" t="s">
        <v>120</v>
      </c>
      <c r="I936" t="s">
        <v>120</v>
      </c>
      <c r="J936" t="s">
        <v>120</v>
      </c>
      <c r="K936" t="s">
        <v>120</v>
      </c>
      <c r="L936" t="s">
        <v>120</v>
      </c>
      <c r="M936" t="s">
        <v>120</v>
      </c>
      <c r="N936" t="s">
        <v>120</v>
      </c>
      <c r="O936" t="s">
        <v>120</v>
      </c>
      <c r="P936" t="s">
        <v>120</v>
      </c>
      <c r="Q936" t="s">
        <v>120</v>
      </c>
      <c r="R936" t="s">
        <v>120</v>
      </c>
      <c r="S936" t="s">
        <v>120</v>
      </c>
      <c r="T936" t="s">
        <v>120</v>
      </c>
      <c r="U936" t="s">
        <v>120</v>
      </c>
      <c r="V936" t="s">
        <v>120</v>
      </c>
      <c r="W936" t="s">
        <v>120</v>
      </c>
      <c r="X936" t="s">
        <v>120</v>
      </c>
      <c r="Y936" t="s">
        <v>120</v>
      </c>
      <c r="Z936" t="s">
        <v>120</v>
      </c>
      <c r="AA936" t="s">
        <v>120</v>
      </c>
      <c r="AB936" t="s">
        <v>120</v>
      </c>
      <c r="AC936" t="s">
        <v>120</v>
      </c>
      <c r="AD936" t="s">
        <v>120</v>
      </c>
      <c r="AE936" t="s">
        <v>120</v>
      </c>
      <c r="AF936" t="s">
        <v>120</v>
      </c>
      <c r="AG936" t="s">
        <v>120</v>
      </c>
      <c r="AH936" t="s">
        <v>120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31.55</v>
      </c>
      <c r="AP936">
        <v>0</v>
      </c>
      <c r="AQ936">
        <v>0</v>
      </c>
      <c r="AR936">
        <v>70.2</v>
      </c>
      <c r="AS936">
        <v>0</v>
      </c>
    </row>
    <row r="937" spans="1:45" x14ac:dyDescent="0.25">
      <c r="A937" t="s">
        <v>2104</v>
      </c>
      <c r="B937" t="s">
        <v>2105</v>
      </c>
      <c r="C937" t="s">
        <v>127</v>
      </c>
      <c r="D937" t="s">
        <v>2067</v>
      </c>
      <c r="E937" t="s">
        <v>120</v>
      </c>
      <c r="F937" t="s">
        <v>120</v>
      </c>
      <c r="G937" t="s">
        <v>120</v>
      </c>
      <c r="H937" t="s">
        <v>120</v>
      </c>
      <c r="I937" t="s">
        <v>120</v>
      </c>
      <c r="J937" t="s">
        <v>120</v>
      </c>
      <c r="K937" t="s">
        <v>120</v>
      </c>
      <c r="L937" t="s">
        <v>120</v>
      </c>
      <c r="M937" t="s">
        <v>120</v>
      </c>
      <c r="N937" t="s">
        <v>120</v>
      </c>
      <c r="O937" t="s">
        <v>120</v>
      </c>
      <c r="P937" t="s">
        <v>120</v>
      </c>
      <c r="Q937" t="s">
        <v>120</v>
      </c>
      <c r="R937" t="s">
        <v>120</v>
      </c>
      <c r="S937" t="s">
        <v>120</v>
      </c>
      <c r="T937" t="s">
        <v>120</v>
      </c>
      <c r="U937" t="s">
        <v>120</v>
      </c>
      <c r="V937" t="s">
        <v>120</v>
      </c>
      <c r="W937" t="s">
        <v>120</v>
      </c>
      <c r="X937" t="s">
        <v>120</v>
      </c>
      <c r="Y937" t="s">
        <v>120</v>
      </c>
      <c r="Z937" t="s">
        <v>120</v>
      </c>
      <c r="AA937" t="s">
        <v>120</v>
      </c>
      <c r="AB937" t="s">
        <v>120</v>
      </c>
      <c r="AC937" t="s">
        <v>120</v>
      </c>
      <c r="AD937" t="s">
        <v>120</v>
      </c>
      <c r="AE937" t="s">
        <v>120</v>
      </c>
      <c r="AF937" t="s">
        <v>120</v>
      </c>
      <c r="AG937" t="s">
        <v>120</v>
      </c>
      <c r="AH937" t="s">
        <v>120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33.43</v>
      </c>
      <c r="AP937">
        <v>0</v>
      </c>
      <c r="AQ937">
        <v>0</v>
      </c>
      <c r="AR937">
        <v>75.06</v>
      </c>
      <c r="AS937">
        <v>0</v>
      </c>
    </row>
    <row r="938" spans="1:45" x14ac:dyDescent="0.25">
      <c r="A938" t="s">
        <v>2106</v>
      </c>
      <c r="B938" t="s">
        <v>2107</v>
      </c>
      <c r="C938" t="s">
        <v>147</v>
      </c>
      <c r="D938" t="s">
        <v>2067</v>
      </c>
      <c r="E938" t="s">
        <v>120</v>
      </c>
      <c r="F938" t="s">
        <v>120</v>
      </c>
      <c r="G938" t="s">
        <v>120</v>
      </c>
      <c r="H938" t="s">
        <v>120</v>
      </c>
      <c r="I938" t="s">
        <v>120</v>
      </c>
      <c r="J938" t="s">
        <v>120</v>
      </c>
      <c r="K938" t="s">
        <v>120</v>
      </c>
      <c r="L938" t="s">
        <v>120</v>
      </c>
      <c r="M938" t="s">
        <v>120</v>
      </c>
      <c r="N938" t="s">
        <v>120</v>
      </c>
      <c r="O938" t="s">
        <v>120</v>
      </c>
      <c r="P938" t="s">
        <v>120</v>
      </c>
      <c r="Q938" t="s">
        <v>120</v>
      </c>
      <c r="R938" t="s">
        <v>120</v>
      </c>
      <c r="S938" t="s">
        <v>120</v>
      </c>
      <c r="T938" t="s">
        <v>120</v>
      </c>
      <c r="U938" t="s">
        <v>120</v>
      </c>
      <c r="V938" t="s">
        <v>120</v>
      </c>
      <c r="W938" t="s">
        <v>120</v>
      </c>
      <c r="X938" t="s">
        <v>120</v>
      </c>
      <c r="Y938" t="s">
        <v>120</v>
      </c>
      <c r="Z938" t="s">
        <v>120</v>
      </c>
      <c r="AA938" t="s">
        <v>120</v>
      </c>
      <c r="AB938" t="s">
        <v>120</v>
      </c>
      <c r="AC938" t="s">
        <v>120</v>
      </c>
      <c r="AD938" t="s">
        <v>120</v>
      </c>
      <c r="AE938" t="s">
        <v>120</v>
      </c>
      <c r="AF938" t="s">
        <v>120</v>
      </c>
      <c r="AG938" t="s">
        <v>120</v>
      </c>
      <c r="AH938" t="s">
        <v>120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31.55</v>
      </c>
      <c r="AP938">
        <v>0</v>
      </c>
      <c r="AQ938">
        <v>0</v>
      </c>
      <c r="AR938">
        <v>70.2</v>
      </c>
      <c r="AS938">
        <v>0</v>
      </c>
    </row>
    <row r="939" spans="1:45" x14ac:dyDescent="0.25">
      <c r="A939" t="s">
        <v>2108</v>
      </c>
      <c r="B939" t="s">
        <v>2109</v>
      </c>
      <c r="C939" t="s">
        <v>147</v>
      </c>
      <c r="D939" t="s">
        <v>2067</v>
      </c>
      <c r="E939" t="s">
        <v>120</v>
      </c>
      <c r="F939" t="s">
        <v>120</v>
      </c>
      <c r="G939" t="s">
        <v>120</v>
      </c>
      <c r="H939" t="s">
        <v>120</v>
      </c>
      <c r="I939" t="s">
        <v>120</v>
      </c>
      <c r="J939" t="s">
        <v>120</v>
      </c>
      <c r="K939" t="s">
        <v>120</v>
      </c>
      <c r="L939" t="s">
        <v>120</v>
      </c>
      <c r="M939" t="s">
        <v>120</v>
      </c>
      <c r="N939" t="s">
        <v>120</v>
      </c>
      <c r="O939" t="s">
        <v>120</v>
      </c>
      <c r="P939" t="s">
        <v>120</v>
      </c>
      <c r="Q939" t="s">
        <v>120</v>
      </c>
      <c r="R939" t="s">
        <v>120</v>
      </c>
      <c r="S939" t="s">
        <v>120</v>
      </c>
      <c r="T939" t="s">
        <v>120</v>
      </c>
      <c r="U939" t="s">
        <v>120</v>
      </c>
      <c r="V939" t="s">
        <v>120</v>
      </c>
      <c r="W939" t="s">
        <v>120</v>
      </c>
      <c r="X939" t="s">
        <v>120</v>
      </c>
      <c r="Y939" t="s">
        <v>120</v>
      </c>
      <c r="Z939" t="s">
        <v>120</v>
      </c>
      <c r="AA939" t="s">
        <v>120</v>
      </c>
      <c r="AB939" t="s">
        <v>120</v>
      </c>
      <c r="AC939" t="s">
        <v>120</v>
      </c>
      <c r="AD939" t="s">
        <v>120</v>
      </c>
      <c r="AE939" t="s">
        <v>120</v>
      </c>
      <c r="AF939" t="s">
        <v>120</v>
      </c>
      <c r="AG939" t="s">
        <v>120</v>
      </c>
      <c r="AH939" t="s">
        <v>120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31.55</v>
      </c>
      <c r="AP939">
        <v>0</v>
      </c>
      <c r="AQ939">
        <v>0</v>
      </c>
      <c r="AR939">
        <v>70.2</v>
      </c>
      <c r="AS939">
        <v>0</v>
      </c>
    </row>
    <row r="940" spans="1:45" x14ac:dyDescent="0.25">
      <c r="A940" t="s">
        <v>2110</v>
      </c>
      <c r="B940" t="s">
        <v>2111</v>
      </c>
      <c r="C940" t="s">
        <v>147</v>
      </c>
      <c r="D940" t="s">
        <v>2067</v>
      </c>
      <c r="E940" t="s">
        <v>120</v>
      </c>
      <c r="F940" t="s">
        <v>120</v>
      </c>
      <c r="G940" t="s">
        <v>120</v>
      </c>
      <c r="H940" t="s">
        <v>120</v>
      </c>
      <c r="I940" t="s">
        <v>120</v>
      </c>
      <c r="J940" t="s">
        <v>120</v>
      </c>
      <c r="K940" t="s">
        <v>120</v>
      </c>
      <c r="L940" t="s">
        <v>120</v>
      </c>
      <c r="M940" t="s">
        <v>120</v>
      </c>
      <c r="N940" t="s">
        <v>120</v>
      </c>
      <c r="O940" t="s">
        <v>120</v>
      </c>
      <c r="P940" t="s">
        <v>120</v>
      </c>
      <c r="Q940" t="s">
        <v>120</v>
      </c>
      <c r="R940" t="s">
        <v>120</v>
      </c>
      <c r="S940" t="s">
        <v>120</v>
      </c>
      <c r="T940" t="s">
        <v>120</v>
      </c>
      <c r="U940" t="s">
        <v>120</v>
      </c>
      <c r="V940" t="s">
        <v>120</v>
      </c>
      <c r="W940" t="s">
        <v>120</v>
      </c>
      <c r="X940" t="s">
        <v>120</v>
      </c>
      <c r="Y940" t="s">
        <v>120</v>
      </c>
      <c r="Z940" t="s">
        <v>120</v>
      </c>
      <c r="AA940" t="s">
        <v>120</v>
      </c>
      <c r="AB940" t="s">
        <v>120</v>
      </c>
      <c r="AC940" t="s">
        <v>120</v>
      </c>
      <c r="AD940" t="s">
        <v>120</v>
      </c>
      <c r="AE940" t="s">
        <v>120</v>
      </c>
      <c r="AF940" t="s">
        <v>120</v>
      </c>
      <c r="AG940" t="s">
        <v>120</v>
      </c>
      <c r="AH940" t="s">
        <v>120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31.55</v>
      </c>
      <c r="AP940">
        <v>0</v>
      </c>
      <c r="AQ940">
        <v>0</v>
      </c>
      <c r="AR940">
        <v>70.2</v>
      </c>
      <c r="AS940">
        <v>0</v>
      </c>
    </row>
    <row r="941" spans="1:45" x14ac:dyDescent="0.25">
      <c r="A941" t="s">
        <v>2112</v>
      </c>
      <c r="B941" t="s">
        <v>2113</v>
      </c>
      <c r="C941" t="s">
        <v>147</v>
      </c>
      <c r="D941" t="s">
        <v>2067</v>
      </c>
      <c r="E941" t="s">
        <v>120</v>
      </c>
      <c r="F941" t="s">
        <v>120</v>
      </c>
      <c r="G941" t="s">
        <v>120</v>
      </c>
      <c r="H941" t="s">
        <v>120</v>
      </c>
      <c r="I941" t="s">
        <v>120</v>
      </c>
      <c r="J941" t="s">
        <v>120</v>
      </c>
      <c r="K941" t="s">
        <v>120</v>
      </c>
      <c r="L941" t="s">
        <v>120</v>
      </c>
      <c r="M941" t="s">
        <v>120</v>
      </c>
      <c r="N941" t="s">
        <v>120</v>
      </c>
      <c r="O941" t="s">
        <v>120</v>
      </c>
      <c r="P941" t="s">
        <v>120</v>
      </c>
      <c r="Q941" t="s">
        <v>120</v>
      </c>
      <c r="R941" t="s">
        <v>120</v>
      </c>
      <c r="S941" t="s">
        <v>120</v>
      </c>
      <c r="T941" t="s">
        <v>120</v>
      </c>
      <c r="U941" t="s">
        <v>120</v>
      </c>
      <c r="V941" t="s">
        <v>120</v>
      </c>
      <c r="W941" t="s">
        <v>120</v>
      </c>
      <c r="X941" t="s">
        <v>120</v>
      </c>
      <c r="Y941" t="s">
        <v>120</v>
      </c>
      <c r="Z941" t="s">
        <v>120</v>
      </c>
      <c r="AA941" t="s">
        <v>120</v>
      </c>
      <c r="AB941" t="s">
        <v>120</v>
      </c>
      <c r="AC941" t="s">
        <v>120</v>
      </c>
      <c r="AD941" t="s">
        <v>120</v>
      </c>
      <c r="AE941" t="s">
        <v>120</v>
      </c>
      <c r="AF941" t="s">
        <v>120</v>
      </c>
      <c r="AG941" t="s">
        <v>120</v>
      </c>
      <c r="AH941" t="s">
        <v>120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28.25</v>
      </c>
      <c r="AP941">
        <v>0</v>
      </c>
      <c r="AQ941">
        <v>0</v>
      </c>
      <c r="AR941">
        <v>70.2</v>
      </c>
      <c r="AS941">
        <v>0</v>
      </c>
    </row>
    <row r="942" spans="1:45" x14ac:dyDescent="0.25">
      <c r="A942" t="s">
        <v>2114</v>
      </c>
      <c r="B942" t="s">
        <v>2115</v>
      </c>
      <c r="C942" t="s">
        <v>147</v>
      </c>
      <c r="D942" t="s">
        <v>2067</v>
      </c>
      <c r="E942" t="s">
        <v>120</v>
      </c>
      <c r="F942" t="s">
        <v>120</v>
      </c>
      <c r="G942" t="s">
        <v>120</v>
      </c>
      <c r="H942" t="s">
        <v>120</v>
      </c>
      <c r="I942" t="s">
        <v>120</v>
      </c>
      <c r="J942" t="s">
        <v>120</v>
      </c>
      <c r="K942" t="s">
        <v>120</v>
      </c>
      <c r="L942" t="s">
        <v>120</v>
      </c>
      <c r="M942" t="s">
        <v>135</v>
      </c>
      <c r="N942" t="s">
        <v>120</v>
      </c>
      <c r="O942" t="s">
        <v>120</v>
      </c>
      <c r="P942" t="s">
        <v>120</v>
      </c>
      <c r="Q942" t="s">
        <v>120</v>
      </c>
      <c r="R942" t="s">
        <v>120</v>
      </c>
      <c r="S942" t="s">
        <v>120</v>
      </c>
      <c r="T942" t="s">
        <v>120</v>
      </c>
      <c r="U942" t="s">
        <v>120</v>
      </c>
      <c r="V942" t="s">
        <v>120</v>
      </c>
      <c r="W942" t="s">
        <v>120</v>
      </c>
      <c r="X942" t="s">
        <v>120</v>
      </c>
      <c r="Y942" t="s">
        <v>141</v>
      </c>
      <c r="Z942" t="s">
        <v>120</v>
      </c>
      <c r="AA942" t="s">
        <v>120</v>
      </c>
      <c r="AB942" t="s">
        <v>120</v>
      </c>
      <c r="AC942" t="s">
        <v>120</v>
      </c>
      <c r="AD942" t="s">
        <v>120</v>
      </c>
      <c r="AE942" t="s">
        <v>120</v>
      </c>
      <c r="AF942" t="s">
        <v>120</v>
      </c>
      <c r="AG942" t="s">
        <v>120</v>
      </c>
      <c r="AH942" t="s">
        <v>120</v>
      </c>
      <c r="AJ942">
        <v>0</v>
      </c>
      <c r="AK942">
        <v>16</v>
      </c>
      <c r="AL942">
        <v>8</v>
      </c>
      <c r="AM942">
        <v>8</v>
      </c>
      <c r="AN942">
        <v>0</v>
      </c>
      <c r="AO942">
        <v>31.55</v>
      </c>
      <c r="AP942">
        <v>16</v>
      </c>
      <c r="AQ942">
        <v>0</v>
      </c>
      <c r="AR942">
        <v>70.2</v>
      </c>
      <c r="AS942">
        <v>1009.6</v>
      </c>
    </row>
    <row r="943" spans="1:45" x14ac:dyDescent="0.25">
      <c r="A943" t="s">
        <v>2116</v>
      </c>
      <c r="B943" t="s">
        <v>2117</v>
      </c>
      <c r="C943" t="s">
        <v>147</v>
      </c>
      <c r="D943" t="s">
        <v>2067</v>
      </c>
      <c r="E943" t="s">
        <v>120</v>
      </c>
      <c r="F943" t="s">
        <v>120</v>
      </c>
      <c r="G943" t="s">
        <v>120</v>
      </c>
      <c r="H943" t="s">
        <v>120</v>
      </c>
      <c r="I943" t="s">
        <v>120</v>
      </c>
      <c r="J943" t="s">
        <v>120</v>
      </c>
      <c r="K943" t="s">
        <v>120</v>
      </c>
      <c r="L943" t="s">
        <v>120</v>
      </c>
      <c r="M943" t="s">
        <v>120</v>
      </c>
      <c r="N943" t="s">
        <v>120</v>
      </c>
      <c r="O943" t="s">
        <v>120</v>
      </c>
      <c r="P943" t="s">
        <v>120</v>
      </c>
      <c r="Q943" t="s">
        <v>120</v>
      </c>
      <c r="R943" t="s">
        <v>120</v>
      </c>
      <c r="S943" t="s">
        <v>120</v>
      </c>
      <c r="T943" t="s">
        <v>120</v>
      </c>
      <c r="U943" t="s">
        <v>120</v>
      </c>
      <c r="V943" t="s">
        <v>120</v>
      </c>
      <c r="W943" t="s">
        <v>120</v>
      </c>
      <c r="X943" t="s">
        <v>120</v>
      </c>
      <c r="Y943" t="s">
        <v>120</v>
      </c>
      <c r="Z943" t="s">
        <v>120</v>
      </c>
      <c r="AA943" t="s">
        <v>120</v>
      </c>
      <c r="AB943" t="s">
        <v>120</v>
      </c>
      <c r="AC943" t="s">
        <v>120</v>
      </c>
      <c r="AD943" t="s">
        <v>120</v>
      </c>
      <c r="AE943" t="s">
        <v>120</v>
      </c>
      <c r="AF943" t="s">
        <v>120</v>
      </c>
      <c r="AG943" t="s">
        <v>120</v>
      </c>
      <c r="AH943" t="s">
        <v>120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31.55</v>
      </c>
      <c r="AP943">
        <v>0</v>
      </c>
      <c r="AQ943">
        <v>0</v>
      </c>
      <c r="AR943">
        <v>70.2</v>
      </c>
      <c r="AS943">
        <v>0</v>
      </c>
    </row>
    <row r="944" spans="1:45" x14ac:dyDescent="0.25">
      <c r="A944" t="s">
        <v>2118</v>
      </c>
      <c r="B944" t="s">
        <v>2119</v>
      </c>
      <c r="C944" t="s">
        <v>147</v>
      </c>
      <c r="D944" t="s">
        <v>2067</v>
      </c>
      <c r="E944" t="s">
        <v>120</v>
      </c>
      <c r="F944" t="s">
        <v>120</v>
      </c>
      <c r="G944" t="s">
        <v>120</v>
      </c>
      <c r="H944" t="s">
        <v>120</v>
      </c>
      <c r="I944" t="s">
        <v>120</v>
      </c>
      <c r="J944" t="s">
        <v>120</v>
      </c>
      <c r="K944" t="s">
        <v>120</v>
      </c>
      <c r="L944" t="s">
        <v>120</v>
      </c>
      <c r="M944" t="s">
        <v>120</v>
      </c>
      <c r="N944" t="s">
        <v>120</v>
      </c>
      <c r="O944" t="s">
        <v>120</v>
      </c>
      <c r="P944" t="s">
        <v>120</v>
      </c>
      <c r="Q944" t="s">
        <v>120</v>
      </c>
      <c r="R944" t="s">
        <v>120</v>
      </c>
      <c r="S944" t="s">
        <v>120</v>
      </c>
      <c r="T944" t="s">
        <v>120</v>
      </c>
      <c r="U944" t="s">
        <v>120</v>
      </c>
      <c r="V944" t="s">
        <v>120</v>
      </c>
      <c r="W944" t="s">
        <v>120</v>
      </c>
      <c r="X944" t="s">
        <v>120</v>
      </c>
      <c r="Y944" t="s">
        <v>120</v>
      </c>
      <c r="Z944" t="s">
        <v>120</v>
      </c>
      <c r="AA944" t="s">
        <v>120</v>
      </c>
      <c r="AB944" t="s">
        <v>120</v>
      </c>
      <c r="AC944" t="s">
        <v>120</v>
      </c>
      <c r="AD944" t="s">
        <v>120</v>
      </c>
      <c r="AE944" t="s">
        <v>120</v>
      </c>
      <c r="AF944" t="s">
        <v>120</v>
      </c>
      <c r="AG944" t="s">
        <v>120</v>
      </c>
      <c r="AH944" t="s">
        <v>120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28.25</v>
      </c>
      <c r="AP944">
        <v>0</v>
      </c>
      <c r="AQ944">
        <v>0</v>
      </c>
      <c r="AR944">
        <v>70.2</v>
      </c>
      <c r="AS944">
        <v>0</v>
      </c>
    </row>
    <row r="945" spans="1:45" x14ac:dyDescent="0.25">
      <c r="A945" t="s">
        <v>2120</v>
      </c>
      <c r="B945" t="s">
        <v>2121</v>
      </c>
      <c r="C945" t="s">
        <v>147</v>
      </c>
      <c r="D945" t="s">
        <v>2122</v>
      </c>
      <c r="E945" t="s">
        <v>120</v>
      </c>
      <c r="F945" t="s">
        <v>120</v>
      </c>
      <c r="G945" t="s">
        <v>120</v>
      </c>
      <c r="H945" t="s">
        <v>120</v>
      </c>
      <c r="I945" t="s">
        <v>120</v>
      </c>
      <c r="J945" t="s">
        <v>120</v>
      </c>
      <c r="K945" t="s">
        <v>120</v>
      </c>
      <c r="L945" t="s">
        <v>120</v>
      </c>
      <c r="M945" t="s">
        <v>120</v>
      </c>
      <c r="N945" t="s">
        <v>120</v>
      </c>
      <c r="O945" t="s">
        <v>120</v>
      </c>
      <c r="P945" t="s">
        <v>120</v>
      </c>
      <c r="Q945" t="s">
        <v>120</v>
      </c>
      <c r="R945" t="s">
        <v>120</v>
      </c>
      <c r="S945" t="s">
        <v>120</v>
      </c>
      <c r="T945" t="s">
        <v>120</v>
      </c>
      <c r="U945" t="s">
        <v>120</v>
      </c>
      <c r="V945" t="s">
        <v>120</v>
      </c>
      <c r="W945" t="s">
        <v>120</v>
      </c>
      <c r="X945" t="s">
        <v>120</v>
      </c>
      <c r="Y945" t="s">
        <v>120</v>
      </c>
      <c r="Z945" t="s">
        <v>120</v>
      </c>
      <c r="AA945" t="s">
        <v>120</v>
      </c>
      <c r="AB945" t="s">
        <v>120</v>
      </c>
      <c r="AC945" t="s">
        <v>120</v>
      </c>
      <c r="AD945" t="s">
        <v>120</v>
      </c>
      <c r="AE945" t="s">
        <v>120</v>
      </c>
      <c r="AF945" t="s">
        <v>120</v>
      </c>
      <c r="AG945" t="s">
        <v>120</v>
      </c>
      <c r="AH945" t="s">
        <v>120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28.25</v>
      </c>
      <c r="AP945">
        <v>0</v>
      </c>
      <c r="AQ945">
        <v>0</v>
      </c>
      <c r="AR945">
        <v>70.2</v>
      </c>
      <c r="AS945">
        <v>0</v>
      </c>
    </row>
    <row r="946" spans="1:45" x14ac:dyDescent="0.25">
      <c r="A946" t="s">
        <v>2123</v>
      </c>
      <c r="B946" t="s">
        <v>2124</v>
      </c>
      <c r="C946" t="s">
        <v>147</v>
      </c>
      <c r="D946" t="s">
        <v>2122</v>
      </c>
      <c r="E946" t="s">
        <v>120</v>
      </c>
      <c r="F946" t="s">
        <v>120</v>
      </c>
      <c r="G946" t="s">
        <v>120</v>
      </c>
      <c r="H946" t="s">
        <v>120</v>
      </c>
      <c r="I946" t="s">
        <v>120</v>
      </c>
      <c r="J946" t="s">
        <v>120</v>
      </c>
      <c r="K946" t="s">
        <v>120</v>
      </c>
      <c r="L946" t="s">
        <v>120</v>
      </c>
      <c r="M946" t="s">
        <v>120</v>
      </c>
      <c r="N946" t="s">
        <v>120</v>
      </c>
      <c r="O946" t="s">
        <v>120</v>
      </c>
      <c r="P946" t="s">
        <v>120</v>
      </c>
      <c r="Q946" t="s">
        <v>120</v>
      </c>
      <c r="R946" t="s">
        <v>120</v>
      </c>
      <c r="S946" t="s">
        <v>120</v>
      </c>
      <c r="T946" t="s">
        <v>120</v>
      </c>
      <c r="U946" t="s">
        <v>120</v>
      </c>
      <c r="V946" t="s">
        <v>120</v>
      </c>
      <c r="W946" t="s">
        <v>120</v>
      </c>
      <c r="X946" t="s">
        <v>120</v>
      </c>
      <c r="Y946" t="s">
        <v>120</v>
      </c>
      <c r="Z946" t="s">
        <v>120</v>
      </c>
      <c r="AA946" t="s">
        <v>120</v>
      </c>
      <c r="AB946" t="s">
        <v>120</v>
      </c>
      <c r="AC946" t="s">
        <v>120</v>
      </c>
      <c r="AD946" t="s">
        <v>120</v>
      </c>
      <c r="AE946" t="s">
        <v>120</v>
      </c>
      <c r="AF946" t="s">
        <v>120</v>
      </c>
      <c r="AG946" t="s">
        <v>120</v>
      </c>
      <c r="AH946" t="s">
        <v>120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28.25</v>
      </c>
      <c r="AP946">
        <v>0</v>
      </c>
      <c r="AQ946">
        <v>0</v>
      </c>
      <c r="AR946">
        <v>70.2</v>
      </c>
      <c r="AS946">
        <v>0</v>
      </c>
    </row>
    <row r="947" spans="1:45" x14ac:dyDescent="0.25">
      <c r="A947" t="s">
        <v>2125</v>
      </c>
      <c r="B947" t="s">
        <v>2126</v>
      </c>
      <c r="C947" t="s">
        <v>147</v>
      </c>
      <c r="D947" t="s">
        <v>2122</v>
      </c>
      <c r="E947" t="s">
        <v>120</v>
      </c>
      <c r="F947" t="s">
        <v>120</v>
      </c>
      <c r="G947" t="s">
        <v>120</v>
      </c>
      <c r="H947" t="s">
        <v>120</v>
      </c>
      <c r="I947" t="s">
        <v>120</v>
      </c>
      <c r="J947" t="s">
        <v>120</v>
      </c>
      <c r="K947" t="s">
        <v>120</v>
      </c>
      <c r="L947" t="s">
        <v>120</v>
      </c>
      <c r="M947" t="s">
        <v>120</v>
      </c>
      <c r="N947" t="s">
        <v>120</v>
      </c>
      <c r="O947" t="s">
        <v>120</v>
      </c>
      <c r="P947" t="s">
        <v>120</v>
      </c>
      <c r="Q947" t="s">
        <v>120</v>
      </c>
      <c r="R947" t="s">
        <v>120</v>
      </c>
      <c r="S947" t="s">
        <v>120</v>
      </c>
      <c r="T947" t="s">
        <v>120</v>
      </c>
      <c r="U947" t="s">
        <v>120</v>
      </c>
      <c r="V947" t="s">
        <v>120</v>
      </c>
      <c r="W947" t="s">
        <v>120</v>
      </c>
      <c r="X947" t="s">
        <v>120</v>
      </c>
      <c r="Y947" t="s">
        <v>141</v>
      </c>
      <c r="Z947" t="s">
        <v>120</v>
      </c>
      <c r="AA947" t="s">
        <v>120</v>
      </c>
      <c r="AB947" t="s">
        <v>120</v>
      </c>
      <c r="AC947" t="s">
        <v>120</v>
      </c>
      <c r="AD947" t="s">
        <v>120</v>
      </c>
      <c r="AE947" t="s">
        <v>120</v>
      </c>
      <c r="AF947" t="s">
        <v>120</v>
      </c>
      <c r="AG947" t="s">
        <v>120</v>
      </c>
      <c r="AH947" t="s">
        <v>141</v>
      </c>
      <c r="AJ947">
        <v>0</v>
      </c>
      <c r="AK947">
        <v>16</v>
      </c>
      <c r="AL947">
        <v>16</v>
      </c>
      <c r="AM947">
        <v>0</v>
      </c>
      <c r="AN947">
        <v>0</v>
      </c>
      <c r="AO947">
        <v>31.55</v>
      </c>
      <c r="AP947">
        <v>16</v>
      </c>
      <c r="AQ947">
        <v>0</v>
      </c>
      <c r="AR947">
        <v>70.2</v>
      </c>
      <c r="AS947">
        <v>1009.6</v>
      </c>
    </row>
    <row r="948" spans="1:45" x14ac:dyDescent="0.25">
      <c r="A948" t="s">
        <v>2127</v>
      </c>
      <c r="B948" t="s">
        <v>2128</v>
      </c>
      <c r="C948" t="s">
        <v>147</v>
      </c>
      <c r="D948" t="s">
        <v>2122</v>
      </c>
      <c r="E948" t="s">
        <v>120</v>
      </c>
      <c r="F948" t="s">
        <v>120</v>
      </c>
      <c r="G948" t="s">
        <v>120</v>
      </c>
      <c r="H948" t="s">
        <v>120</v>
      </c>
      <c r="I948" t="s">
        <v>120</v>
      </c>
      <c r="J948" t="s">
        <v>120</v>
      </c>
      <c r="K948" t="s">
        <v>120</v>
      </c>
      <c r="L948" t="s">
        <v>120</v>
      </c>
      <c r="M948" t="s">
        <v>120</v>
      </c>
      <c r="N948" t="s">
        <v>120</v>
      </c>
      <c r="O948" t="s">
        <v>120</v>
      </c>
      <c r="P948" t="s">
        <v>120</v>
      </c>
      <c r="Q948" t="s">
        <v>120</v>
      </c>
      <c r="R948" t="s">
        <v>120</v>
      </c>
      <c r="S948" t="s">
        <v>120</v>
      </c>
      <c r="T948" t="s">
        <v>120</v>
      </c>
      <c r="U948" t="s">
        <v>120</v>
      </c>
      <c r="V948" t="s">
        <v>120</v>
      </c>
      <c r="W948" t="s">
        <v>120</v>
      </c>
      <c r="X948" t="s">
        <v>120</v>
      </c>
      <c r="Y948" t="s">
        <v>120</v>
      </c>
      <c r="Z948" t="s">
        <v>120</v>
      </c>
      <c r="AA948" t="s">
        <v>120</v>
      </c>
      <c r="AB948" t="s">
        <v>120</v>
      </c>
      <c r="AC948" t="s">
        <v>120</v>
      </c>
      <c r="AD948" t="s">
        <v>120</v>
      </c>
      <c r="AE948" t="s">
        <v>120</v>
      </c>
      <c r="AF948" t="s">
        <v>120</v>
      </c>
      <c r="AG948" t="s">
        <v>120</v>
      </c>
      <c r="AH948" t="s">
        <v>120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31.55</v>
      </c>
      <c r="AP948">
        <v>0</v>
      </c>
      <c r="AQ948">
        <v>0</v>
      </c>
      <c r="AR948">
        <v>70.2</v>
      </c>
      <c r="AS948">
        <v>0</v>
      </c>
    </row>
    <row r="949" spans="1:45" x14ac:dyDescent="0.25">
      <c r="A949" t="s">
        <v>2129</v>
      </c>
      <c r="B949" t="s">
        <v>2130</v>
      </c>
      <c r="C949" t="s">
        <v>147</v>
      </c>
      <c r="D949" t="s">
        <v>2122</v>
      </c>
      <c r="E949" t="s">
        <v>120</v>
      </c>
      <c r="F949" t="s">
        <v>120</v>
      </c>
      <c r="G949" t="s">
        <v>120</v>
      </c>
      <c r="H949" t="s">
        <v>120</v>
      </c>
      <c r="I949" t="s">
        <v>120</v>
      </c>
      <c r="J949" t="s">
        <v>120</v>
      </c>
      <c r="K949" t="s">
        <v>120</v>
      </c>
      <c r="L949" t="s">
        <v>120</v>
      </c>
      <c r="M949" t="s">
        <v>120</v>
      </c>
      <c r="N949" t="s">
        <v>120</v>
      </c>
      <c r="O949" t="s">
        <v>120</v>
      </c>
      <c r="P949" t="s">
        <v>120</v>
      </c>
      <c r="Q949" t="s">
        <v>120</v>
      </c>
      <c r="R949" t="s">
        <v>120</v>
      </c>
      <c r="S949" t="s">
        <v>120</v>
      </c>
      <c r="T949" t="s">
        <v>120</v>
      </c>
      <c r="U949" t="s">
        <v>120</v>
      </c>
      <c r="V949" t="s">
        <v>120</v>
      </c>
      <c r="W949" t="s">
        <v>120</v>
      </c>
      <c r="X949" t="s">
        <v>120</v>
      </c>
      <c r="Y949" t="s">
        <v>120</v>
      </c>
      <c r="Z949" t="s">
        <v>120</v>
      </c>
      <c r="AA949" t="s">
        <v>120</v>
      </c>
      <c r="AB949" t="s">
        <v>120</v>
      </c>
      <c r="AC949" t="s">
        <v>120</v>
      </c>
      <c r="AD949" t="s">
        <v>120</v>
      </c>
      <c r="AE949" t="s">
        <v>120</v>
      </c>
      <c r="AF949" t="s">
        <v>120</v>
      </c>
      <c r="AG949" t="s">
        <v>120</v>
      </c>
      <c r="AH949" t="s">
        <v>120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31.55</v>
      </c>
      <c r="AP949">
        <v>0</v>
      </c>
      <c r="AQ949">
        <v>0</v>
      </c>
      <c r="AR949">
        <v>70.2</v>
      </c>
      <c r="AS949">
        <v>0</v>
      </c>
    </row>
    <row r="950" spans="1:45" x14ac:dyDescent="0.25">
      <c r="A950" t="s">
        <v>2131</v>
      </c>
      <c r="B950" t="s">
        <v>2132</v>
      </c>
      <c r="C950" t="s">
        <v>147</v>
      </c>
      <c r="D950" t="s">
        <v>2122</v>
      </c>
      <c r="E950" t="s">
        <v>120</v>
      </c>
      <c r="F950" t="s">
        <v>120</v>
      </c>
      <c r="G950" t="s">
        <v>120</v>
      </c>
      <c r="H950" t="s">
        <v>120</v>
      </c>
      <c r="I950" t="s">
        <v>120</v>
      </c>
      <c r="J950" t="s">
        <v>120</v>
      </c>
      <c r="K950" t="s">
        <v>120</v>
      </c>
      <c r="L950" t="s">
        <v>120</v>
      </c>
      <c r="M950" t="s">
        <v>120</v>
      </c>
      <c r="N950" t="s">
        <v>120</v>
      </c>
      <c r="O950" t="s">
        <v>120</v>
      </c>
      <c r="P950" t="s">
        <v>120</v>
      </c>
      <c r="Q950" t="s">
        <v>120</v>
      </c>
      <c r="R950" t="s">
        <v>120</v>
      </c>
      <c r="S950" t="s">
        <v>120</v>
      </c>
      <c r="T950" t="s">
        <v>120</v>
      </c>
      <c r="U950" t="s">
        <v>120</v>
      </c>
      <c r="V950" t="s">
        <v>120</v>
      </c>
      <c r="W950" t="s">
        <v>120</v>
      </c>
      <c r="X950" t="s">
        <v>120</v>
      </c>
      <c r="Y950" t="s">
        <v>120</v>
      </c>
      <c r="Z950" t="s">
        <v>120</v>
      </c>
      <c r="AA950" t="s">
        <v>120</v>
      </c>
      <c r="AB950" t="s">
        <v>120</v>
      </c>
      <c r="AC950" t="s">
        <v>120</v>
      </c>
      <c r="AD950" t="s">
        <v>120</v>
      </c>
      <c r="AE950" t="s">
        <v>120</v>
      </c>
      <c r="AF950" t="s">
        <v>120</v>
      </c>
      <c r="AG950" t="s">
        <v>120</v>
      </c>
      <c r="AH950" t="s">
        <v>120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28.25</v>
      </c>
      <c r="AP950">
        <v>0</v>
      </c>
      <c r="AQ950">
        <v>0</v>
      </c>
      <c r="AR950">
        <v>70.2</v>
      </c>
      <c r="AS950">
        <v>0</v>
      </c>
    </row>
    <row r="951" spans="1:45" x14ac:dyDescent="0.25">
      <c r="A951" t="s">
        <v>2133</v>
      </c>
      <c r="B951" t="s">
        <v>2134</v>
      </c>
      <c r="C951" t="s">
        <v>147</v>
      </c>
      <c r="D951" t="s">
        <v>2122</v>
      </c>
      <c r="E951" t="s">
        <v>120</v>
      </c>
      <c r="F951" t="s">
        <v>120</v>
      </c>
      <c r="G951" t="s">
        <v>120</v>
      </c>
      <c r="H951" t="s">
        <v>120</v>
      </c>
      <c r="I951" t="s">
        <v>120</v>
      </c>
      <c r="J951" t="s">
        <v>120</v>
      </c>
      <c r="K951" t="s">
        <v>120</v>
      </c>
      <c r="L951" t="s">
        <v>120</v>
      </c>
      <c r="M951" t="s">
        <v>120</v>
      </c>
      <c r="N951" t="s">
        <v>120</v>
      </c>
      <c r="O951" t="s">
        <v>120</v>
      </c>
      <c r="P951" t="s">
        <v>120</v>
      </c>
      <c r="Q951" t="s">
        <v>120</v>
      </c>
      <c r="R951" t="s">
        <v>120</v>
      </c>
      <c r="S951" t="s">
        <v>120</v>
      </c>
      <c r="T951" t="s">
        <v>120</v>
      </c>
      <c r="U951" t="s">
        <v>120</v>
      </c>
      <c r="V951" t="s">
        <v>120</v>
      </c>
      <c r="W951" t="s">
        <v>120</v>
      </c>
      <c r="X951" t="s">
        <v>120</v>
      </c>
      <c r="Y951" t="s">
        <v>120</v>
      </c>
      <c r="Z951" t="s">
        <v>120</v>
      </c>
      <c r="AA951" t="s">
        <v>120</v>
      </c>
      <c r="AB951" t="s">
        <v>120</v>
      </c>
      <c r="AC951" t="s">
        <v>120</v>
      </c>
      <c r="AD951" t="s">
        <v>120</v>
      </c>
      <c r="AE951" t="s">
        <v>120</v>
      </c>
      <c r="AF951" t="s">
        <v>120</v>
      </c>
      <c r="AG951" t="s">
        <v>120</v>
      </c>
      <c r="AH951" t="s">
        <v>120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31.55</v>
      </c>
      <c r="AP951">
        <v>0</v>
      </c>
      <c r="AQ951">
        <v>0</v>
      </c>
      <c r="AR951">
        <v>70.2</v>
      </c>
      <c r="AS951">
        <v>0</v>
      </c>
    </row>
    <row r="952" spans="1:45" x14ac:dyDescent="0.25">
      <c r="A952" t="s">
        <v>2135</v>
      </c>
      <c r="B952" t="s">
        <v>2136</v>
      </c>
      <c r="C952" t="s">
        <v>147</v>
      </c>
      <c r="D952" t="s">
        <v>2122</v>
      </c>
      <c r="E952" t="s">
        <v>120</v>
      </c>
      <c r="F952" t="s">
        <v>120</v>
      </c>
      <c r="G952" t="s">
        <v>120</v>
      </c>
      <c r="H952" t="s">
        <v>120</v>
      </c>
      <c r="I952" t="s">
        <v>120</v>
      </c>
      <c r="J952" t="s">
        <v>141</v>
      </c>
      <c r="K952" t="s">
        <v>120</v>
      </c>
      <c r="L952" t="s">
        <v>120</v>
      </c>
      <c r="M952" t="s">
        <v>120</v>
      </c>
      <c r="N952" t="s">
        <v>120</v>
      </c>
      <c r="O952" t="s">
        <v>120</v>
      </c>
      <c r="P952" t="s">
        <v>120</v>
      </c>
      <c r="Q952" t="s">
        <v>120</v>
      </c>
      <c r="R952" t="s">
        <v>120</v>
      </c>
      <c r="S952" t="s">
        <v>120</v>
      </c>
      <c r="T952" t="s">
        <v>120</v>
      </c>
      <c r="U952" t="s">
        <v>120</v>
      </c>
      <c r="V952" t="s">
        <v>120</v>
      </c>
      <c r="W952" t="s">
        <v>120</v>
      </c>
      <c r="X952" t="s">
        <v>120</v>
      </c>
      <c r="Y952" t="s">
        <v>141</v>
      </c>
      <c r="Z952" t="s">
        <v>120</v>
      </c>
      <c r="AA952" t="s">
        <v>120</v>
      </c>
      <c r="AB952" t="s">
        <v>120</v>
      </c>
      <c r="AC952" t="s">
        <v>120</v>
      </c>
      <c r="AD952" t="s">
        <v>120</v>
      </c>
      <c r="AE952" t="s">
        <v>120</v>
      </c>
      <c r="AF952" t="s">
        <v>120</v>
      </c>
      <c r="AG952" t="s">
        <v>120</v>
      </c>
      <c r="AH952" t="s">
        <v>141</v>
      </c>
      <c r="AJ952">
        <v>0</v>
      </c>
      <c r="AK952">
        <v>24</v>
      </c>
      <c r="AL952">
        <v>24</v>
      </c>
      <c r="AM952">
        <v>0</v>
      </c>
      <c r="AN952">
        <v>0</v>
      </c>
      <c r="AO952">
        <v>31.55</v>
      </c>
      <c r="AP952">
        <v>24</v>
      </c>
      <c r="AQ952">
        <v>0</v>
      </c>
      <c r="AR952">
        <v>70.2</v>
      </c>
      <c r="AS952">
        <v>1514.4</v>
      </c>
    </row>
    <row r="953" spans="1:45" x14ac:dyDescent="0.25">
      <c r="A953" t="s">
        <v>2137</v>
      </c>
      <c r="B953" t="s">
        <v>2138</v>
      </c>
      <c r="C953" t="s">
        <v>147</v>
      </c>
      <c r="D953" t="s">
        <v>2122</v>
      </c>
      <c r="E953" t="s">
        <v>120</v>
      </c>
      <c r="F953" t="s">
        <v>120</v>
      </c>
      <c r="G953" t="s">
        <v>120</v>
      </c>
      <c r="H953" t="s">
        <v>120</v>
      </c>
      <c r="I953" t="s">
        <v>120</v>
      </c>
      <c r="J953" t="s">
        <v>120</v>
      </c>
      <c r="K953" t="s">
        <v>120</v>
      </c>
      <c r="L953" t="s">
        <v>120</v>
      </c>
      <c r="M953" t="s">
        <v>120</v>
      </c>
      <c r="N953" t="s">
        <v>120</v>
      </c>
      <c r="O953" t="s">
        <v>120</v>
      </c>
      <c r="P953" t="s">
        <v>120</v>
      </c>
      <c r="Q953" t="s">
        <v>120</v>
      </c>
      <c r="R953" t="s">
        <v>120</v>
      </c>
      <c r="S953" t="s">
        <v>120</v>
      </c>
      <c r="T953" t="s">
        <v>120</v>
      </c>
      <c r="U953" t="s">
        <v>120</v>
      </c>
      <c r="V953" t="s">
        <v>120</v>
      </c>
      <c r="W953" t="s">
        <v>120</v>
      </c>
      <c r="X953" t="s">
        <v>120</v>
      </c>
      <c r="Y953" t="s">
        <v>120</v>
      </c>
      <c r="Z953" t="s">
        <v>120</v>
      </c>
      <c r="AA953" t="s">
        <v>120</v>
      </c>
      <c r="AB953" t="s">
        <v>120</v>
      </c>
      <c r="AC953" t="s">
        <v>120</v>
      </c>
      <c r="AD953" t="s">
        <v>120</v>
      </c>
      <c r="AE953" t="s">
        <v>120</v>
      </c>
      <c r="AF953" t="s">
        <v>120</v>
      </c>
      <c r="AG953" t="s">
        <v>120</v>
      </c>
      <c r="AH953" t="s">
        <v>120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31.55</v>
      </c>
      <c r="AP953">
        <v>0</v>
      </c>
      <c r="AQ953">
        <v>0</v>
      </c>
      <c r="AR953">
        <v>70.2</v>
      </c>
      <c r="AS953">
        <v>0</v>
      </c>
    </row>
    <row r="954" spans="1:45" x14ac:dyDescent="0.25">
      <c r="A954" t="s">
        <v>2139</v>
      </c>
      <c r="B954" t="s">
        <v>2140</v>
      </c>
      <c r="C954" t="s">
        <v>147</v>
      </c>
      <c r="D954" t="s">
        <v>2122</v>
      </c>
      <c r="E954" t="s">
        <v>120</v>
      </c>
      <c r="F954" t="s">
        <v>120</v>
      </c>
      <c r="G954" t="s">
        <v>120</v>
      </c>
      <c r="H954" t="s">
        <v>120</v>
      </c>
      <c r="I954" t="s">
        <v>120</v>
      </c>
      <c r="J954" t="s">
        <v>120</v>
      </c>
      <c r="K954" t="s">
        <v>120</v>
      </c>
      <c r="L954" t="s">
        <v>120</v>
      </c>
      <c r="M954" t="s">
        <v>120</v>
      </c>
      <c r="N954" t="s">
        <v>120</v>
      </c>
      <c r="O954" t="s">
        <v>120</v>
      </c>
      <c r="P954" t="s">
        <v>120</v>
      </c>
      <c r="Q954" t="s">
        <v>120</v>
      </c>
      <c r="R954" t="s">
        <v>120</v>
      </c>
      <c r="S954" t="s">
        <v>120</v>
      </c>
      <c r="T954" t="s">
        <v>120</v>
      </c>
      <c r="U954" t="s">
        <v>120</v>
      </c>
      <c r="V954" t="s">
        <v>120</v>
      </c>
      <c r="W954" t="s">
        <v>120</v>
      </c>
      <c r="X954" t="s">
        <v>120</v>
      </c>
      <c r="Y954" t="s">
        <v>120</v>
      </c>
      <c r="Z954" t="s">
        <v>120</v>
      </c>
      <c r="AA954" t="s">
        <v>120</v>
      </c>
      <c r="AB954" t="s">
        <v>120</v>
      </c>
      <c r="AC954" t="s">
        <v>120</v>
      </c>
      <c r="AD954" t="s">
        <v>120</v>
      </c>
      <c r="AE954" t="s">
        <v>120</v>
      </c>
      <c r="AF954" t="s">
        <v>120</v>
      </c>
      <c r="AG954" t="s">
        <v>120</v>
      </c>
      <c r="AH954" t="s">
        <v>120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31.55</v>
      </c>
      <c r="AP954">
        <v>0</v>
      </c>
      <c r="AQ954">
        <v>0</v>
      </c>
      <c r="AR954">
        <v>70.2</v>
      </c>
      <c r="AS954">
        <v>0</v>
      </c>
    </row>
    <row r="955" spans="1:45" x14ac:dyDescent="0.25">
      <c r="A955" t="s">
        <v>2141</v>
      </c>
      <c r="B955" t="s">
        <v>2142</v>
      </c>
      <c r="C955" t="s">
        <v>147</v>
      </c>
      <c r="D955" t="s">
        <v>2122</v>
      </c>
      <c r="E955" t="s">
        <v>120</v>
      </c>
      <c r="F955" t="s">
        <v>120</v>
      </c>
      <c r="G955" t="s">
        <v>120</v>
      </c>
      <c r="H955" t="s">
        <v>120</v>
      </c>
      <c r="I955" t="s">
        <v>120</v>
      </c>
      <c r="J955" t="s">
        <v>120</v>
      </c>
      <c r="K955" t="s">
        <v>120</v>
      </c>
      <c r="L955" t="s">
        <v>120</v>
      </c>
      <c r="M955" t="s">
        <v>120</v>
      </c>
      <c r="N955" t="s">
        <v>120</v>
      </c>
      <c r="O955" t="s">
        <v>120</v>
      </c>
      <c r="P955" t="s">
        <v>120</v>
      </c>
      <c r="Q955" t="s">
        <v>120</v>
      </c>
      <c r="R955" t="s">
        <v>120</v>
      </c>
      <c r="S955" t="s">
        <v>120</v>
      </c>
      <c r="T955" t="s">
        <v>120</v>
      </c>
      <c r="U955" t="s">
        <v>120</v>
      </c>
      <c r="V955" t="s">
        <v>120</v>
      </c>
      <c r="W955" t="s">
        <v>120</v>
      </c>
      <c r="X955" t="s">
        <v>120</v>
      </c>
      <c r="Y955" t="s">
        <v>120</v>
      </c>
      <c r="Z955" t="s">
        <v>120</v>
      </c>
      <c r="AA955" t="s">
        <v>120</v>
      </c>
      <c r="AB955" t="s">
        <v>120</v>
      </c>
      <c r="AC955" t="s">
        <v>120</v>
      </c>
      <c r="AD955" t="s">
        <v>120</v>
      </c>
      <c r="AE955" t="s">
        <v>120</v>
      </c>
      <c r="AF955" t="s">
        <v>120</v>
      </c>
      <c r="AG955" t="s">
        <v>120</v>
      </c>
      <c r="AH955" t="s">
        <v>120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31.55</v>
      </c>
      <c r="AP955">
        <v>0</v>
      </c>
      <c r="AQ955">
        <v>0</v>
      </c>
      <c r="AR955">
        <v>70.2</v>
      </c>
      <c r="AS955">
        <v>0</v>
      </c>
    </row>
    <row r="956" spans="1:45" x14ac:dyDescent="0.25">
      <c r="A956" t="s">
        <v>2143</v>
      </c>
      <c r="B956" t="s">
        <v>2144</v>
      </c>
      <c r="C956" t="s">
        <v>127</v>
      </c>
      <c r="D956" t="s">
        <v>2122</v>
      </c>
      <c r="E956" t="s">
        <v>120</v>
      </c>
      <c r="F956" t="s">
        <v>120</v>
      </c>
      <c r="G956" t="s">
        <v>120</v>
      </c>
      <c r="H956" t="s">
        <v>120</v>
      </c>
      <c r="I956" t="s">
        <v>120</v>
      </c>
      <c r="J956" t="s">
        <v>120</v>
      </c>
      <c r="K956" t="s">
        <v>120</v>
      </c>
      <c r="L956" t="s">
        <v>120</v>
      </c>
      <c r="M956" t="s">
        <v>120</v>
      </c>
      <c r="N956" t="s">
        <v>120</v>
      </c>
      <c r="O956" t="s">
        <v>120</v>
      </c>
      <c r="P956" t="s">
        <v>120</v>
      </c>
      <c r="Q956" t="s">
        <v>120</v>
      </c>
      <c r="R956" t="s">
        <v>120</v>
      </c>
      <c r="S956" t="s">
        <v>120</v>
      </c>
      <c r="T956" t="s">
        <v>120</v>
      </c>
      <c r="U956" t="s">
        <v>120</v>
      </c>
      <c r="V956" t="s">
        <v>120</v>
      </c>
      <c r="W956" t="s">
        <v>120</v>
      </c>
      <c r="X956" t="s">
        <v>120</v>
      </c>
      <c r="Y956" t="s">
        <v>120</v>
      </c>
      <c r="Z956" t="s">
        <v>120</v>
      </c>
      <c r="AA956" t="s">
        <v>120</v>
      </c>
      <c r="AB956" t="s">
        <v>120</v>
      </c>
      <c r="AC956" t="s">
        <v>120</v>
      </c>
      <c r="AD956" t="s">
        <v>120</v>
      </c>
      <c r="AE956" t="s">
        <v>120</v>
      </c>
      <c r="AF956" t="s">
        <v>120</v>
      </c>
      <c r="AG956" t="s">
        <v>120</v>
      </c>
      <c r="AH956" t="s">
        <v>120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33.43</v>
      </c>
      <c r="AP956">
        <v>0</v>
      </c>
      <c r="AQ956">
        <v>0</v>
      </c>
      <c r="AR956">
        <v>75.06</v>
      </c>
      <c r="AS956">
        <v>0</v>
      </c>
    </row>
    <row r="957" spans="1:45" x14ac:dyDescent="0.25">
      <c r="A957" t="s">
        <v>2145</v>
      </c>
      <c r="B957" t="s">
        <v>2146</v>
      </c>
      <c r="C957" t="s">
        <v>147</v>
      </c>
      <c r="D957" t="s">
        <v>2122</v>
      </c>
      <c r="E957" t="s">
        <v>120</v>
      </c>
      <c r="F957" t="s">
        <v>120</v>
      </c>
      <c r="G957" t="s">
        <v>120</v>
      </c>
      <c r="H957" t="s">
        <v>120</v>
      </c>
      <c r="I957" t="s">
        <v>120</v>
      </c>
      <c r="J957" t="s">
        <v>120</v>
      </c>
      <c r="K957" t="s">
        <v>120</v>
      </c>
      <c r="L957" t="s">
        <v>120</v>
      </c>
      <c r="M957" t="s">
        <v>120</v>
      </c>
      <c r="N957" t="s">
        <v>120</v>
      </c>
      <c r="O957" t="s">
        <v>120</v>
      </c>
      <c r="P957" t="s">
        <v>120</v>
      </c>
      <c r="Q957" t="s">
        <v>120</v>
      </c>
      <c r="R957" t="s">
        <v>120</v>
      </c>
      <c r="S957" t="s">
        <v>120</v>
      </c>
      <c r="T957" t="s">
        <v>120</v>
      </c>
      <c r="U957" t="s">
        <v>120</v>
      </c>
      <c r="V957" t="s">
        <v>120</v>
      </c>
      <c r="W957" t="s">
        <v>120</v>
      </c>
      <c r="X957" t="s">
        <v>120</v>
      </c>
      <c r="Y957" t="s">
        <v>120</v>
      </c>
      <c r="Z957" t="s">
        <v>120</v>
      </c>
      <c r="AA957" t="s">
        <v>120</v>
      </c>
      <c r="AB957" t="s">
        <v>120</v>
      </c>
      <c r="AC957" t="s">
        <v>120</v>
      </c>
      <c r="AD957" t="s">
        <v>120</v>
      </c>
      <c r="AE957" t="s">
        <v>120</v>
      </c>
      <c r="AF957" t="s">
        <v>120</v>
      </c>
      <c r="AG957" t="s">
        <v>120</v>
      </c>
      <c r="AH957" t="s">
        <v>120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31.55</v>
      </c>
      <c r="AP957">
        <v>0</v>
      </c>
      <c r="AQ957">
        <v>0</v>
      </c>
      <c r="AR957">
        <v>70.2</v>
      </c>
      <c r="AS957">
        <v>0</v>
      </c>
    </row>
    <row r="958" spans="1:45" x14ac:dyDescent="0.25">
      <c r="A958" t="s">
        <v>2147</v>
      </c>
      <c r="B958" t="s">
        <v>2148</v>
      </c>
      <c r="C958" t="s">
        <v>147</v>
      </c>
      <c r="D958" t="s">
        <v>2122</v>
      </c>
      <c r="E958" t="s">
        <v>120</v>
      </c>
      <c r="F958" t="s">
        <v>120</v>
      </c>
      <c r="G958" t="s">
        <v>120</v>
      </c>
      <c r="H958" t="s">
        <v>120</v>
      </c>
      <c r="I958" t="s">
        <v>120</v>
      </c>
      <c r="J958" t="s">
        <v>120</v>
      </c>
      <c r="K958" t="s">
        <v>120</v>
      </c>
      <c r="L958" t="s">
        <v>120</v>
      </c>
      <c r="M958" t="s">
        <v>120</v>
      </c>
      <c r="N958" t="s">
        <v>120</v>
      </c>
      <c r="O958" t="s">
        <v>120</v>
      </c>
      <c r="P958" t="s">
        <v>120</v>
      </c>
      <c r="Q958" t="s">
        <v>120</v>
      </c>
      <c r="R958" t="s">
        <v>120</v>
      </c>
      <c r="S958" t="s">
        <v>120</v>
      </c>
      <c r="T958" t="s">
        <v>120</v>
      </c>
      <c r="U958" t="s">
        <v>120</v>
      </c>
      <c r="V958" t="s">
        <v>120</v>
      </c>
      <c r="W958" t="s">
        <v>120</v>
      </c>
      <c r="X958" t="s">
        <v>120</v>
      </c>
      <c r="Y958" t="s">
        <v>120</v>
      </c>
      <c r="Z958" t="s">
        <v>120</v>
      </c>
      <c r="AA958" t="s">
        <v>120</v>
      </c>
      <c r="AB958" t="s">
        <v>120</v>
      </c>
      <c r="AC958" t="s">
        <v>120</v>
      </c>
      <c r="AD958" t="s">
        <v>120</v>
      </c>
      <c r="AE958" t="s">
        <v>120</v>
      </c>
      <c r="AF958" t="s">
        <v>120</v>
      </c>
      <c r="AG958" t="s">
        <v>120</v>
      </c>
      <c r="AH958" t="s">
        <v>120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28.25</v>
      </c>
      <c r="AP958">
        <v>0</v>
      </c>
      <c r="AQ958">
        <v>0</v>
      </c>
      <c r="AR958">
        <v>70.2</v>
      </c>
      <c r="AS958">
        <v>0</v>
      </c>
    </row>
    <row r="959" spans="1:45" x14ac:dyDescent="0.25">
      <c r="A959" t="s">
        <v>2149</v>
      </c>
      <c r="B959" t="s">
        <v>2150</v>
      </c>
      <c r="C959" t="s">
        <v>147</v>
      </c>
      <c r="D959" t="s">
        <v>2122</v>
      </c>
      <c r="E959" t="s">
        <v>120</v>
      </c>
      <c r="F959" t="s">
        <v>120</v>
      </c>
      <c r="G959" t="s">
        <v>120</v>
      </c>
      <c r="H959" t="s">
        <v>120</v>
      </c>
      <c r="I959" t="s">
        <v>120</v>
      </c>
      <c r="J959" t="s">
        <v>120</v>
      </c>
      <c r="K959" t="s">
        <v>120</v>
      </c>
      <c r="L959" t="s">
        <v>120</v>
      </c>
      <c r="M959" t="s">
        <v>120</v>
      </c>
      <c r="N959" t="s">
        <v>120</v>
      </c>
      <c r="O959" t="s">
        <v>120</v>
      </c>
      <c r="P959" t="s">
        <v>120</v>
      </c>
      <c r="Q959" t="s">
        <v>120</v>
      </c>
      <c r="R959" t="s">
        <v>120</v>
      </c>
      <c r="S959" t="s">
        <v>120</v>
      </c>
      <c r="T959" t="s">
        <v>120</v>
      </c>
      <c r="U959" t="s">
        <v>120</v>
      </c>
      <c r="V959" t="s">
        <v>120</v>
      </c>
      <c r="W959" t="s">
        <v>120</v>
      </c>
      <c r="X959" t="s">
        <v>120</v>
      </c>
      <c r="Y959" t="s">
        <v>120</v>
      </c>
      <c r="Z959" t="s">
        <v>120</v>
      </c>
      <c r="AA959" t="s">
        <v>120</v>
      </c>
      <c r="AB959" t="s">
        <v>120</v>
      </c>
      <c r="AC959" t="s">
        <v>120</v>
      </c>
      <c r="AD959" t="s">
        <v>120</v>
      </c>
      <c r="AE959" t="s">
        <v>120</v>
      </c>
      <c r="AF959" t="s">
        <v>120</v>
      </c>
      <c r="AG959" t="s">
        <v>120</v>
      </c>
      <c r="AH959" t="s">
        <v>120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31.55</v>
      </c>
      <c r="AP959">
        <v>0</v>
      </c>
      <c r="AQ959">
        <v>0</v>
      </c>
      <c r="AR959">
        <v>70.2</v>
      </c>
      <c r="AS959">
        <v>0</v>
      </c>
    </row>
    <row r="960" spans="1:45" x14ac:dyDescent="0.25">
      <c r="A960" t="s">
        <v>2151</v>
      </c>
      <c r="B960" t="s">
        <v>2152</v>
      </c>
      <c r="C960" t="s">
        <v>127</v>
      </c>
      <c r="D960" t="s">
        <v>2122</v>
      </c>
      <c r="E960" t="s">
        <v>120</v>
      </c>
      <c r="F960" t="s">
        <v>120</v>
      </c>
      <c r="G960" t="s">
        <v>120</v>
      </c>
      <c r="H960" t="s">
        <v>120</v>
      </c>
      <c r="I960" t="s">
        <v>120</v>
      </c>
      <c r="J960" t="s">
        <v>120</v>
      </c>
      <c r="K960" t="s">
        <v>120</v>
      </c>
      <c r="L960" t="s">
        <v>120</v>
      </c>
      <c r="M960" t="s">
        <v>120</v>
      </c>
      <c r="N960" t="s">
        <v>120</v>
      </c>
      <c r="O960" t="s">
        <v>120</v>
      </c>
      <c r="P960" t="s">
        <v>120</v>
      </c>
      <c r="Q960" t="s">
        <v>120</v>
      </c>
      <c r="R960" t="s">
        <v>120</v>
      </c>
      <c r="S960" t="s">
        <v>120</v>
      </c>
      <c r="T960" t="s">
        <v>120</v>
      </c>
      <c r="U960" t="s">
        <v>120</v>
      </c>
      <c r="V960" t="s">
        <v>120</v>
      </c>
      <c r="W960" t="s">
        <v>120</v>
      </c>
      <c r="X960" t="s">
        <v>120</v>
      </c>
      <c r="Y960" t="s">
        <v>135</v>
      </c>
      <c r="Z960" t="s">
        <v>135</v>
      </c>
      <c r="AA960" t="s">
        <v>120</v>
      </c>
      <c r="AB960" t="s">
        <v>120</v>
      </c>
      <c r="AC960" t="s">
        <v>120</v>
      </c>
      <c r="AD960" t="s">
        <v>120</v>
      </c>
      <c r="AE960" t="s">
        <v>120</v>
      </c>
      <c r="AF960" t="s">
        <v>285</v>
      </c>
      <c r="AG960" t="s">
        <v>120</v>
      </c>
      <c r="AH960" t="s">
        <v>120</v>
      </c>
      <c r="AJ960">
        <v>0</v>
      </c>
      <c r="AK960">
        <v>23</v>
      </c>
      <c r="AL960">
        <v>0</v>
      </c>
      <c r="AM960">
        <v>16</v>
      </c>
      <c r="AN960">
        <v>7</v>
      </c>
      <c r="AO960">
        <v>33.43</v>
      </c>
      <c r="AP960">
        <v>16</v>
      </c>
      <c r="AQ960">
        <v>525.42000000000007</v>
      </c>
      <c r="AR960">
        <v>75.06</v>
      </c>
      <c r="AS960">
        <v>1069.76</v>
      </c>
    </row>
    <row r="961" spans="1:45" x14ac:dyDescent="0.25">
      <c r="A961" t="s">
        <v>2153</v>
      </c>
      <c r="B961" t="s">
        <v>2154</v>
      </c>
      <c r="C961" t="s">
        <v>147</v>
      </c>
      <c r="D961" t="s">
        <v>2122</v>
      </c>
      <c r="E961" t="s">
        <v>120</v>
      </c>
      <c r="F961" t="s">
        <v>120</v>
      </c>
      <c r="G961" t="s">
        <v>120</v>
      </c>
      <c r="H961" t="s">
        <v>120</v>
      </c>
      <c r="I961" t="s">
        <v>120</v>
      </c>
      <c r="J961" t="s">
        <v>120</v>
      </c>
      <c r="K961" t="s">
        <v>120</v>
      </c>
      <c r="L961" t="s">
        <v>120</v>
      </c>
      <c r="M961" t="s">
        <v>120</v>
      </c>
      <c r="N961" t="s">
        <v>120</v>
      </c>
      <c r="O961" t="s">
        <v>120</v>
      </c>
      <c r="P961" t="s">
        <v>120</v>
      </c>
      <c r="Q961" t="s">
        <v>120</v>
      </c>
      <c r="R961" t="s">
        <v>120</v>
      </c>
      <c r="S961" t="s">
        <v>120</v>
      </c>
      <c r="T961" t="s">
        <v>120</v>
      </c>
      <c r="U961" t="s">
        <v>120</v>
      </c>
      <c r="V961" t="s">
        <v>120</v>
      </c>
      <c r="W961" t="s">
        <v>120</v>
      </c>
      <c r="X961" t="s">
        <v>120</v>
      </c>
      <c r="Y961" t="s">
        <v>120</v>
      </c>
      <c r="Z961" t="s">
        <v>120</v>
      </c>
      <c r="AA961" t="s">
        <v>120</v>
      </c>
      <c r="AB961" t="s">
        <v>120</v>
      </c>
      <c r="AC961" t="s">
        <v>120</v>
      </c>
      <c r="AD961" t="s">
        <v>120</v>
      </c>
      <c r="AE961" t="s">
        <v>120</v>
      </c>
      <c r="AF961" t="s">
        <v>120</v>
      </c>
      <c r="AG961" t="s">
        <v>120</v>
      </c>
      <c r="AH961" t="s">
        <v>120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31.55</v>
      </c>
      <c r="AP961">
        <v>0</v>
      </c>
      <c r="AQ961">
        <v>0</v>
      </c>
      <c r="AR961">
        <v>70.2</v>
      </c>
      <c r="AS961">
        <v>0</v>
      </c>
    </row>
    <row r="962" spans="1:45" x14ac:dyDescent="0.25">
      <c r="A962" t="s">
        <v>2155</v>
      </c>
      <c r="B962" t="s">
        <v>2156</v>
      </c>
      <c r="C962" t="s">
        <v>147</v>
      </c>
      <c r="D962" t="s">
        <v>2122</v>
      </c>
      <c r="E962" t="s">
        <v>120</v>
      </c>
      <c r="F962" t="s">
        <v>120</v>
      </c>
      <c r="G962" t="s">
        <v>120</v>
      </c>
      <c r="H962" t="s">
        <v>120</v>
      </c>
      <c r="I962" t="s">
        <v>120</v>
      </c>
      <c r="J962" t="s">
        <v>120</v>
      </c>
      <c r="K962" t="s">
        <v>120</v>
      </c>
      <c r="L962" t="s">
        <v>120</v>
      </c>
      <c r="M962" t="s">
        <v>120</v>
      </c>
      <c r="N962" t="s">
        <v>120</v>
      </c>
      <c r="O962" t="s">
        <v>120</v>
      </c>
      <c r="P962" t="s">
        <v>120</v>
      </c>
      <c r="Q962" t="s">
        <v>120</v>
      </c>
      <c r="R962" t="s">
        <v>120</v>
      </c>
      <c r="S962" t="s">
        <v>120</v>
      </c>
      <c r="T962" t="s">
        <v>120</v>
      </c>
      <c r="U962" t="s">
        <v>120</v>
      </c>
      <c r="V962" t="s">
        <v>120</v>
      </c>
      <c r="W962" t="s">
        <v>120</v>
      </c>
      <c r="X962" t="s">
        <v>120</v>
      </c>
      <c r="Y962" t="s">
        <v>135</v>
      </c>
      <c r="Z962" t="s">
        <v>120</v>
      </c>
      <c r="AA962" t="s">
        <v>120</v>
      </c>
      <c r="AB962" t="s">
        <v>120</v>
      </c>
      <c r="AC962" t="s">
        <v>120</v>
      </c>
      <c r="AD962" t="s">
        <v>120</v>
      </c>
      <c r="AE962" t="s">
        <v>120</v>
      </c>
      <c r="AF962" t="s">
        <v>120</v>
      </c>
      <c r="AG962" t="s">
        <v>120</v>
      </c>
      <c r="AH962" t="s">
        <v>120</v>
      </c>
      <c r="AJ962">
        <v>0</v>
      </c>
      <c r="AK962">
        <v>8</v>
      </c>
      <c r="AL962">
        <v>0</v>
      </c>
      <c r="AM962">
        <v>8</v>
      </c>
      <c r="AN962">
        <v>0</v>
      </c>
      <c r="AO962">
        <v>31.55</v>
      </c>
      <c r="AP962">
        <v>8</v>
      </c>
      <c r="AQ962">
        <v>0</v>
      </c>
      <c r="AR962">
        <v>70.2</v>
      </c>
      <c r="AS962">
        <v>504.8</v>
      </c>
    </row>
    <row r="963" spans="1:45" x14ac:dyDescent="0.25">
      <c r="A963" t="s">
        <v>2157</v>
      </c>
      <c r="B963" t="s">
        <v>2158</v>
      </c>
      <c r="C963" t="s">
        <v>147</v>
      </c>
      <c r="D963" t="s">
        <v>2122</v>
      </c>
      <c r="E963" t="s">
        <v>120</v>
      </c>
      <c r="F963" t="s">
        <v>120</v>
      </c>
      <c r="G963" t="s">
        <v>120</v>
      </c>
      <c r="H963" t="s">
        <v>120</v>
      </c>
      <c r="I963" t="s">
        <v>120</v>
      </c>
      <c r="J963" t="s">
        <v>120</v>
      </c>
      <c r="K963" t="s">
        <v>120</v>
      </c>
      <c r="L963" t="s">
        <v>120</v>
      </c>
      <c r="M963" t="s">
        <v>120</v>
      </c>
      <c r="N963" t="s">
        <v>120</v>
      </c>
      <c r="O963" t="s">
        <v>120</v>
      </c>
      <c r="P963" t="s">
        <v>135</v>
      </c>
      <c r="Q963" t="s">
        <v>120</v>
      </c>
      <c r="R963" t="s">
        <v>120</v>
      </c>
      <c r="S963" t="s">
        <v>120</v>
      </c>
      <c r="T963" t="s">
        <v>120</v>
      </c>
      <c r="U963" t="s">
        <v>120</v>
      </c>
      <c r="V963" t="s">
        <v>120</v>
      </c>
      <c r="W963" t="s">
        <v>120</v>
      </c>
      <c r="X963" t="s">
        <v>120</v>
      </c>
      <c r="Y963" t="s">
        <v>120</v>
      </c>
      <c r="Z963" t="s">
        <v>120</v>
      </c>
      <c r="AA963" t="s">
        <v>120</v>
      </c>
      <c r="AB963" t="s">
        <v>120</v>
      </c>
      <c r="AC963" t="s">
        <v>120</v>
      </c>
      <c r="AD963" t="s">
        <v>120</v>
      </c>
      <c r="AE963" t="s">
        <v>120</v>
      </c>
      <c r="AF963" t="s">
        <v>120</v>
      </c>
      <c r="AG963" t="s">
        <v>120</v>
      </c>
      <c r="AH963" t="s">
        <v>120</v>
      </c>
      <c r="AJ963">
        <v>0</v>
      </c>
      <c r="AK963">
        <v>8</v>
      </c>
      <c r="AL963">
        <v>0</v>
      </c>
      <c r="AM963">
        <v>8</v>
      </c>
      <c r="AN963">
        <v>0</v>
      </c>
      <c r="AO963">
        <v>31.55</v>
      </c>
      <c r="AP963">
        <v>8</v>
      </c>
      <c r="AQ963">
        <v>0</v>
      </c>
      <c r="AR963">
        <v>70.2</v>
      </c>
      <c r="AS963">
        <v>504.8</v>
      </c>
    </row>
    <row r="964" spans="1:45" x14ac:dyDescent="0.25">
      <c r="A964" t="s">
        <v>2159</v>
      </c>
      <c r="B964" t="s">
        <v>2160</v>
      </c>
      <c r="C964" t="s">
        <v>147</v>
      </c>
      <c r="D964" t="s">
        <v>2122</v>
      </c>
      <c r="E964" t="s">
        <v>120</v>
      </c>
      <c r="F964" t="s">
        <v>120</v>
      </c>
      <c r="G964" t="s">
        <v>120</v>
      </c>
      <c r="H964" t="s">
        <v>120</v>
      </c>
      <c r="I964" t="s">
        <v>120</v>
      </c>
      <c r="J964" t="s">
        <v>120</v>
      </c>
      <c r="K964" t="s">
        <v>120</v>
      </c>
      <c r="L964" t="s">
        <v>120</v>
      </c>
      <c r="M964" t="s">
        <v>120</v>
      </c>
      <c r="N964" t="s">
        <v>120</v>
      </c>
      <c r="O964" t="s">
        <v>120</v>
      </c>
      <c r="P964" t="s">
        <v>120</v>
      </c>
      <c r="Q964" t="s">
        <v>120</v>
      </c>
      <c r="R964" t="s">
        <v>120</v>
      </c>
      <c r="S964" t="s">
        <v>120</v>
      </c>
      <c r="T964" t="s">
        <v>120</v>
      </c>
      <c r="U964" t="s">
        <v>120</v>
      </c>
      <c r="V964" t="s">
        <v>120</v>
      </c>
      <c r="W964" t="s">
        <v>120</v>
      </c>
      <c r="X964" t="s">
        <v>120</v>
      </c>
      <c r="Y964" t="s">
        <v>120</v>
      </c>
      <c r="Z964" t="s">
        <v>120</v>
      </c>
      <c r="AA964" t="s">
        <v>120</v>
      </c>
      <c r="AB964" t="s">
        <v>120</v>
      </c>
      <c r="AC964" t="s">
        <v>120</v>
      </c>
      <c r="AD964" t="s">
        <v>120</v>
      </c>
      <c r="AE964" t="s">
        <v>120</v>
      </c>
      <c r="AF964" t="s">
        <v>120</v>
      </c>
      <c r="AG964" t="s">
        <v>120</v>
      </c>
      <c r="AH964" t="s">
        <v>120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31.55</v>
      </c>
      <c r="AP964">
        <v>0</v>
      </c>
      <c r="AQ964">
        <v>0</v>
      </c>
      <c r="AR964">
        <v>70.2</v>
      </c>
      <c r="AS964">
        <v>0</v>
      </c>
    </row>
    <row r="965" spans="1:45" x14ac:dyDescent="0.25">
      <c r="A965" t="s">
        <v>2161</v>
      </c>
      <c r="B965" t="s">
        <v>2162</v>
      </c>
      <c r="C965" t="s">
        <v>147</v>
      </c>
      <c r="D965" t="s">
        <v>2122</v>
      </c>
      <c r="E965" t="s">
        <v>120</v>
      </c>
      <c r="F965" t="s">
        <v>120</v>
      </c>
      <c r="G965" t="s">
        <v>120</v>
      </c>
      <c r="H965" t="s">
        <v>120</v>
      </c>
      <c r="I965" t="s">
        <v>120</v>
      </c>
      <c r="J965" t="s">
        <v>120</v>
      </c>
      <c r="K965" t="s">
        <v>120</v>
      </c>
      <c r="L965" t="s">
        <v>120</v>
      </c>
      <c r="M965" t="s">
        <v>120</v>
      </c>
      <c r="N965" t="s">
        <v>120</v>
      </c>
      <c r="O965" t="s">
        <v>120</v>
      </c>
      <c r="P965" t="s">
        <v>120</v>
      </c>
      <c r="Q965" t="s">
        <v>120</v>
      </c>
      <c r="R965" t="s">
        <v>120</v>
      </c>
      <c r="S965" t="s">
        <v>120</v>
      </c>
      <c r="T965" t="s">
        <v>120</v>
      </c>
      <c r="U965" t="s">
        <v>120</v>
      </c>
      <c r="V965" t="s">
        <v>120</v>
      </c>
      <c r="W965" t="s">
        <v>120</v>
      </c>
      <c r="X965" t="s">
        <v>120</v>
      </c>
      <c r="Y965" t="s">
        <v>120</v>
      </c>
      <c r="Z965" t="s">
        <v>120</v>
      </c>
      <c r="AA965" t="s">
        <v>120</v>
      </c>
      <c r="AB965" t="s">
        <v>120</v>
      </c>
      <c r="AC965" t="s">
        <v>120</v>
      </c>
      <c r="AD965" t="s">
        <v>120</v>
      </c>
      <c r="AE965" t="s">
        <v>120</v>
      </c>
      <c r="AF965" t="s">
        <v>120</v>
      </c>
      <c r="AG965" t="s">
        <v>120</v>
      </c>
      <c r="AH965" t="s">
        <v>120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31.55</v>
      </c>
      <c r="AP965">
        <v>0</v>
      </c>
      <c r="AQ965">
        <v>0</v>
      </c>
      <c r="AR965">
        <v>70.2</v>
      </c>
      <c r="AS965">
        <v>0</v>
      </c>
    </row>
    <row r="966" spans="1:45" x14ac:dyDescent="0.25">
      <c r="A966" t="s">
        <v>2163</v>
      </c>
      <c r="B966" t="s">
        <v>2164</v>
      </c>
      <c r="C966" t="s">
        <v>147</v>
      </c>
      <c r="D966" t="s">
        <v>2122</v>
      </c>
      <c r="E966" t="s">
        <v>120</v>
      </c>
      <c r="F966" t="s">
        <v>120</v>
      </c>
      <c r="G966" t="s">
        <v>120</v>
      </c>
      <c r="H966" t="s">
        <v>120</v>
      </c>
      <c r="I966" t="s">
        <v>120</v>
      </c>
      <c r="J966" t="s">
        <v>120</v>
      </c>
      <c r="K966" t="s">
        <v>120</v>
      </c>
      <c r="L966" t="s">
        <v>120</v>
      </c>
      <c r="M966" t="s">
        <v>120</v>
      </c>
      <c r="N966" t="s">
        <v>120</v>
      </c>
      <c r="O966" t="s">
        <v>120</v>
      </c>
      <c r="P966" t="s">
        <v>120</v>
      </c>
      <c r="Q966" t="s">
        <v>120</v>
      </c>
      <c r="R966" t="s">
        <v>120</v>
      </c>
      <c r="S966" t="s">
        <v>120</v>
      </c>
      <c r="T966" t="s">
        <v>120</v>
      </c>
      <c r="U966" t="s">
        <v>120</v>
      </c>
      <c r="V966" t="s">
        <v>120</v>
      </c>
      <c r="W966" t="s">
        <v>120</v>
      </c>
      <c r="X966" t="s">
        <v>120</v>
      </c>
      <c r="Y966" t="s">
        <v>120</v>
      </c>
      <c r="Z966" t="s">
        <v>120</v>
      </c>
      <c r="AA966" t="s">
        <v>120</v>
      </c>
      <c r="AB966" t="s">
        <v>120</v>
      </c>
      <c r="AC966" t="s">
        <v>120</v>
      </c>
      <c r="AD966" t="s">
        <v>120</v>
      </c>
      <c r="AE966" t="s">
        <v>120</v>
      </c>
      <c r="AF966" t="s">
        <v>120</v>
      </c>
      <c r="AG966" t="s">
        <v>120</v>
      </c>
      <c r="AH966" t="s">
        <v>120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28.25</v>
      </c>
      <c r="AP966">
        <v>0</v>
      </c>
      <c r="AQ966">
        <v>0</v>
      </c>
      <c r="AR966">
        <v>70.2</v>
      </c>
      <c r="AS966">
        <v>0</v>
      </c>
    </row>
    <row r="967" spans="1:45" x14ac:dyDescent="0.25">
      <c r="A967" t="s">
        <v>2165</v>
      </c>
      <c r="B967" t="s">
        <v>2166</v>
      </c>
      <c r="C967" t="s">
        <v>147</v>
      </c>
      <c r="D967" t="s">
        <v>2122</v>
      </c>
      <c r="E967" t="s">
        <v>120</v>
      </c>
      <c r="F967" t="s">
        <v>120</v>
      </c>
      <c r="G967" t="s">
        <v>120</v>
      </c>
      <c r="H967" t="s">
        <v>120</v>
      </c>
      <c r="I967" t="s">
        <v>120</v>
      </c>
      <c r="J967" t="s">
        <v>120</v>
      </c>
      <c r="K967" t="s">
        <v>120</v>
      </c>
      <c r="L967" t="s">
        <v>120</v>
      </c>
      <c r="M967" t="s">
        <v>120</v>
      </c>
      <c r="N967" t="s">
        <v>120</v>
      </c>
      <c r="O967" t="s">
        <v>120</v>
      </c>
      <c r="P967" t="s">
        <v>120</v>
      </c>
      <c r="Q967" t="s">
        <v>120</v>
      </c>
      <c r="R967" t="s">
        <v>120</v>
      </c>
      <c r="S967" t="s">
        <v>120</v>
      </c>
      <c r="T967" t="s">
        <v>120</v>
      </c>
      <c r="U967" t="s">
        <v>120</v>
      </c>
      <c r="V967" t="s">
        <v>120</v>
      </c>
      <c r="W967" t="s">
        <v>120</v>
      </c>
      <c r="X967" t="s">
        <v>120</v>
      </c>
      <c r="Y967" t="s">
        <v>120</v>
      </c>
      <c r="Z967" t="s">
        <v>120</v>
      </c>
      <c r="AA967" t="s">
        <v>120</v>
      </c>
      <c r="AB967" t="s">
        <v>120</v>
      </c>
      <c r="AC967" t="s">
        <v>120</v>
      </c>
      <c r="AD967" t="s">
        <v>120</v>
      </c>
      <c r="AE967" t="s">
        <v>120</v>
      </c>
      <c r="AF967" t="s">
        <v>120</v>
      </c>
      <c r="AG967" t="s">
        <v>120</v>
      </c>
      <c r="AH967" t="s">
        <v>120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31.55</v>
      </c>
      <c r="AP967">
        <v>0</v>
      </c>
      <c r="AQ967">
        <v>0</v>
      </c>
      <c r="AR967">
        <v>70.2</v>
      </c>
      <c r="AS967">
        <v>0</v>
      </c>
    </row>
    <row r="968" spans="1:45" x14ac:dyDescent="0.25">
      <c r="A968" t="s">
        <v>2167</v>
      </c>
      <c r="B968" t="s">
        <v>2168</v>
      </c>
      <c r="C968" t="s">
        <v>127</v>
      </c>
      <c r="D968" t="s">
        <v>2122</v>
      </c>
      <c r="E968" t="s">
        <v>120</v>
      </c>
      <c r="F968" t="s">
        <v>120</v>
      </c>
      <c r="G968" t="s">
        <v>120</v>
      </c>
      <c r="H968" t="s">
        <v>120</v>
      </c>
      <c r="I968" t="s">
        <v>120</v>
      </c>
      <c r="J968" t="s">
        <v>141</v>
      </c>
      <c r="K968" t="s">
        <v>120</v>
      </c>
      <c r="L968" t="s">
        <v>285</v>
      </c>
      <c r="M968" t="s">
        <v>120</v>
      </c>
      <c r="N968" t="s">
        <v>120</v>
      </c>
      <c r="O968" t="s">
        <v>120</v>
      </c>
      <c r="P968" t="s">
        <v>120</v>
      </c>
      <c r="Q968" t="s">
        <v>120</v>
      </c>
      <c r="R968" t="s">
        <v>120</v>
      </c>
      <c r="S968" t="s">
        <v>120</v>
      </c>
      <c r="T968" t="s">
        <v>120</v>
      </c>
      <c r="U968" t="s">
        <v>120</v>
      </c>
      <c r="V968" t="s">
        <v>120</v>
      </c>
      <c r="W968" t="s">
        <v>120</v>
      </c>
      <c r="X968" t="s">
        <v>120</v>
      </c>
      <c r="Y968" t="s">
        <v>141</v>
      </c>
      <c r="Z968" t="s">
        <v>120</v>
      </c>
      <c r="AA968" t="s">
        <v>120</v>
      </c>
      <c r="AB968" t="s">
        <v>120</v>
      </c>
      <c r="AC968" t="s">
        <v>120</v>
      </c>
      <c r="AD968" t="s">
        <v>120</v>
      </c>
      <c r="AE968" t="s">
        <v>120</v>
      </c>
      <c r="AF968" t="s">
        <v>120</v>
      </c>
      <c r="AG968" t="s">
        <v>120</v>
      </c>
      <c r="AH968" t="s">
        <v>141</v>
      </c>
      <c r="AJ968">
        <v>0</v>
      </c>
      <c r="AK968">
        <v>31</v>
      </c>
      <c r="AL968">
        <v>24</v>
      </c>
      <c r="AM968">
        <v>0</v>
      </c>
      <c r="AN968">
        <v>7</v>
      </c>
      <c r="AO968">
        <v>30.13</v>
      </c>
      <c r="AP968">
        <v>24</v>
      </c>
      <c r="AQ968">
        <v>525.42000000000007</v>
      </c>
      <c r="AR968">
        <v>75.06</v>
      </c>
      <c r="AS968">
        <v>1446.24</v>
      </c>
    </row>
    <row r="969" spans="1:45" x14ac:dyDescent="0.25">
      <c r="A969" t="s">
        <v>2169</v>
      </c>
      <c r="B969" t="s">
        <v>2170</v>
      </c>
      <c r="C969" t="s">
        <v>147</v>
      </c>
      <c r="D969" t="s">
        <v>2122</v>
      </c>
      <c r="E969" t="s">
        <v>120</v>
      </c>
      <c r="F969" t="s">
        <v>120</v>
      </c>
      <c r="G969" t="s">
        <v>120</v>
      </c>
      <c r="H969" t="s">
        <v>120</v>
      </c>
      <c r="I969" t="s">
        <v>120</v>
      </c>
      <c r="J969" t="s">
        <v>120</v>
      </c>
      <c r="K969" t="s">
        <v>120</v>
      </c>
      <c r="L969" t="s">
        <v>120</v>
      </c>
      <c r="M969" t="s">
        <v>120</v>
      </c>
      <c r="N969" t="s">
        <v>120</v>
      </c>
      <c r="O969" t="s">
        <v>120</v>
      </c>
      <c r="P969" t="s">
        <v>120</v>
      </c>
      <c r="Q969" t="s">
        <v>120</v>
      </c>
      <c r="R969" t="s">
        <v>120</v>
      </c>
      <c r="S969" t="s">
        <v>120</v>
      </c>
      <c r="T969" t="s">
        <v>120</v>
      </c>
      <c r="U969" t="s">
        <v>120</v>
      </c>
      <c r="V969" t="s">
        <v>120</v>
      </c>
      <c r="W969" t="s">
        <v>120</v>
      </c>
      <c r="X969" t="s">
        <v>120</v>
      </c>
      <c r="Y969" t="s">
        <v>120</v>
      </c>
      <c r="Z969" t="s">
        <v>120</v>
      </c>
      <c r="AA969" t="s">
        <v>120</v>
      </c>
      <c r="AB969" t="s">
        <v>120</v>
      </c>
      <c r="AC969" t="s">
        <v>120</v>
      </c>
      <c r="AD969" t="s">
        <v>120</v>
      </c>
      <c r="AE969" t="s">
        <v>120</v>
      </c>
      <c r="AF969" t="s">
        <v>120</v>
      </c>
      <c r="AG969" t="s">
        <v>120</v>
      </c>
      <c r="AH969" t="s">
        <v>120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31.55</v>
      </c>
      <c r="AP969">
        <v>0</v>
      </c>
      <c r="AQ969">
        <v>0</v>
      </c>
      <c r="AR969">
        <v>70.2</v>
      </c>
      <c r="AS969">
        <v>0</v>
      </c>
    </row>
    <row r="970" spans="1:45" x14ac:dyDescent="0.25">
      <c r="A970" t="s">
        <v>2171</v>
      </c>
      <c r="B970" t="s">
        <v>2172</v>
      </c>
      <c r="C970" t="s">
        <v>130</v>
      </c>
      <c r="D970" t="s">
        <v>2122</v>
      </c>
      <c r="E970" t="s">
        <v>120</v>
      </c>
      <c r="F970" t="s">
        <v>120</v>
      </c>
      <c r="G970" t="s">
        <v>120</v>
      </c>
      <c r="H970" t="s">
        <v>120</v>
      </c>
      <c r="I970" t="s">
        <v>120</v>
      </c>
      <c r="J970" t="s">
        <v>120</v>
      </c>
      <c r="K970" t="s">
        <v>120</v>
      </c>
      <c r="L970" t="s">
        <v>120</v>
      </c>
      <c r="M970" t="s">
        <v>120</v>
      </c>
      <c r="N970" t="s">
        <v>120</v>
      </c>
      <c r="O970" t="s">
        <v>120</v>
      </c>
      <c r="P970" t="s">
        <v>120</v>
      </c>
      <c r="Q970" t="s">
        <v>120</v>
      </c>
      <c r="R970" t="s">
        <v>120</v>
      </c>
      <c r="S970" t="s">
        <v>120</v>
      </c>
      <c r="T970" t="s">
        <v>120</v>
      </c>
      <c r="U970" t="s">
        <v>120</v>
      </c>
      <c r="V970" t="s">
        <v>120</v>
      </c>
      <c r="W970" t="s">
        <v>120</v>
      </c>
      <c r="X970" t="s">
        <v>120</v>
      </c>
      <c r="Y970" t="s">
        <v>141</v>
      </c>
      <c r="Z970" t="s">
        <v>120</v>
      </c>
      <c r="AA970" t="s">
        <v>120</v>
      </c>
      <c r="AB970" t="s">
        <v>120</v>
      </c>
      <c r="AC970" t="s">
        <v>120</v>
      </c>
      <c r="AD970" t="s">
        <v>120</v>
      </c>
      <c r="AE970" t="s">
        <v>120</v>
      </c>
      <c r="AF970" t="s">
        <v>120</v>
      </c>
      <c r="AG970" t="s">
        <v>120</v>
      </c>
      <c r="AH970" t="s">
        <v>120</v>
      </c>
      <c r="AJ970">
        <v>0</v>
      </c>
      <c r="AK970">
        <v>8</v>
      </c>
      <c r="AL970">
        <v>8</v>
      </c>
      <c r="AM970">
        <v>0</v>
      </c>
      <c r="AN970">
        <v>0</v>
      </c>
      <c r="AO970">
        <v>7500</v>
      </c>
      <c r="AP970">
        <v>8</v>
      </c>
      <c r="AQ970">
        <v>0</v>
      </c>
      <c r="AR970">
        <v>126.56250000000001</v>
      </c>
      <c r="AS970">
        <v>750</v>
      </c>
    </row>
    <row r="971" spans="1:45" x14ac:dyDescent="0.25">
      <c r="A971" t="s">
        <v>2173</v>
      </c>
      <c r="B971" t="s">
        <v>2174</v>
      </c>
      <c r="C971" t="s">
        <v>147</v>
      </c>
      <c r="D971" t="s">
        <v>2175</v>
      </c>
      <c r="E971" t="s">
        <v>120</v>
      </c>
      <c r="F971" t="s">
        <v>120</v>
      </c>
      <c r="G971" t="s">
        <v>120</v>
      </c>
      <c r="H971" t="s">
        <v>120</v>
      </c>
      <c r="I971" t="s">
        <v>120</v>
      </c>
      <c r="J971" t="s">
        <v>120</v>
      </c>
      <c r="K971" t="s">
        <v>120</v>
      </c>
      <c r="L971" t="s">
        <v>120</v>
      </c>
      <c r="M971" t="s">
        <v>120</v>
      </c>
      <c r="N971" t="s">
        <v>120</v>
      </c>
      <c r="O971" t="s">
        <v>120</v>
      </c>
      <c r="P971" t="s">
        <v>120</v>
      </c>
      <c r="Q971" t="s">
        <v>120</v>
      </c>
      <c r="R971" t="s">
        <v>120</v>
      </c>
      <c r="S971" t="s">
        <v>120</v>
      </c>
      <c r="T971" t="s">
        <v>120</v>
      </c>
      <c r="U971" t="s">
        <v>120</v>
      </c>
      <c r="V971" t="s">
        <v>120</v>
      </c>
      <c r="W971" t="s">
        <v>120</v>
      </c>
      <c r="X971" t="s">
        <v>120</v>
      </c>
      <c r="Y971" t="s">
        <v>120</v>
      </c>
      <c r="Z971" t="s">
        <v>120</v>
      </c>
      <c r="AA971" t="s">
        <v>120</v>
      </c>
      <c r="AB971" t="s">
        <v>120</v>
      </c>
      <c r="AC971" t="s">
        <v>120</v>
      </c>
      <c r="AD971" t="s">
        <v>120</v>
      </c>
      <c r="AE971" t="s">
        <v>120</v>
      </c>
      <c r="AF971" t="s">
        <v>120</v>
      </c>
      <c r="AG971" t="s">
        <v>120</v>
      </c>
      <c r="AH971" t="s">
        <v>120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31.55</v>
      </c>
      <c r="AP971">
        <v>0</v>
      </c>
      <c r="AQ971">
        <v>0</v>
      </c>
      <c r="AR971">
        <v>70.2</v>
      </c>
      <c r="AS971">
        <v>0</v>
      </c>
    </row>
    <row r="972" spans="1:45" x14ac:dyDescent="0.25">
      <c r="A972" t="s">
        <v>2176</v>
      </c>
      <c r="B972" t="s">
        <v>2177</v>
      </c>
      <c r="C972" t="s">
        <v>147</v>
      </c>
      <c r="D972" t="s">
        <v>2175</v>
      </c>
      <c r="E972" t="s">
        <v>120</v>
      </c>
      <c r="F972" t="s">
        <v>120</v>
      </c>
      <c r="G972" t="s">
        <v>120</v>
      </c>
      <c r="H972" t="s">
        <v>120</v>
      </c>
      <c r="I972" t="s">
        <v>120</v>
      </c>
      <c r="J972" t="s">
        <v>120</v>
      </c>
      <c r="K972" t="s">
        <v>120</v>
      </c>
      <c r="L972" t="s">
        <v>120</v>
      </c>
      <c r="M972" t="s">
        <v>120</v>
      </c>
      <c r="N972" t="s">
        <v>120</v>
      </c>
      <c r="O972" t="s">
        <v>120</v>
      </c>
      <c r="P972" t="s">
        <v>120</v>
      </c>
      <c r="Q972" t="s">
        <v>120</v>
      </c>
      <c r="R972" t="s">
        <v>120</v>
      </c>
      <c r="S972" t="s">
        <v>120</v>
      </c>
      <c r="T972" t="s">
        <v>120</v>
      </c>
      <c r="U972" t="s">
        <v>120</v>
      </c>
      <c r="V972" t="s">
        <v>120</v>
      </c>
      <c r="W972" t="s">
        <v>120</v>
      </c>
      <c r="X972" t="s">
        <v>120</v>
      </c>
      <c r="Y972" t="s">
        <v>120</v>
      </c>
      <c r="Z972" t="s">
        <v>120</v>
      </c>
      <c r="AA972" t="s">
        <v>120</v>
      </c>
      <c r="AB972" t="s">
        <v>120</v>
      </c>
      <c r="AC972" t="s">
        <v>120</v>
      </c>
      <c r="AD972" t="s">
        <v>120</v>
      </c>
      <c r="AE972" t="s">
        <v>120</v>
      </c>
      <c r="AF972" t="s">
        <v>120</v>
      </c>
      <c r="AG972" t="s">
        <v>120</v>
      </c>
      <c r="AH972" t="s">
        <v>120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28.25</v>
      </c>
      <c r="AP972">
        <v>0</v>
      </c>
      <c r="AQ972">
        <v>0</v>
      </c>
      <c r="AR972">
        <v>70.2</v>
      </c>
      <c r="AS972">
        <v>0</v>
      </c>
    </row>
    <row r="973" spans="1:45" x14ac:dyDescent="0.25">
      <c r="A973" t="s">
        <v>2178</v>
      </c>
      <c r="B973" t="s">
        <v>2179</v>
      </c>
      <c r="C973" t="s">
        <v>127</v>
      </c>
      <c r="D973" t="s">
        <v>2175</v>
      </c>
      <c r="E973" t="s">
        <v>120</v>
      </c>
      <c r="F973" t="s">
        <v>120</v>
      </c>
      <c r="G973" t="s">
        <v>120</v>
      </c>
      <c r="H973" t="s">
        <v>120</v>
      </c>
      <c r="I973" t="s">
        <v>120</v>
      </c>
      <c r="J973" t="s">
        <v>120</v>
      </c>
      <c r="K973" t="s">
        <v>120</v>
      </c>
      <c r="L973" t="s">
        <v>120</v>
      </c>
      <c r="M973" t="s">
        <v>120</v>
      </c>
      <c r="N973" t="s">
        <v>120</v>
      </c>
      <c r="O973" t="s">
        <v>120</v>
      </c>
      <c r="P973" t="s">
        <v>120</v>
      </c>
      <c r="Q973" t="s">
        <v>120</v>
      </c>
      <c r="R973" t="s">
        <v>120</v>
      </c>
      <c r="S973" t="s">
        <v>120</v>
      </c>
      <c r="T973" t="s">
        <v>120</v>
      </c>
      <c r="U973" t="s">
        <v>120</v>
      </c>
      <c r="V973" t="s">
        <v>120</v>
      </c>
      <c r="W973" t="s">
        <v>120</v>
      </c>
      <c r="X973" t="s">
        <v>120</v>
      </c>
      <c r="Y973" t="s">
        <v>120</v>
      </c>
      <c r="Z973" t="s">
        <v>120</v>
      </c>
      <c r="AA973" t="s">
        <v>120</v>
      </c>
      <c r="AB973" t="s">
        <v>120</v>
      </c>
      <c r="AC973" t="s">
        <v>120</v>
      </c>
      <c r="AD973" t="s">
        <v>120</v>
      </c>
      <c r="AE973" t="s">
        <v>120</v>
      </c>
      <c r="AF973" t="s">
        <v>120</v>
      </c>
      <c r="AG973" t="s">
        <v>120</v>
      </c>
      <c r="AH973" t="s">
        <v>120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30.13</v>
      </c>
      <c r="AP973">
        <v>0</v>
      </c>
      <c r="AQ973">
        <v>0</v>
      </c>
      <c r="AR973">
        <v>75.06</v>
      </c>
      <c r="AS973">
        <v>0</v>
      </c>
    </row>
    <row r="974" spans="1:45" x14ac:dyDescent="0.25">
      <c r="A974" t="s">
        <v>2180</v>
      </c>
      <c r="B974" t="s">
        <v>2181</v>
      </c>
      <c r="C974" t="s">
        <v>130</v>
      </c>
      <c r="D974" t="s">
        <v>2175</v>
      </c>
      <c r="E974" t="s">
        <v>120</v>
      </c>
      <c r="F974" t="s">
        <v>120</v>
      </c>
      <c r="G974" t="s">
        <v>120</v>
      </c>
      <c r="H974" t="s">
        <v>120</v>
      </c>
      <c r="I974" t="s">
        <v>120</v>
      </c>
      <c r="J974" t="s">
        <v>120</v>
      </c>
      <c r="K974" t="s">
        <v>120</v>
      </c>
      <c r="L974" t="s">
        <v>120</v>
      </c>
      <c r="M974" t="s">
        <v>120</v>
      </c>
      <c r="N974" t="s">
        <v>120</v>
      </c>
      <c r="O974" t="s">
        <v>120</v>
      </c>
      <c r="P974" t="s">
        <v>120</v>
      </c>
      <c r="Q974" t="s">
        <v>120</v>
      </c>
      <c r="R974" t="s">
        <v>120</v>
      </c>
      <c r="S974" t="s">
        <v>120</v>
      </c>
      <c r="T974" t="s">
        <v>120</v>
      </c>
      <c r="U974" t="s">
        <v>120</v>
      </c>
      <c r="V974" t="s">
        <v>120</v>
      </c>
      <c r="W974" t="s">
        <v>120</v>
      </c>
      <c r="X974" t="s">
        <v>120</v>
      </c>
      <c r="Y974" t="s">
        <v>120</v>
      </c>
      <c r="Z974" t="s">
        <v>120</v>
      </c>
      <c r="AA974" t="s">
        <v>120</v>
      </c>
      <c r="AB974" t="s">
        <v>120</v>
      </c>
      <c r="AC974" t="s">
        <v>120</v>
      </c>
      <c r="AD974" t="s">
        <v>120</v>
      </c>
      <c r="AE974" t="s">
        <v>120</v>
      </c>
      <c r="AF974" t="s">
        <v>120</v>
      </c>
      <c r="AG974" t="s">
        <v>120</v>
      </c>
      <c r="AH974" t="s">
        <v>120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7500</v>
      </c>
      <c r="AP974">
        <v>0</v>
      </c>
      <c r="AQ974">
        <v>0</v>
      </c>
      <c r="AR974">
        <v>126.56250000000001</v>
      </c>
      <c r="AS974">
        <v>0</v>
      </c>
    </row>
    <row r="975" spans="1:45" x14ac:dyDescent="0.25">
      <c r="A975" t="s">
        <v>2182</v>
      </c>
      <c r="B975" t="s">
        <v>2183</v>
      </c>
      <c r="C975" t="s">
        <v>147</v>
      </c>
      <c r="D975" t="s">
        <v>2175</v>
      </c>
      <c r="E975" t="s">
        <v>120</v>
      </c>
      <c r="F975" t="s">
        <v>120</v>
      </c>
      <c r="G975" t="s">
        <v>120</v>
      </c>
      <c r="H975" t="s">
        <v>120</v>
      </c>
      <c r="I975" t="s">
        <v>120</v>
      </c>
      <c r="J975" t="s">
        <v>120</v>
      </c>
      <c r="K975" t="s">
        <v>120</v>
      </c>
      <c r="L975" t="s">
        <v>120</v>
      </c>
      <c r="M975" t="s">
        <v>120</v>
      </c>
      <c r="N975" t="s">
        <v>120</v>
      </c>
      <c r="O975" t="s">
        <v>120</v>
      </c>
      <c r="P975" t="s">
        <v>120</v>
      </c>
      <c r="Q975" t="s">
        <v>120</v>
      </c>
      <c r="R975" t="s">
        <v>120</v>
      </c>
      <c r="S975" t="s">
        <v>120</v>
      </c>
      <c r="T975" t="s">
        <v>120</v>
      </c>
      <c r="U975" t="s">
        <v>120</v>
      </c>
      <c r="V975" t="s">
        <v>120</v>
      </c>
      <c r="W975" t="s">
        <v>120</v>
      </c>
      <c r="X975" t="s">
        <v>120</v>
      </c>
      <c r="Y975" t="s">
        <v>141</v>
      </c>
      <c r="Z975" t="s">
        <v>120</v>
      </c>
      <c r="AA975" t="s">
        <v>120</v>
      </c>
      <c r="AB975" t="s">
        <v>120</v>
      </c>
      <c r="AC975" t="s">
        <v>120</v>
      </c>
      <c r="AD975" t="s">
        <v>120</v>
      </c>
      <c r="AE975" t="s">
        <v>120</v>
      </c>
      <c r="AF975" t="s">
        <v>120</v>
      </c>
      <c r="AG975" t="s">
        <v>120</v>
      </c>
      <c r="AH975" t="s">
        <v>120</v>
      </c>
      <c r="AJ975">
        <v>0</v>
      </c>
      <c r="AK975">
        <v>8</v>
      </c>
      <c r="AL975">
        <v>8</v>
      </c>
      <c r="AM975">
        <v>0</v>
      </c>
      <c r="AN975">
        <v>0</v>
      </c>
      <c r="AO975">
        <v>28.25</v>
      </c>
      <c r="AP975">
        <v>8</v>
      </c>
      <c r="AQ975">
        <v>0</v>
      </c>
      <c r="AR975">
        <v>70.2</v>
      </c>
      <c r="AS975">
        <v>452</v>
      </c>
    </row>
    <row r="976" spans="1:45" x14ac:dyDescent="0.25">
      <c r="A976" t="s">
        <v>2184</v>
      </c>
      <c r="B976" t="s">
        <v>2185</v>
      </c>
      <c r="C976" t="s">
        <v>147</v>
      </c>
      <c r="D976" t="s">
        <v>2175</v>
      </c>
      <c r="E976" t="s">
        <v>120</v>
      </c>
      <c r="F976" t="s">
        <v>120</v>
      </c>
      <c r="G976" t="s">
        <v>120</v>
      </c>
      <c r="H976" t="s">
        <v>120</v>
      </c>
      <c r="I976" t="s">
        <v>120</v>
      </c>
      <c r="J976" t="s">
        <v>120</v>
      </c>
      <c r="K976" t="s">
        <v>120</v>
      </c>
      <c r="L976" t="s">
        <v>120</v>
      </c>
      <c r="M976" t="s">
        <v>120</v>
      </c>
      <c r="N976" t="s">
        <v>120</v>
      </c>
      <c r="O976" t="s">
        <v>120</v>
      </c>
      <c r="P976" t="s">
        <v>120</v>
      </c>
      <c r="Q976" t="s">
        <v>120</v>
      </c>
      <c r="R976" t="s">
        <v>120</v>
      </c>
      <c r="S976" t="s">
        <v>120</v>
      </c>
      <c r="T976" t="s">
        <v>120</v>
      </c>
      <c r="U976" t="s">
        <v>120</v>
      </c>
      <c r="V976" t="s">
        <v>120</v>
      </c>
      <c r="W976" t="s">
        <v>120</v>
      </c>
      <c r="X976" t="s">
        <v>120</v>
      </c>
      <c r="Y976" t="s">
        <v>120</v>
      </c>
      <c r="Z976" t="s">
        <v>120</v>
      </c>
      <c r="AA976" t="s">
        <v>120</v>
      </c>
      <c r="AB976" t="s">
        <v>120</v>
      </c>
      <c r="AC976" t="s">
        <v>120</v>
      </c>
      <c r="AD976" t="s">
        <v>120</v>
      </c>
      <c r="AE976" t="s">
        <v>120</v>
      </c>
      <c r="AF976" t="s">
        <v>120</v>
      </c>
      <c r="AG976" t="s">
        <v>120</v>
      </c>
      <c r="AH976" t="s">
        <v>120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31.55</v>
      </c>
      <c r="AP976">
        <v>0</v>
      </c>
      <c r="AQ976">
        <v>0</v>
      </c>
      <c r="AR976">
        <v>70.2</v>
      </c>
      <c r="AS976">
        <v>0</v>
      </c>
    </row>
    <row r="977" spans="1:45" x14ac:dyDescent="0.25">
      <c r="A977" t="s">
        <v>2186</v>
      </c>
      <c r="B977" t="s">
        <v>2187</v>
      </c>
      <c r="C977" t="s">
        <v>147</v>
      </c>
      <c r="D977" t="s">
        <v>2175</v>
      </c>
      <c r="E977" t="s">
        <v>120</v>
      </c>
      <c r="F977" t="s">
        <v>120</v>
      </c>
      <c r="G977" t="s">
        <v>120</v>
      </c>
      <c r="H977" t="s">
        <v>120</v>
      </c>
      <c r="I977" t="s">
        <v>120</v>
      </c>
      <c r="J977" t="s">
        <v>120</v>
      </c>
      <c r="K977" t="s">
        <v>120</v>
      </c>
      <c r="L977" t="s">
        <v>120</v>
      </c>
      <c r="M977" t="s">
        <v>120</v>
      </c>
      <c r="N977" t="s">
        <v>120</v>
      </c>
      <c r="O977" t="s">
        <v>120</v>
      </c>
      <c r="P977" t="s">
        <v>120</v>
      </c>
      <c r="Q977" t="s">
        <v>120</v>
      </c>
      <c r="R977" t="s">
        <v>120</v>
      </c>
      <c r="S977" t="s">
        <v>120</v>
      </c>
      <c r="T977" t="s">
        <v>120</v>
      </c>
      <c r="U977" t="s">
        <v>120</v>
      </c>
      <c r="V977" t="s">
        <v>124</v>
      </c>
      <c r="W977" t="s">
        <v>120</v>
      </c>
      <c r="X977" t="s">
        <v>120</v>
      </c>
      <c r="Y977" t="s">
        <v>141</v>
      </c>
      <c r="Z977" t="s">
        <v>120</v>
      </c>
      <c r="AA977" t="s">
        <v>120</v>
      </c>
      <c r="AB977" t="s">
        <v>120</v>
      </c>
      <c r="AC977" t="s">
        <v>120</v>
      </c>
      <c r="AD977" t="s">
        <v>120</v>
      </c>
      <c r="AE977" t="s">
        <v>120</v>
      </c>
      <c r="AF977" t="s">
        <v>120</v>
      </c>
      <c r="AG977" t="s">
        <v>120</v>
      </c>
      <c r="AH977" t="s">
        <v>120</v>
      </c>
      <c r="AJ977">
        <v>0</v>
      </c>
      <c r="AK977">
        <v>12</v>
      </c>
      <c r="AL977">
        <v>8</v>
      </c>
      <c r="AM977">
        <v>4</v>
      </c>
      <c r="AN977">
        <v>0</v>
      </c>
      <c r="AO977">
        <v>28.25</v>
      </c>
      <c r="AP977">
        <v>12</v>
      </c>
      <c r="AQ977">
        <v>0</v>
      </c>
      <c r="AR977">
        <v>70.2</v>
      </c>
      <c r="AS977">
        <v>678</v>
      </c>
    </row>
    <row r="978" spans="1:45" x14ac:dyDescent="0.25">
      <c r="A978" t="s">
        <v>2188</v>
      </c>
      <c r="B978" t="s">
        <v>2189</v>
      </c>
      <c r="C978" t="s">
        <v>147</v>
      </c>
      <c r="D978" t="s">
        <v>2175</v>
      </c>
      <c r="E978" t="s">
        <v>120</v>
      </c>
      <c r="F978" t="s">
        <v>120</v>
      </c>
      <c r="G978" t="s">
        <v>120</v>
      </c>
      <c r="H978" t="s">
        <v>120</v>
      </c>
      <c r="I978" t="s">
        <v>120</v>
      </c>
      <c r="J978" t="s">
        <v>120</v>
      </c>
      <c r="K978" t="s">
        <v>120</v>
      </c>
      <c r="L978" t="s">
        <v>120</v>
      </c>
      <c r="M978" t="s">
        <v>120</v>
      </c>
      <c r="N978" t="s">
        <v>120</v>
      </c>
      <c r="O978" t="s">
        <v>120</v>
      </c>
      <c r="P978" t="s">
        <v>120</v>
      </c>
      <c r="Q978" t="s">
        <v>120</v>
      </c>
      <c r="R978" t="s">
        <v>120</v>
      </c>
      <c r="S978" t="s">
        <v>120</v>
      </c>
      <c r="T978" t="s">
        <v>120</v>
      </c>
      <c r="U978" t="s">
        <v>120</v>
      </c>
      <c r="V978" t="s">
        <v>120</v>
      </c>
      <c r="W978" t="s">
        <v>120</v>
      </c>
      <c r="X978" t="s">
        <v>120</v>
      </c>
      <c r="Y978" t="s">
        <v>120</v>
      </c>
      <c r="Z978" t="s">
        <v>120</v>
      </c>
      <c r="AA978" t="s">
        <v>120</v>
      </c>
      <c r="AB978" t="s">
        <v>120</v>
      </c>
      <c r="AC978" t="s">
        <v>120</v>
      </c>
      <c r="AD978" t="s">
        <v>120</v>
      </c>
      <c r="AE978" t="s">
        <v>120</v>
      </c>
      <c r="AF978" t="s">
        <v>120</v>
      </c>
      <c r="AG978" t="s">
        <v>120</v>
      </c>
      <c r="AH978" t="s">
        <v>120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31.55</v>
      </c>
      <c r="AP978">
        <v>0</v>
      </c>
      <c r="AQ978">
        <v>0</v>
      </c>
      <c r="AR978">
        <v>70.2</v>
      </c>
      <c r="AS978">
        <v>0</v>
      </c>
    </row>
    <row r="979" spans="1:45" x14ac:dyDescent="0.25">
      <c r="A979" t="s">
        <v>2190</v>
      </c>
      <c r="B979" t="s">
        <v>2191</v>
      </c>
      <c r="C979" t="s">
        <v>147</v>
      </c>
      <c r="D979" t="s">
        <v>2175</v>
      </c>
      <c r="E979" t="s">
        <v>120</v>
      </c>
      <c r="F979" t="s">
        <v>120</v>
      </c>
      <c r="G979" t="s">
        <v>120</v>
      </c>
      <c r="H979" t="s">
        <v>120</v>
      </c>
      <c r="I979" t="s">
        <v>120</v>
      </c>
      <c r="J979" t="s">
        <v>120</v>
      </c>
      <c r="K979" t="s">
        <v>120</v>
      </c>
      <c r="L979" t="s">
        <v>120</v>
      </c>
      <c r="M979" t="s">
        <v>120</v>
      </c>
      <c r="N979" t="s">
        <v>120</v>
      </c>
      <c r="O979" t="s">
        <v>120</v>
      </c>
      <c r="P979" t="s">
        <v>120</v>
      </c>
      <c r="Q979" t="s">
        <v>120</v>
      </c>
      <c r="R979" t="s">
        <v>120</v>
      </c>
      <c r="S979" t="s">
        <v>120</v>
      </c>
      <c r="T979" t="s">
        <v>120</v>
      </c>
      <c r="U979" t="s">
        <v>120</v>
      </c>
      <c r="V979" t="s">
        <v>120</v>
      </c>
      <c r="W979" t="s">
        <v>120</v>
      </c>
      <c r="X979" t="s">
        <v>120</v>
      </c>
      <c r="Y979" t="s">
        <v>120</v>
      </c>
      <c r="Z979" t="s">
        <v>120</v>
      </c>
      <c r="AA979" t="s">
        <v>120</v>
      </c>
      <c r="AB979" t="s">
        <v>120</v>
      </c>
      <c r="AC979" t="s">
        <v>120</v>
      </c>
      <c r="AD979" t="s">
        <v>120</v>
      </c>
      <c r="AE979" t="s">
        <v>120</v>
      </c>
      <c r="AF979" t="s">
        <v>120</v>
      </c>
      <c r="AG979" t="s">
        <v>120</v>
      </c>
      <c r="AH979" t="s">
        <v>120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31.55</v>
      </c>
      <c r="AP979">
        <v>0</v>
      </c>
      <c r="AQ979">
        <v>0</v>
      </c>
      <c r="AR979">
        <v>70.2</v>
      </c>
      <c r="AS979">
        <v>0</v>
      </c>
    </row>
    <row r="980" spans="1:45" x14ac:dyDescent="0.25">
      <c r="A980" t="s">
        <v>2192</v>
      </c>
      <c r="B980" t="s">
        <v>2193</v>
      </c>
      <c r="C980" t="s">
        <v>147</v>
      </c>
      <c r="D980" t="s">
        <v>2175</v>
      </c>
      <c r="E980" t="s">
        <v>120</v>
      </c>
      <c r="F980" t="s">
        <v>120</v>
      </c>
      <c r="G980" t="s">
        <v>120</v>
      </c>
      <c r="H980" t="s">
        <v>120</v>
      </c>
      <c r="I980" t="s">
        <v>120</v>
      </c>
      <c r="J980" t="s">
        <v>120</v>
      </c>
      <c r="K980" t="s">
        <v>120</v>
      </c>
      <c r="L980" t="s">
        <v>120</v>
      </c>
      <c r="M980" t="s">
        <v>120</v>
      </c>
      <c r="N980" t="s">
        <v>120</v>
      </c>
      <c r="O980" t="s">
        <v>120</v>
      </c>
      <c r="P980" t="s">
        <v>120</v>
      </c>
      <c r="Q980" t="s">
        <v>120</v>
      </c>
      <c r="R980" t="s">
        <v>2194</v>
      </c>
      <c r="S980" t="s">
        <v>120</v>
      </c>
      <c r="T980" t="s">
        <v>120</v>
      </c>
      <c r="U980" t="s">
        <v>120</v>
      </c>
      <c r="V980" t="s">
        <v>120</v>
      </c>
      <c r="W980" t="s">
        <v>120</v>
      </c>
      <c r="X980" t="s">
        <v>120</v>
      </c>
      <c r="Y980" t="s">
        <v>120</v>
      </c>
      <c r="Z980" t="s">
        <v>120</v>
      </c>
      <c r="AA980" t="s">
        <v>120</v>
      </c>
      <c r="AB980" t="s">
        <v>120</v>
      </c>
      <c r="AC980" t="s">
        <v>120</v>
      </c>
      <c r="AD980" t="s">
        <v>120</v>
      </c>
      <c r="AE980" t="s">
        <v>120</v>
      </c>
      <c r="AF980" t="s">
        <v>120</v>
      </c>
      <c r="AG980" t="s">
        <v>120</v>
      </c>
      <c r="AH980" t="s">
        <v>120</v>
      </c>
      <c r="AJ980">
        <v>0</v>
      </c>
      <c r="AK980">
        <v>3</v>
      </c>
      <c r="AL980">
        <v>0</v>
      </c>
      <c r="AM980">
        <v>0</v>
      </c>
      <c r="AN980">
        <v>3</v>
      </c>
      <c r="AO980">
        <v>31.55</v>
      </c>
      <c r="AP980">
        <v>0</v>
      </c>
      <c r="AQ980">
        <v>210.60000000000002</v>
      </c>
      <c r="AR980">
        <v>70.2</v>
      </c>
      <c r="AS980">
        <v>0</v>
      </c>
    </row>
    <row r="981" spans="1:45" x14ac:dyDescent="0.25">
      <c r="A981" t="s">
        <v>2195</v>
      </c>
      <c r="B981" t="s">
        <v>2196</v>
      </c>
      <c r="C981" t="s">
        <v>147</v>
      </c>
      <c r="D981" t="s">
        <v>2175</v>
      </c>
      <c r="E981" t="s">
        <v>120</v>
      </c>
      <c r="F981" t="s">
        <v>120</v>
      </c>
      <c r="G981" t="s">
        <v>120</v>
      </c>
      <c r="H981" t="s">
        <v>120</v>
      </c>
      <c r="I981" t="s">
        <v>120</v>
      </c>
      <c r="J981" t="s">
        <v>120</v>
      </c>
      <c r="K981" t="s">
        <v>120</v>
      </c>
      <c r="L981" t="s">
        <v>120</v>
      </c>
      <c r="M981" t="s">
        <v>120</v>
      </c>
      <c r="N981" t="s">
        <v>120</v>
      </c>
      <c r="O981" t="s">
        <v>120</v>
      </c>
      <c r="P981" t="s">
        <v>120</v>
      </c>
      <c r="Q981" t="s">
        <v>120</v>
      </c>
      <c r="R981" t="s">
        <v>120</v>
      </c>
      <c r="S981" t="s">
        <v>120</v>
      </c>
      <c r="T981" t="s">
        <v>120</v>
      </c>
      <c r="U981" t="s">
        <v>120</v>
      </c>
      <c r="V981" t="s">
        <v>120</v>
      </c>
      <c r="W981" t="s">
        <v>120</v>
      </c>
      <c r="X981" t="s">
        <v>120</v>
      </c>
      <c r="Y981" t="s">
        <v>120</v>
      </c>
      <c r="Z981" t="s">
        <v>120</v>
      </c>
      <c r="AA981" t="s">
        <v>120</v>
      </c>
      <c r="AB981" t="s">
        <v>120</v>
      </c>
      <c r="AC981" t="s">
        <v>120</v>
      </c>
      <c r="AD981" t="s">
        <v>120</v>
      </c>
      <c r="AE981" t="s">
        <v>120</v>
      </c>
      <c r="AF981" t="s">
        <v>120</v>
      </c>
      <c r="AG981" t="s">
        <v>120</v>
      </c>
      <c r="AH981" t="s">
        <v>120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28.25</v>
      </c>
      <c r="AP981">
        <v>0</v>
      </c>
      <c r="AQ981">
        <v>0</v>
      </c>
      <c r="AR981">
        <v>70.2</v>
      </c>
      <c r="AS981">
        <v>0</v>
      </c>
    </row>
    <row r="982" spans="1:45" x14ac:dyDescent="0.25">
      <c r="A982" t="s">
        <v>2197</v>
      </c>
      <c r="B982" t="s">
        <v>2198</v>
      </c>
      <c r="C982" t="s">
        <v>147</v>
      </c>
      <c r="D982" t="s">
        <v>2175</v>
      </c>
      <c r="E982" t="s">
        <v>120</v>
      </c>
      <c r="F982" t="s">
        <v>120</v>
      </c>
      <c r="G982" t="s">
        <v>120</v>
      </c>
      <c r="H982" t="s">
        <v>120</v>
      </c>
      <c r="I982" t="s">
        <v>120</v>
      </c>
      <c r="J982" t="s">
        <v>120</v>
      </c>
      <c r="K982" t="s">
        <v>120</v>
      </c>
      <c r="L982" t="s">
        <v>120</v>
      </c>
      <c r="M982" t="s">
        <v>120</v>
      </c>
      <c r="N982" t="s">
        <v>120</v>
      </c>
      <c r="O982" t="s">
        <v>120</v>
      </c>
      <c r="P982" t="s">
        <v>120</v>
      </c>
      <c r="Q982" t="s">
        <v>120</v>
      </c>
      <c r="R982" t="s">
        <v>120</v>
      </c>
      <c r="S982" t="s">
        <v>120</v>
      </c>
      <c r="T982" t="s">
        <v>120</v>
      </c>
      <c r="U982" t="s">
        <v>120</v>
      </c>
      <c r="V982" t="s">
        <v>120</v>
      </c>
      <c r="W982" t="s">
        <v>120</v>
      </c>
      <c r="X982" t="s">
        <v>120</v>
      </c>
      <c r="Y982" t="s">
        <v>120</v>
      </c>
      <c r="Z982" t="s">
        <v>120</v>
      </c>
      <c r="AA982" t="s">
        <v>120</v>
      </c>
      <c r="AB982" t="s">
        <v>120</v>
      </c>
      <c r="AC982" t="s">
        <v>120</v>
      </c>
      <c r="AD982" t="s">
        <v>120</v>
      </c>
      <c r="AE982" t="s">
        <v>120</v>
      </c>
      <c r="AF982" t="s">
        <v>120</v>
      </c>
      <c r="AG982" t="s">
        <v>120</v>
      </c>
      <c r="AH982" t="s">
        <v>120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31.55</v>
      </c>
      <c r="AP982">
        <v>0</v>
      </c>
      <c r="AQ982">
        <v>0</v>
      </c>
      <c r="AR982">
        <v>70.2</v>
      </c>
      <c r="AS982">
        <v>0</v>
      </c>
    </row>
    <row r="983" spans="1:45" x14ac:dyDescent="0.25">
      <c r="A983" t="s">
        <v>2199</v>
      </c>
      <c r="B983" t="s">
        <v>2200</v>
      </c>
      <c r="C983" t="s">
        <v>147</v>
      </c>
      <c r="D983" t="s">
        <v>2175</v>
      </c>
      <c r="E983" t="s">
        <v>120</v>
      </c>
      <c r="F983" t="s">
        <v>120</v>
      </c>
      <c r="G983" t="s">
        <v>120</v>
      </c>
      <c r="H983" t="s">
        <v>120</v>
      </c>
      <c r="I983" t="s">
        <v>120</v>
      </c>
      <c r="J983" t="s">
        <v>120</v>
      </c>
      <c r="K983" t="s">
        <v>120</v>
      </c>
      <c r="L983" t="s">
        <v>120</v>
      </c>
      <c r="M983" t="s">
        <v>120</v>
      </c>
      <c r="N983" t="s">
        <v>120</v>
      </c>
      <c r="O983" t="s">
        <v>120</v>
      </c>
      <c r="P983" t="s">
        <v>120</v>
      </c>
      <c r="Q983" t="s">
        <v>120</v>
      </c>
      <c r="R983" t="s">
        <v>120</v>
      </c>
      <c r="S983" t="s">
        <v>120</v>
      </c>
      <c r="T983" t="s">
        <v>120</v>
      </c>
      <c r="U983" t="s">
        <v>120</v>
      </c>
      <c r="V983" t="s">
        <v>120</v>
      </c>
      <c r="W983" t="s">
        <v>120</v>
      </c>
      <c r="X983" t="s">
        <v>120</v>
      </c>
      <c r="Y983" t="s">
        <v>120</v>
      </c>
      <c r="Z983" t="s">
        <v>120</v>
      </c>
      <c r="AA983" t="s">
        <v>120</v>
      </c>
      <c r="AB983" t="s">
        <v>120</v>
      </c>
      <c r="AC983" t="s">
        <v>120</v>
      </c>
      <c r="AD983" t="s">
        <v>120</v>
      </c>
      <c r="AE983" t="s">
        <v>120</v>
      </c>
      <c r="AF983" t="s">
        <v>120</v>
      </c>
      <c r="AG983" t="s">
        <v>120</v>
      </c>
      <c r="AH983" t="s">
        <v>120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31.55</v>
      </c>
      <c r="AP983">
        <v>0</v>
      </c>
      <c r="AQ983">
        <v>0</v>
      </c>
      <c r="AR983">
        <v>70.2</v>
      </c>
      <c r="AS983">
        <v>0</v>
      </c>
    </row>
    <row r="984" spans="1:45" x14ac:dyDescent="0.25">
      <c r="A984" t="s">
        <v>2201</v>
      </c>
      <c r="B984" t="s">
        <v>2202</v>
      </c>
      <c r="C984" t="s">
        <v>147</v>
      </c>
      <c r="D984" t="s">
        <v>2175</v>
      </c>
      <c r="E984" t="s">
        <v>120</v>
      </c>
      <c r="F984" t="s">
        <v>120</v>
      </c>
      <c r="G984" t="s">
        <v>120</v>
      </c>
      <c r="H984" t="s">
        <v>120</v>
      </c>
      <c r="I984" t="s">
        <v>120</v>
      </c>
      <c r="J984" t="s">
        <v>120</v>
      </c>
      <c r="K984" t="s">
        <v>120</v>
      </c>
      <c r="L984" t="s">
        <v>120</v>
      </c>
      <c r="M984" t="s">
        <v>120</v>
      </c>
      <c r="N984" t="s">
        <v>120</v>
      </c>
      <c r="O984" t="s">
        <v>120</v>
      </c>
      <c r="P984" t="s">
        <v>120</v>
      </c>
      <c r="Q984" t="s">
        <v>120</v>
      </c>
      <c r="R984" t="s">
        <v>120</v>
      </c>
      <c r="S984" t="s">
        <v>120</v>
      </c>
      <c r="T984" t="s">
        <v>120</v>
      </c>
      <c r="U984" t="s">
        <v>120</v>
      </c>
      <c r="V984" t="s">
        <v>120</v>
      </c>
      <c r="W984" t="s">
        <v>120</v>
      </c>
      <c r="X984" t="s">
        <v>120</v>
      </c>
      <c r="Y984" t="s">
        <v>141</v>
      </c>
      <c r="Z984" t="s">
        <v>120</v>
      </c>
      <c r="AA984" t="s">
        <v>124</v>
      </c>
      <c r="AB984" t="s">
        <v>120</v>
      </c>
      <c r="AC984" t="s">
        <v>120</v>
      </c>
      <c r="AD984" t="s">
        <v>120</v>
      </c>
      <c r="AE984" t="s">
        <v>120</v>
      </c>
      <c r="AF984" t="s">
        <v>120</v>
      </c>
      <c r="AG984" t="s">
        <v>120</v>
      </c>
      <c r="AH984" t="s">
        <v>120</v>
      </c>
      <c r="AJ984">
        <v>0</v>
      </c>
      <c r="AK984">
        <v>12</v>
      </c>
      <c r="AL984">
        <v>8</v>
      </c>
      <c r="AM984">
        <v>4</v>
      </c>
      <c r="AN984">
        <v>0</v>
      </c>
      <c r="AO984">
        <v>31.55</v>
      </c>
      <c r="AP984">
        <v>12</v>
      </c>
      <c r="AQ984">
        <v>0</v>
      </c>
      <c r="AR984">
        <v>70.2</v>
      </c>
      <c r="AS984">
        <v>757.2</v>
      </c>
    </row>
    <row r="985" spans="1:45" x14ac:dyDescent="0.25">
      <c r="A985" t="s">
        <v>2203</v>
      </c>
      <c r="B985" t="s">
        <v>2204</v>
      </c>
      <c r="C985" t="s">
        <v>147</v>
      </c>
      <c r="D985" t="s">
        <v>2175</v>
      </c>
      <c r="E985" t="s">
        <v>120</v>
      </c>
      <c r="F985" t="s">
        <v>120</v>
      </c>
      <c r="G985" t="s">
        <v>120</v>
      </c>
      <c r="H985" t="s">
        <v>120</v>
      </c>
      <c r="I985" t="s">
        <v>120</v>
      </c>
      <c r="J985" t="s">
        <v>120</v>
      </c>
      <c r="K985" t="s">
        <v>120</v>
      </c>
      <c r="L985" t="s">
        <v>120</v>
      </c>
      <c r="M985" t="s">
        <v>120</v>
      </c>
      <c r="N985" t="s">
        <v>120</v>
      </c>
      <c r="O985" t="s">
        <v>120</v>
      </c>
      <c r="P985" t="s">
        <v>120</v>
      </c>
      <c r="Q985" t="s">
        <v>120</v>
      </c>
      <c r="R985" t="s">
        <v>120</v>
      </c>
      <c r="S985" t="s">
        <v>120</v>
      </c>
      <c r="T985" t="s">
        <v>120</v>
      </c>
      <c r="U985" t="s">
        <v>120</v>
      </c>
      <c r="V985" t="s">
        <v>120</v>
      </c>
      <c r="W985" t="s">
        <v>120</v>
      </c>
      <c r="X985" t="s">
        <v>120</v>
      </c>
      <c r="Y985" t="s">
        <v>120</v>
      </c>
      <c r="Z985" t="s">
        <v>120</v>
      </c>
      <c r="AA985" t="s">
        <v>120</v>
      </c>
      <c r="AB985" t="s">
        <v>120</v>
      </c>
      <c r="AC985" t="s">
        <v>120</v>
      </c>
      <c r="AD985" t="s">
        <v>120</v>
      </c>
      <c r="AE985" t="s">
        <v>120</v>
      </c>
      <c r="AF985" t="s">
        <v>120</v>
      </c>
      <c r="AG985" t="s">
        <v>120</v>
      </c>
      <c r="AH985" t="s">
        <v>120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31.55</v>
      </c>
      <c r="AP985">
        <v>0</v>
      </c>
      <c r="AQ985">
        <v>0</v>
      </c>
      <c r="AR985">
        <v>70.2</v>
      </c>
      <c r="AS985">
        <v>0</v>
      </c>
    </row>
    <row r="986" spans="1:45" x14ac:dyDescent="0.25">
      <c r="A986" t="s">
        <v>2205</v>
      </c>
      <c r="B986" t="s">
        <v>2206</v>
      </c>
      <c r="C986" t="s">
        <v>147</v>
      </c>
      <c r="D986" t="s">
        <v>2175</v>
      </c>
      <c r="E986" t="s">
        <v>120</v>
      </c>
      <c r="F986" t="s">
        <v>120</v>
      </c>
      <c r="G986" t="s">
        <v>120</v>
      </c>
      <c r="H986" t="s">
        <v>120</v>
      </c>
      <c r="I986" t="s">
        <v>120</v>
      </c>
      <c r="J986" t="s">
        <v>120</v>
      </c>
      <c r="K986" t="s">
        <v>120</v>
      </c>
      <c r="L986" t="s">
        <v>120</v>
      </c>
      <c r="M986" t="s">
        <v>120</v>
      </c>
      <c r="N986" t="s">
        <v>120</v>
      </c>
      <c r="O986" t="s">
        <v>120</v>
      </c>
      <c r="P986" t="s">
        <v>120</v>
      </c>
      <c r="Q986" t="s">
        <v>120</v>
      </c>
      <c r="R986" t="s">
        <v>120</v>
      </c>
      <c r="S986" t="s">
        <v>120</v>
      </c>
      <c r="T986" t="s">
        <v>120</v>
      </c>
      <c r="U986" t="s">
        <v>120</v>
      </c>
      <c r="V986" t="s">
        <v>120</v>
      </c>
      <c r="W986" t="s">
        <v>120</v>
      </c>
      <c r="X986" t="s">
        <v>120</v>
      </c>
      <c r="Y986" t="s">
        <v>120</v>
      </c>
      <c r="Z986" t="s">
        <v>120</v>
      </c>
      <c r="AA986" t="s">
        <v>120</v>
      </c>
      <c r="AB986" t="s">
        <v>120</v>
      </c>
      <c r="AC986" t="s">
        <v>120</v>
      </c>
      <c r="AD986" t="s">
        <v>120</v>
      </c>
      <c r="AE986" t="s">
        <v>120</v>
      </c>
      <c r="AF986" t="s">
        <v>120</v>
      </c>
      <c r="AG986" t="s">
        <v>120</v>
      </c>
      <c r="AH986" t="s">
        <v>120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28.25</v>
      </c>
      <c r="AP986">
        <v>0</v>
      </c>
      <c r="AQ986">
        <v>0</v>
      </c>
      <c r="AR986">
        <v>70.2</v>
      </c>
      <c r="AS986">
        <v>0</v>
      </c>
    </row>
    <row r="987" spans="1:45" x14ac:dyDescent="0.25">
      <c r="A987" t="s">
        <v>2207</v>
      </c>
      <c r="B987" t="s">
        <v>2208</v>
      </c>
      <c r="C987" t="s">
        <v>147</v>
      </c>
      <c r="D987" t="s">
        <v>2175</v>
      </c>
      <c r="E987" t="s">
        <v>120</v>
      </c>
      <c r="F987" t="s">
        <v>120</v>
      </c>
      <c r="G987" t="s">
        <v>120</v>
      </c>
      <c r="H987" t="s">
        <v>120</v>
      </c>
      <c r="I987" t="s">
        <v>120</v>
      </c>
      <c r="J987" t="s">
        <v>120</v>
      </c>
      <c r="K987" t="s">
        <v>120</v>
      </c>
      <c r="L987" t="s">
        <v>120</v>
      </c>
      <c r="M987" t="s">
        <v>120</v>
      </c>
      <c r="N987" t="s">
        <v>120</v>
      </c>
      <c r="O987" t="s">
        <v>120</v>
      </c>
      <c r="P987" t="s">
        <v>120</v>
      </c>
      <c r="Q987" t="s">
        <v>120</v>
      </c>
      <c r="R987" t="s">
        <v>120</v>
      </c>
      <c r="S987" t="s">
        <v>120</v>
      </c>
      <c r="T987" t="s">
        <v>120</v>
      </c>
      <c r="U987" t="s">
        <v>120</v>
      </c>
      <c r="V987" t="s">
        <v>120</v>
      </c>
      <c r="W987" t="s">
        <v>120</v>
      </c>
      <c r="X987" t="s">
        <v>120</v>
      </c>
      <c r="Y987" t="s">
        <v>120</v>
      </c>
      <c r="Z987" t="s">
        <v>120</v>
      </c>
      <c r="AA987" t="s">
        <v>120</v>
      </c>
      <c r="AB987" t="s">
        <v>120</v>
      </c>
      <c r="AC987" t="s">
        <v>120</v>
      </c>
      <c r="AD987" t="s">
        <v>120</v>
      </c>
      <c r="AE987" t="s">
        <v>120</v>
      </c>
      <c r="AF987" t="s">
        <v>120</v>
      </c>
      <c r="AG987" t="s">
        <v>120</v>
      </c>
      <c r="AH987" t="s">
        <v>120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31.55</v>
      </c>
      <c r="AP987">
        <v>0</v>
      </c>
      <c r="AQ987">
        <v>0</v>
      </c>
      <c r="AR987">
        <v>70.2</v>
      </c>
      <c r="AS987">
        <v>0</v>
      </c>
    </row>
    <row r="988" spans="1:45" x14ac:dyDescent="0.25">
      <c r="A988" t="s">
        <v>2209</v>
      </c>
      <c r="B988" t="s">
        <v>2210</v>
      </c>
      <c r="C988" t="s">
        <v>147</v>
      </c>
      <c r="D988" t="s">
        <v>2175</v>
      </c>
      <c r="E988" t="s">
        <v>120</v>
      </c>
      <c r="F988" t="s">
        <v>120</v>
      </c>
      <c r="G988" t="s">
        <v>120</v>
      </c>
      <c r="H988" t="s">
        <v>120</v>
      </c>
      <c r="I988" t="s">
        <v>120</v>
      </c>
      <c r="J988" t="s">
        <v>120</v>
      </c>
      <c r="K988" t="s">
        <v>120</v>
      </c>
      <c r="L988" t="s">
        <v>120</v>
      </c>
      <c r="M988" t="s">
        <v>120</v>
      </c>
      <c r="N988" t="s">
        <v>135</v>
      </c>
      <c r="O988" t="s">
        <v>120</v>
      </c>
      <c r="P988" t="s">
        <v>120</v>
      </c>
      <c r="Q988" t="s">
        <v>120</v>
      </c>
      <c r="R988" t="s">
        <v>120</v>
      </c>
      <c r="S988" t="s">
        <v>120</v>
      </c>
      <c r="T988" t="s">
        <v>120</v>
      </c>
      <c r="U988" t="s">
        <v>120</v>
      </c>
      <c r="V988" t="s">
        <v>120</v>
      </c>
      <c r="W988" t="s">
        <v>120</v>
      </c>
      <c r="X988" t="s">
        <v>120</v>
      </c>
      <c r="Y988" t="s">
        <v>120</v>
      </c>
      <c r="Z988" t="s">
        <v>120</v>
      </c>
      <c r="AA988" t="s">
        <v>120</v>
      </c>
      <c r="AB988" t="s">
        <v>120</v>
      </c>
      <c r="AC988" t="s">
        <v>120</v>
      </c>
      <c r="AD988" t="s">
        <v>120</v>
      </c>
      <c r="AE988" t="s">
        <v>120</v>
      </c>
      <c r="AF988" t="s">
        <v>120</v>
      </c>
      <c r="AG988" t="s">
        <v>120</v>
      </c>
      <c r="AH988" t="s">
        <v>120</v>
      </c>
      <c r="AJ988">
        <v>0</v>
      </c>
      <c r="AK988">
        <v>8</v>
      </c>
      <c r="AL988">
        <v>0</v>
      </c>
      <c r="AM988">
        <v>8</v>
      </c>
      <c r="AN988">
        <v>0</v>
      </c>
      <c r="AO988">
        <v>31.55</v>
      </c>
      <c r="AP988">
        <v>8</v>
      </c>
      <c r="AQ988">
        <v>0</v>
      </c>
      <c r="AR988">
        <v>70.2</v>
      </c>
      <c r="AS988">
        <v>504.8</v>
      </c>
    </row>
    <row r="989" spans="1:45" x14ac:dyDescent="0.25">
      <c r="A989" t="s">
        <v>2211</v>
      </c>
      <c r="B989" t="s">
        <v>2212</v>
      </c>
      <c r="C989" t="s">
        <v>147</v>
      </c>
      <c r="D989" t="s">
        <v>2175</v>
      </c>
      <c r="E989" t="s">
        <v>120</v>
      </c>
      <c r="F989" t="s">
        <v>120</v>
      </c>
      <c r="G989" t="s">
        <v>120</v>
      </c>
      <c r="H989" t="s">
        <v>120</v>
      </c>
      <c r="I989" t="s">
        <v>120</v>
      </c>
      <c r="J989" t="s">
        <v>120</v>
      </c>
      <c r="K989" t="s">
        <v>120</v>
      </c>
      <c r="L989" t="s">
        <v>120</v>
      </c>
      <c r="M989" t="s">
        <v>120</v>
      </c>
      <c r="N989" t="s">
        <v>120</v>
      </c>
      <c r="O989" t="s">
        <v>120</v>
      </c>
      <c r="P989" t="s">
        <v>120</v>
      </c>
      <c r="Q989" t="s">
        <v>120</v>
      </c>
      <c r="R989" t="s">
        <v>120</v>
      </c>
      <c r="S989" t="s">
        <v>120</v>
      </c>
      <c r="T989" t="s">
        <v>120</v>
      </c>
      <c r="U989" t="s">
        <v>120</v>
      </c>
      <c r="V989" t="s">
        <v>120</v>
      </c>
      <c r="W989" t="s">
        <v>120</v>
      </c>
      <c r="X989" t="s">
        <v>120</v>
      </c>
      <c r="Y989" t="s">
        <v>120</v>
      </c>
      <c r="Z989" t="s">
        <v>120</v>
      </c>
      <c r="AA989" t="s">
        <v>120</v>
      </c>
      <c r="AB989" t="s">
        <v>120</v>
      </c>
      <c r="AC989" t="s">
        <v>120</v>
      </c>
      <c r="AD989" t="s">
        <v>120</v>
      </c>
      <c r="AE989" t="s">
        <v>120</v>
      </c>
      <c r="AF989" t="s">
        <v>120</v>
      </c>
      <c r="AG989" t="s">
        <v>120</v>
      </c>
      <c r="AH989" t="s">
        <v>120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28.25</v>
      </c>
      <c r="AP989">
        <v>0</v>
      </c>
      <c r="AQ989">
        <v>0</v>
      </c>
      <c r="AR989">
        <v>70.2</v>
      </c>
      <c r="AS989">
        <v>0</v>
      </c>
    </row>
    <row r="990" spans="1:45" x14ac:dyDescent="0.25">
      <c r="A990" t="s">
        <v>2213</v>
      </c>
      <c r="B990" t="s">
        <v>2214</v>
      </c>
      <c r="C990" t="s">
        <v>147</v>
      </c>
      <c r="D990" t="s">
        <v>2175</v>
      </c>
      <c r="E990" t="s">
        <v>120</v>
      </c>
      <c r="F990" t="s">
        <v>120</v>
      </c>
      <c r="G990" t="s">
        <v>120</v>
      </c>
      <c r="H990" t="s">
        <v>120</v>
      </c>
      <c r="I990" t="s">
        <v>120</v>
      </c>
      <c r="J990" t="s">
        <v>120</v>
      </c>
      <c r="K990" t="s">
        <v>120</v>
      </c>
      <c r="L990" t="s">
        <v>120</v>
      </c>
      <c r="M990" t="s">
        <v>120</v>
      </c>
      <c r="N990" t="s">
        <v>120</v>
      </c>
      <c r="O990" t="s">
        <v>120</v>
      </c>
      <c r="P990" t="s">
        <v>120</v>
      </c>
      <c r="Q990" t="s">
        <v>120</v>
      </c>
      <c r="R990" t="s">
        <v>120</v>
      </c>
      <c r="S990" t="s">
        <v>120</v>
      </c>
      <c r="T990" t="s">
        <v>120</v>
      </c>
      <c r="U990" t="s">
        <v>120</v>
      </c>
      <c r="V990" t="s">
        <v>120</v>
      </c>
      <c r="W990" t="s">
        <v>120</v>
      </c>
      <c r="X990" t="s">
        <v>120</v>
      </c>
      <c r="Y990" t="s">
        <v>120</v>
      </c>
      <c r="Z990" t="s">
        <v>120</v>
      </c>
      <c r="AA990" t="s">
        <v>120</v>
      </c>
      <c r="AB990" t="s">
        <v>120</v>
      </c>
      <c r="AC990" t="s">
        <v>120</v>
      </c>
      <c r="AD990" t="s">
        <v>120</v>
      </c>
      <c r="AE990" t="s">
        <v>120</v>
      </c>
      <c r="AF990" t="s">
        <v>120</v>
      </c>
      <c r="AG990" t="s">
        <v>120</v>
      </c>
      <c r="AH990" t="s">
        <v>120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31.55</v>
      </c>
      <c r="AP990">
        <v>0</v>
      </c>
      <c r="AQ990">
        <v>0</v>
      </c>
      <c r="AR990">
        <v>70.2</v>
      </c>
      <c r="AS990">
        <v>0</v>
      </c>
    </row>
    <row r="991" spans="1:45" x14ac:dyDescent="0.25">
      <c r="A991" t="s">
        <v>2215</v>
      </c>
      <c r="B991" t="s">
        <v>2216</v>
      </c>
      <c r="C991" t="s">
        <v>147</v>
      </c>
      <c r="D991" t="s">
        <v>2175</v>
      </c>
      <c r="E991" t="s">
        <v>120</v>
      </c>
      <c r="F991" t="s">
        <v>120</v>
      </c>
      <c r="G991" t="s">
        <v>120</v>
      </c>
      <c r="H991" t="s">
        <v>120</v>
      </c>
      <c r="I991" t="s">
        <v>120</v>
      </c>
      <c r="J991" t="s">
        <v>120</v>
      </c>
      <c r="K991" t="s">
        <v>120</v>
      </c>
      <c r="L991" t="s">
        <v>120</v>
      </c>
      <c r="M991" t="s">
        <v>120</v>
      </c>
      <c r="N991" t="s">
        <v>120</v>
      </c>
      <c r="O991" t="s">
        <v>120</v>
      </c>
      <c r="P991" t="s">
        <v>120</v>
      </c>
      <c r="Q991" t="s">
        <v>120</v>
      </c>
      <c r="R991" t="s">
        <v>120</v>
      </c>
      <c r="S991" t="s">
        <v>120</v>
      </c>
      <c r="T991" t="s">
        <v>120</v>
      </c>
      <c r="U991" t="s">
        <v>120</v>
      </c>
      <c r="V991" t="s">
        <v>120</v>
      </c>
      <c r="W991" t="s">
        <v>120</v>
      </c>
      <c r="X991" t="s">
        <v>120</v>
      </c>
      <c r="Y991" t="s">
        <v>120</v>
      </c>
      <c r="Z991" t="s">
        <v>120</v>
      </c>
      <c r="AA991" t="s">
        <v>120</v>
      </c>
      <c r="AB991" t="s">
        <v>120</v>
      </c>
      <c r="AC991" t="s">
        <v>120</v>
      </c>
      <c r="AD991" t="s">
        <v>120</v>
      </c>
      <c r="AE991" t="s">
        <v>120</v>
      </c>
      <c r="AF991" t="s">
        <v>120</v>
      </c>
      <c r="AG991" t="s">
        <v>120</v>
      </c>
      <c r="AH991" t="s">
        <v>120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31.55</v>
      </c>
      <c r="AP991">
        <v>0</v>
      </c>
      <c r="AQ991">
        <v>0</v>
      </c>
      <c r="AR991">
        <v>70.2</v>
      </c>
      <c r="AS991">
        <v>0</v>
      </c>
    </row>
    <row r="992" spans="1:45" x14ac:dyDescent="0.25">
      <c r="A992" t="s">
        <v>2217</v>
      </c>
      <c r="B992" t="s">
        <v>2218</v>
      </c>
      <c r="C992" t="s">
        <v>147</v>
      </c>
      <c r="D992" t="s">
        <v>2175</v>
      </c>
      <c r="E992" t="s">
        <v>120</v>
      </c>
      <c r="F992" t="s">
        <v>120</v>
      </c>
      <c r="G992" t="s">
        <v>120</v>
      </c>
      <c r="H992" t="s">
        <v>120</v>
      </c>
      <c r="I992" t="s">
        <v>120</v>
      </c>
      <c r="J992" t="s">
        <v>120</v>
      </c>
      <c r="K992" t="s">
        <v>120</v>
      </c>
      <c r="L992" t="s">
        <v>120</v>
      </c>
      <c r="M992" t="s">
        <v>120</v>
      </c>
      <c r="N992" t="s">
        <v>120</v>
      </c>
      <c r="O992" t="s">
        <v>120</v>
      </c>
      <c r="P992" t="s">
        <v>120</v>
      </c>
      <c r="Q992" t="s">
        <v>120</v>
      </c>
      <c r="R992" t="s">
        <v>120</v>
      </c>
      <c r="S992" t="s">
        <v>120</v>
      </c>
      <c r="T992" t="s">
        <v>120</v>
      </c>
      <c r="U992" t="s">
        <v>120</v>
      </c>
      <c r="V992" t="s">
        <v>120</v>
      </c>
      <c r="W992" t="s">
        <v>120</v>
      </c>
      <c r="X992" t="s">
        <v>120</v>
      </c>
      <c r="Y992" t="s">
        <v>120</v>
      </c>
      <c r="Z992" t="s">
        <v>120</v>
      </c>
      <c r="AA992" t="s">
        <v>120</v>
      </c>
      <c r="AB992" t="s">
        <v>120</v>
      </c>
      <c r="AC992" t="s">
        <v>120</v>
      </c>
      <c r="AD992" t="s">
        <v>120</v>
      </c>
      <c r="AE992" t="s">
        <v>120</v>
      </c>
      <c r="AF992" t="s">
        <v>120</v>
      </c>
      <c r="AG992" t="s">
        <v>120</v>
      </c>
      <c r="AH992" t="s">
        <v>120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31.55</v>
      </c>
      <c r="AP992">
        <v>0</v>
      </c>
      <c r="AQ992">
        <v>0</v>
      </c>
      <c r="AR992">
        <v>70.2</v>
      </c>
      <c r="AS992">
        <v>0</v>
      </c>
    </row>
    <row r="993" spans="1:45" x14ac:dyDescent="0.25">
      <c r="A993" t="s">
        <v>2219</v>
      </c>
      <c r="B993" t="s">
        <v>2220</v>
      </c>
      <c r="C993" t="s">
        <v>147</v>
      </c>
      <c r="D993" t="s">
        <v>2175</v>
      </c>
      <c r="E993" t="s">
        <v>120</v>
      </c>
      <c r="F993" t="s">
        <v>120</v>
      </c>
      <c r="G993" t="s">
        <v>120</v>
      </c>
      <c r="H993" t="s">
        <v>120</v>
      </c>
      <c r="I993" t="s">
        <v>120</v>
      </c>
      <c r="J993" t="s">
        <v>120</v>
      </c>
      <c r="K993" t="s">
        <v>120</v>
      </c>
      <c r="L993" t="s">
        <v>120</v>
      </c>
      <c r="M993" t="s">
        <v>120</v>
      </c>
      <c r="N993" t="s">
        <v>120</v>
      </c>
      <c r="O993" t="s">
        <v>120</v>
      </c>
      <c r="P993" t="s">
        <v>120</v>
      </c>
      <c r="Q993" t="s">
        <v>120</v>
      </c>
      <c r="R993" t="s">
        <v>120</v>
      </c>
      <c r="S993" t="s">
        <v>120</v>
      </c>
      <c r="T993" t="s">
        <v>120</v>
      </c>
      <c r="U993" t="s">
        <v>120</v>
      </c>
      <c r="V993" t="s">
        <v>120</v>
      </c>
      <c r="W993" t="s">
        <v>120</v>
      </c>
      <c r="X993" t="s">
        <v>120</v>
      </c>
      <c r="Y993" t="s">
        <v>120</v>
      </c>
      <c r="Z993" t="s">
        <v>120</v>
      </c>
      <c r="AA993" t="s">
        <v>120</v>
      </c>
      <c r="AB993" t="s">
        <v>120</v>
      </c>
      <c r="AC993" t="s">
        <v>120</v>
      </c>
      <c r="AD993" t="s">
        <v>120</v>
      </c>
      <c r="AE993" t="s">
        <v>120</v>
      </c>
      <c r="AF993" t="s">
        <v>120</v>
      </c>
      <c r="AG993" t="s">
        <v>120</v>
      </c>
      <c r="AH993" t="s">
        <v>120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31.55</v>
      </c>
      <c r="AP993">
        <v>0</v>
      </c>
      <c r="AQ993">
        <v>0</v>
      </c>
      <c r="AR993">
        <v>70.2</v>
      </c>
      <c r="AS993">
        <v>0</v>
      </c>
    </row>
    <row r="994" spans="1:45" x14ac:dyDescent="0.25">
      <c r="A994" t="s">
        <v>2221</v>
      </c>
      <c r="B994" t="s">
        <v>2222</v>
      </c>
      <c r="C994" t="s">
        <v>147</v>
      </c>
      <c r="D994" t="s">
        <v>2175</v>
      </c>
      <c r="E994" t="s">
        <v>120</v>
      </c>
      <c r="F994" t="s">
        <v>120</v>
      </c>
      <c r="G994" t="s">
        <v>120</v>
      </c>
      <c r="H994" t="s">
        <v>120</v>
      </c>
      <c r="I994" t="s">
        <v>120</v>
      </c>
      <c r="J994" t="s">
        <v>120</v>
      </c>
      <c r="K994" t="s">
        <v>120</v>
      </c>
      <c r="L994" t="s">
        <v>120</v>
      </c>
      <c r="M994" t="s">
        <v>120</v>
      </c>
      <c r="N994" t="s">
        <v>120</v>
      </c>
      <c r="O994" t="s">
        <v>120</v>
      </c>
      <c r="P994" t="s">
        <v>120</v>
      </c>
      <c r="Q994" t="s">
        <v>120</v>
      </c>
      <c r="R994" t="s">
        <v>120</v>
      </c>
      <c r="S994" t="s">
        <v>120</v>
      </c>
      <c r="T994" t="s">
        <v>120</v>
      </c>
      <c r="U994" t="s">
        <v>120</v>
      </c>
      <c r="V994" t="s">
        <v>120</v>
      </c>
      <c r="W994" t="s">
        <v>120</v>
      </c>
      <c r="X994" t="s">
        <v>120</v>
      </c>
      <c r="Y994" t="s">
        <v>120</v>
      </c>
      <c r="Z994" t="s">
        <v>120</v>
      </c>
      <c r="AA994" t="s">
        <v>120</v>
      </c>
      <c r="AB994" t="s">
        <v>120</v>
      </c>
      <c r="AC994" t="s">
        <v>120</v>
      </c>
      <c r="AD994" t="s">
        <v>120</v>
      </c>
      <c r="AE994" t="s">
        <v>120</v>
      </c>
      <c r="AF994" t="s">
        <v>120</v>
      </c>
      <c r="AG994" t="s">
        <v>120</v>
      </c>
      <c r="AH994" t="s">
        <v>120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31.55</v>
      </c>
      <c r="AP994">
        <v>0</v>
      </c>
      <c r="AQ994">
        <v>0</v>
      </c>
      <c r="AR994">
        <v>70.2</v>
      </c>
      <c r="AS994">
        <v>0</v>
      </c>
    </row>
    <row r="995" spans="1:45" x14ac:dyDescent="0.25">
      <c r="A995" t="s">
        <v>2223</v>
      </c>
      <c r="B995" t="s">
        <v>2224</v>
      </c>
      <c r="C995" t="s">
        <v>147</v>
      </c>
      <c r="D995" t="s">
        <v>2175</v>
      </c>
      <c r="E995" t="s">
        <v>120</v>
      </c>
      <c r="F995" t="s">
        <v>120</v>
      </c>
      <c r="G995" t="s">
        <v>120</v>
      </c>
      <c r="H995" t="s">
        <v>120</v>
      </c>
      <c r="I995" t="s">
        <v>120</v>
      </c>
      <c r="J995" t="s">
        <v>120</v>
      </c>
      <c r="K995" t="s">
        <v>120</v>
      </c>
      <c r="L995" t="s">
        <v>120</v>
      </c>
      <c r="M995" t="s">
        <v>120</v>
      </c>
      <c r="N995" t="s">
        <v>120</v>
      </c>
      <c r="O995" t="s">
        <v>120</v>
      </c>
      <c r="P995" t="s">
        <v>120</v>
      </c>
      <c r="Q995" t="s">
        <v>120</v>
      </c>
      <c r="R995" t="s">
        <v>120</v>
      </c>
      <c r="S995" t="s">
        <v>120</v>
      </c>
      <c r="T995" t="s">
        <v>120</v>
      </c>
      <c r="U995" t="s">
        <v>120</v>
      </c>
      <c r="V995" t="s">
        <v>120</v>
      </c>
      <c r="W995" t="s">
        <v>120</v>
      </c>
      <c r="X995" t="s">
        <v>120</v>
      </c>
      <c r="Y995" t="s">
        <v>120</v>
      </c>
      <c r="Z995" t="s">
        <v>120</v>
      </c>
      <c r="AA995" t="s">
        <v>120</v>
      </c>
      <c r="AB995" t="s">
        <v>120</v>
      </c>
      <c r="AC995" t="s">
        <v>120</v>
      </c>
      <c r="AD995" t="s">
        <v>120</v>
      </c>
      <c r="AE995" t="s">
        <v>120</v>
      </c>
      <c r="AF995" t="s">
        <v>120</v>
      </c>
      <c r="AG995" t="s">
        <v>120</v>
      </c>
      <c r="AH995" t="s">
        <v>120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31.55</v>
      </c>
      <c r="AP995">
        <v>0</v>
      </c>
      <c r="AQ995">
        <v>0</v>
      </c>
      <c r="AR995">
        <v>70.2</v>
      </c>
      <c r="AS995">
        <v>0</v>
      </c>
    </row>
    <row r="996" spans="1:45" x14ac:dyDescent="0.25">
      <c r="A996" t="s">
        <v>2225</v>
      </c>
      <c r="B996" t="s">
        <v>2226</v>
      </c>
      <c r="C996" t="s">
        <v>147</v>
      </c>
      <c r="D996" t="s">
        <v>2175</v>
      </c>
      <c r="E996" t="s">
        <v>120</v>
      </c>
      <c r="F996" t="s">
        <v>120</v>
      </c>
      <c r="G996" t="s">
        <v>120</v>
      </c>
      <c r="H996" t="s">
        <v>120</v>
      </c>
      <c r="I996" t="s">
        <v>120</v>
      </c>
      <c r="J996" t="s">
        <v>120</v>
      </c>
      <c r="K996" t="s">
        <v>120</v>
      </c>
      <c r="L996" t="s">
        <v>120</v>
      </c>
      <c r="M996" t="s">
        <v>120</v>
      </c>
      <c r="N996" t="s">
        <v>120</v>
      </c>
      <c r="O996" t="s">
        <v>120</v>
      </c>
      <c r="P996" t="s">
        <v>120</v>
      </c>
      <c r="Q996" t="s">
        <v>120</v>
      </c>
      <c r="R996" t="s">
        <v>120</v>
      </c>
      <c r="S996" t="s">
        <v>120</v>
      </c>
      <c r="T996" t="s">
        <v>120</v>
      </c>
      <c r="U996" t="s">
        <v>120</v>
      </c>
      <c r="V996" t="s">
        <v>120</v>
      </c>
      <c r="W996" t="s">
        <v>120</v>
      </c>
      <c r="X996" t="s">
        <v>120</v>
      </c>
      <c r="Y996" t="s">
        <v>120</v>
      </c>
      <c r="Z996" t="s">
        <v>120</v>
      </c>
      <c r="AA996" t="s">
        <v>120</v>
      </c>
      <c r="AB996" t="s">
        <v>120</v>
      </c>
      <c r="AC996" t="s">
        <v>120</v>
      </c>
      <c r="AD996" t="s">
        <v>120</v>
      </c>
      <c r="AE996" t="s">
        <v>120</v>
      </c>
      <c r="AF996" t="s">
        <v>120</v>
      </c>
      <c r="AG996" t="s">
        <v>120</v>
      </c>
      <c r="AH996" t="s">
        <v>120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31.55</v>
      </c>
      <c r="AP996">
        <v>0</v>
      </c>
      <c r="AQ996">
        <v>0</v>
      </c>
      <c r="AR996">
        <v>70.2</v>
      </c>
      <c r="AS996">
        <v>0</v>
      </c>
    </row>
    <row r="997" spans="1:45" x14ac:dyDescent="0.25">
      <c r="A997" t="s">
        <v>2227</v>
      </c>
      <c r="B997" t="s">
        <v>2228</v>
      </c>
      <c r="C997" t="s">
        <v>127</v>
      </c>
      <c r="D997" t="s">
        <v>2229</v>
      </c>
      <c r="E997" t="s">
        <v>120</v>
      </c>
      <c r="F997" t="s">
        <v>120</v>
      </c>
      <c r="G997" t="s">
        <v>120</v>
      </c>
      <c r="H997" t="s">
        <v>120</v>
      </c>
      <c r="I997" t="s">
        <v>120</v>
      </c>
      <c r="J997" t="s">
        <v>120</v>
      </c>
      <c r="K997" t="s">
        <v>120</v>
      </c>
      <c r="L997" t="s">
        <v>120</v>
      </c>
      <c r="M997" t="s">
        <v>120</v>
      </c>
      <c r="N997" t="s">
        <v>120</v>
      </c>
      <c r="O997" t="s">
        <v>120</v>
      </c>
      <c r="P997" t="s">
        <v>120</v>
      </c>
      <c r="Q997" t="s">
        <v>120</v>
      </c>
      <c r="R997" t="s">
        <v>120</v>
      </c>
      <c r="S997" t="s">
        <v>120</v>
      </c>
      <c r="T997" t="s">
        <v>120</v>
      </c>
      <c r="U997" t="s">
        <v>120</v>
      </c>
      <c r="V997" t="s">
        <v>120</v>
      </c>
      <c r="W997" t="s">
        <v>120</v>
      </c>
      <c r="X997" t="s">
        <v>120</v>
      </c>
      <c r="Y997" t="s">
        <v>120</v>
      </c>
      <c r="Z997" t="s">
        <v>120</v>
      </c>
      <c r="AA997" t="s">
        <v>120</v>
      </c>
      <c r="AB997" t="s">
        <v>120</v>
      </c>
      <c r="AC997" t="s">
        <v>120</v>
      </c>
      <c r="AD997" t="s">
        <v>120</v>
      </c>
      <c r="AE997" t="s">
        <v>120</v>
      </c>
      <c r="AF997" t="s">
        <v>120</v>
      </c>
      <c r="AG997" t="s">
        <v>120</v>
      </c>
      <c r="AH997" t="s">
        <v>120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33.43</v>
      </c>
      <c r="AP997">
        <v>0</v>
      </c>
      <c r="AQ997">
        <v>0</v>
      </c>
      <c r="AR997">
        <v>75.06</v>
      </c>
      <c r="AS997">
        <v>0</v>
      </c>
    </row>
    <row r="998" spans="1:45" x14ac:dyDescent="0.25">
      <c r="A998" t="s">
        <v>2230</v>
      </c>
      <c r="B998" t="s">
        <v>2231</v>
      </c>
      <c r="C998" t="s">
        <v>147</v>
      </c>
      <c r="D998" t="s">
        <v>2229</v>
      </c>
      <c r="E998" t="s">
        <v>120</v>
      </c>
      <c r="F998" t="s">
        <v>120</v>
      </c>
      <c r="G998" t="s">
        <v>120</v>
      </c>
      <c r="H998" t="s">
        <v>120</v>
      </c>
      <c r="I998" t="s">
        <v>120</v>
      </c>
      <c r="J998" t="s">
        <v>120</v>
      </c>
      <c r="K998" t="s">
        <v>120</v>
      </c>
      <c r="L998" t="s">
        <v>120</v>
      </c>
      <c r="M998" t="s">
        <v>120</v>
      </c>
      <c r="N998" t="s">
        <v>120</v>
      </c>
      <c r="O998" t="s">
        <v>120</v>
      </c>
      <c r="P998" t="s">
        <v>120</v>
      </c>
      <c r="Q998" t="s">
        <v>120</v>
      </c>
      <c r="R998" t="s">
        <v>120</v>
      </c>
      <c r="S998" t="s">
        <v>120</v>
      </c>
      <c r="T998" t="s">
        <v>120</v>
      </c>
      <c r="U998" t="s">
        <v>120</v>
      </c>
      <c r="V998" t="s">
        <v>120</v>
      </c>
      <c r="W998" t="s">
        <v>120</v>
      </c>
      <c r="X998" t="s">
        <v>120</v>
      </c>
      <c r="Y998" t="s">
        <v>120</v>
      </c>
      <c r="Z998" t="s">
        <v>120</v>
      </c>
      <c r="AA998" t="s">
        <v>120</v>
      </c>
      <c r="AB998" t="s">
        <v>120</v>
      </c>
      <c r="AC998" t="s">
        <v>120</v>
      </c>
      <c r="AD998" t="s">
        <v>120</v>
      </c>
      <c r="AE998" t="s">
        <v>120</v>
      </c>
      <c r="AF998" t="s">
        <v>120</v>
      </c>
      <c r="AG998" t="s">
        <v>120</v>
      </c>
      <c r="AH998" t="s">
        <v>120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28.25</v>
      </c>
      <c r="AP998">
        <v>0</v>
      </c>
      <c r="AQ998">
        <v>0</v>
      </c>
      <c r="AR998">
        <v>70.2</v>
      </c>
      <c r="AS998">
        <v>0</v>
      </c>
    </row>
    <row r="999" spans="1:45" x14ac:dyDescent="0.25">
      <c r="A999" t="s">
        <v>2232</v>
      </c>
      <c r="B999" t="s">
        <v>2233</v>
      </c>
      <c r="C999" t="s">
        <v>130</v>
      </c>
      <c r="D999" t="s">
        <v>2229</v>
      </c>
      <c r="E999" t="s">
        <v>120</v>
      </c>
      <c r="F999" t="s">
        <v>120</v>
      </c>
      <c r="G999" t="s">
        <v>120</v>
      </c>
      <c r="H999" t="s">
        <v>120</v>
      </c>
      <c r="I999" t="s">
        <v>120</v>
      </c>
      <c r="J999" t="s">
        <v>120</v>
      </c>
      <c r="K999" t="s">
        <v>120</v>
      </c>
      <c r="L999" t="s">
        <v>120</v>
      </c>
      <c r="M999" t="s">
        <v>120</v>
      </c>
      <c r="N999" t="s">
        <v>120</v>
      </c>
      <c r="O999" t="s">
        <v>120</v>
      </c>
      <c r="P999" t="s">
        <v>120</v>
      </c>
      <c r="Q999" t="s">
        <v>120</v>
      </c>
      <c r="R999" t="s">
        <v>120</v>
      </c>
      <c r="S999" t="s">
        <v>120</v>
      </c>
      <c r="T999" t="s">
        <v>120</v>
      </c>
      <c r="U999" t="s">
        <v>120</v>
      </c>
      <c r="V999" t="s">
        <v>120</v>
      </c>
      <c r="W999" t="s">
        <v>120</v>
      </c>
      <c r="X999" t="s">
        <v>120</v>
      </c>
      <c r="Y999" t="s">
        <v>120</v>
      </c>
      <c r="Z999" t="s">
        <v>120</v>
      </c>
      <c r="AA999" t="s">
        <v>120</v>
      </c>
      <c r="AB999" t="s">
        <v>120</v>
      </c>
      <c r="AC999" t="s">
        <v>120</v>
      </c>
      <c r="AD999" t="s">
        <v>120</v>
      </c>
      <c r="AE999" t="s">
        <v>120</v>
      </c>
      <c r="AF999" t="s">
        <v>120</v>
      </c>
      <c r="AG999" t="s">
        <v>120</v>
      </c>
      <c r="AH999" t="s">
        <v>120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7500</v>
      </c>
      <c r="AP999">
        <v>0</v>
      </c>
      <c r="AQ999">
        <v>0</v>
      </c>
      <c r="AR999">
        <v>126.56250000000001</v>
      </c>
      <c r="AS999">
        <v>0</v>
      </c>
    </row>
    <row r="1000" spans="1:45" x14ac:dyDescent="0.25">
      <c r="A1000" t="s">
        <v>2234</v>
      </c>
      <c r="B1000" t="s">
        <v>2235</v>
      </c>
      <c r="C1000" t="s">
        <v>147</v>
      </c>
      <c r="D1000" t="s">
        <v>2229</v>
      </c>
      <c r="E1000" t="s">
        <v>120</v>
      </c>
      <c r="F1000" t="s">
        <v>120</v>
      </c>
      <c r="G1000" t="s">
        <v>120</v>
      </c>
      <c r="H1000" t="s">
        <v>120</v>
      </c>
      <c r="I1000" t="s">
        <v>120</v>
      </c>
      <c r="J1000" t="s">
        <v>120</v>
      </c>
      <c r="K1000" t="s">
        <v>120</v>
      </c>
      <c r="L1000" t="s">
        <v>120</v>
      </c>
      <c r="M1000" t="s">
        <v>120</v>
      </c>
      <c r="N1000" t="s">
        <v>120</v>
      </c>
      <c r="O1000" t="s">
        <v>120</v>
      </c>
      <c r="P1000" t="s">
        <v>120</v>
      </c>
      <c r="Q1000" t="s">
        <v>120</v>
      </c>
      <c r="R1000" t="s">
        <v>135</v>
      </c>
      <c r="S1000" t="s">
        <v>135</v>
      </c>
      <c r="T1000" t="s">
        <v>120</v>
      </c>
      <c r="U1000" t="s">
        <v>120</v>
      </c>
      <c r="V1000" t="s">
        <v>120</v>
      </c>
      <c r="W1000" t="s">
        <v>120</v>
      </c>
      <c r="X1000" t="s">
        <v>120</v>
      </c>
      <c r="Y1000" t="s">
        <v>120</v>
      </c>
      <c r="Z1000" t="s">
        <v>120</v>
      </c>
      <c r="AA1000" t="s">
        <v>120</v>
      </c>
      <c r="AB1000" t="s">
        <v>120</v>
      </c>
      <c r="AC1000" t="s">
        <v>120</v>
      </c>
      <c r="AD1000" t="s">
        <v>120</v>
      </c>
      <c r="AE1000" t="s">
        <v>120</v>
      </c>
      <c r="AF1000" t="s">
        <v>120</v>
      </c>
      <c r="AG1000" t="s">
        <v>120</v>
      </c>
      <c r="AH1000" t="s">
        <v>120</v>
      </c>
      <c r="AJ1000">
        <v>0</v>
      </c>
      <c r="AK1000">
        <v>16</v>
      </c>
      <c r="AL1000">
        <v>0</v>
      </c>
      <c r="AM1000">
        <v>16</v>
      </c>
      <c r="AN1000">
        <v>0</v>
      </c>
      <c r="AO1000">
        <v>31.55</v>
      </c>
      <c r="AP1000">
        <v>16</v>
      </c>
      <c r="AQ1000">
        <v>0</v>
      </c>
      <c r="AR1000">
        <v>70.2</v>
      </c>
      <c r="AS1000">
        <v>1009.6</v>
      </c>
    </row>
    <row r="1001" spans="1:45" x14ac:dyDescent="0.25">
      <c r="A1001" t="s">
        <v>2236</v>
      </c>
      <c r="B1001" t="s">
        <v>2237</v>
      </c>
      <c r="C1001" t="s">
        <v>147</v>
      </c>
      <c r="D1001" t="s">
        <v>2229</v>
      </c>
      <c r="E1001" t="s">
        <v>120</v>
      </c>
      <c r="F1001" t="s">
        <v>120</v>
      </c>
      <c r="G1001" t="s">
        <v>120</v>
      </c>
      <c r="H1001" t="s">
        <v>120</v>
      </c>
      <c r="I1001" t="s">
        <v>120</v>
      </c>
      <c r="J1001" t="s">
        <v>120</v>
      </c>
      <c r="K1001" t="s">
        <v>120</v>
      </c>
      <c r="L1001" t="s">
        <v>120</v>
      </c>
      <c r="M1001" t="s">
        <v>120</v>
      </c>
      <c r="N1001" t="s">
        <v>120</v>
      </c>
      <c r="O1001" t="s">
        <v>120</v>
      </c>
      <c r="P1001" t="s">
        <v>120</v>
      </c>
      <c r="Q1001" t="s">
        <v>120</v>
      </c>
      <c r="R1001" t="s">
        <v>135</v>
      </c>
      <c r="S1001" t="s">
        <v>135</v>
      </c>
      <c r="T1001" t="s">
        <v>120</v>
      </c>
      <c r="U1001" t="s">
        <v>120</v>
      </c>
      <c r="V1001" t="s">
        <v>120</v>
      </c>
      <c r="W1001" t="s">
        <v>120</v>
      </c>
      <c r="X1001" t="s">
        <v>120</v>
      </c>
      <c r="Y1001" t="s">
        <v>120</v>
      </c>
      <c r="Z1001" t="s">
        <v>120</v>
      </c>
      <c r="AA1001" t="s">
        <v>120</v>
      </c>
      <c r="AB1001" t="s">
        <v>120</v>
      </c>
      <c r="AC1001" t="s">
        <v>120</v>
      </c>
      <c r="AD1001" t="s">
        <v>120</v>
      </c>
      <c r="AE1001" t="s">
        <v>120</v>
      </c>
      <c r="AF1001" t="s">
        <v>120</v>
      </c>
      <c r="AG1001" t="s">
        <v>120</v>
      </c>
      <c r="AH1001" t="s">
        <v>120</v>
      </c>
      <c r="AJ1001">
        <v>0</v>
      </c>
      <c r="AK1001">
        <v>16</v>
      </c>
      <c r="AL1001">
        <v>0</v>
      </c>
      <c r="AM1001">
        <v>16</v>
      </c>
      <c r="AN1001">
        <v>0</v>
      </c>
      <c r="AO1001">
        <v>31.55</v>
      </c>
      <c r="AP1001">
        <v>16</v>
      </c>
      <c r="AQ1001">
        <v>0</v>
      </c>
      <c r="AR1001">
        <v>70.2</v>
      </c>
      <c r="AS1001">
        <v>1009.6</v>
      </c>
    </row>
    <row r="1002" spans="1:45" x14ac:dyDescent="0.25">
      <c r="A1002" t="s">
        <v>2238</v>
      </c>
      <c r="B1002" t="s">
        <v>2239</v>
      </c>
      <c r="C1002" t="s">
        <v>147</v>
      </c>
      <c r="D1002" t="s">
        <v>2229</v>
      </c>
      <c r="E1002" t="s">
        <v>120</v>
      </c>
      <c r="F1002" t="s">
        <v>120</v>
      </c>
      <c r="G1002" t="s">
        <v>120</v>
      </c>
      <c r="H1002" t="s">
        <v>120</v>
      </c>
      <c r="I1002" t="s">
        <v>341</v>
      </c>
      <c r="J1002" t="s">
        <v>120</v>
      </c>
      <c r="K1002" t="s">
        <v>120</v>
      </c>
      <c r="L1002" t="s">
        <v>135</v>
      </c>
      <c r="M1002" t="s">
        <v>120</v>
      </c>
      <c r="N1002" t="s">
        <v>120</v>
      </c>
      <c r="O1002" t="s">
        <v>120</v>
      </c>
      <c r="P1002" t="s">
        <v>120</v>
      </c>
      <c r="Q1002" t="s">
        <v>124</v>
      </c>
      <c r="R1002" t="s">
        <v>120</v>
      </c>
      <c r="S1002" t="s">
        <v>120</v>
      </c>
      <c r="T1002" t="s">
        <v>120</v>
      </c>
      <c r="U1002" t="s">
        <v>120</v>
      </c>
      <c r="V1002" t="s">
        <v>120</v>
      </c>
      <c r="W1002" t="s">
        <v>120</v>
      </c>
      <c r="X1002" t="s">
        <v>120</v>
      </c>
      <c r="Y1002" t="s">
        <v>141</v>
      </c>
      <c r="Z1002" t="s">
        <v>120</v>
      </c>
      <c r="AA1002" t="s">
        <v>120</v>
      </c>
      <c r="AB1002" t="s">
        <v>120</v>
      </c>
      <c r="AC1002" t="s">
        <v>120</v>
      </c>
      <c r="AD1002" t="s">
        <v>120</v>
      </c>
      <c r="AE1002" t="s">
        <v>120</v>
      </c>
      <c r="AF1002" t="s">
        <v>120</v>
      </c>
      <c r="AG1002" t="s">
        <v>120</v>
      </c>
      <c r="AH1002" t="s">
        <v>120</v>
      </c>
      <c r="AJ1002">
        <v>0</v>
      </c>
      <c r="AK1002">
        <v>24</v>
      </c>
      <c r="AL1002">
        <v>12</v>
      </c>
      <c r="AM1002">
        <v>12</v>
      </c>
      <c r="AN1002">
        <v>0</v>
      </c>
      <c r="AO1002">
        <v>31.55</v>
      </c>
      <c r="AP1002">
        <v>24</v>
      </c>
      <c r="AQ1002">
        <v>0</v>
      </c>
      <c r="AR1002">
        <v>70.2</v>
      </c>
      <c r="AS1002">
        <v>1514.4</v>
      </c>
    </row>
    <row r="1003" spans="1:45" x14ac:dyDescent="0.25">
      <c r="A1003" t="s">
        <v>2240</v>
      </c>
      <c r="B1003" t="s">
        <v>2241</v>
      </c>
      <c r="C1003" t="s">
        <v>147</v>
      </c>
      <c r="D1003" t="s">
        <v>2229</v>
      </c>
      <c r="E1003" t="s">
        <v>120</v>
      </c>
      <c r="F1003" t="s">
        <v>120</v>
      </c>
      <c r="G1003" t="s">
        <v>120</v>
      </c>
      <c r="H1003" t="s">
        <v>120</v>
      </c>
      <c r="I1003" t="s">
        <v>120</v>
      </c>
      <c r="J1003" t="s">
        <v>120</v>
      </c>
      <c r="K1003" t="s">
        <v>120</v>
      </c>
      <c r="L1003" t="s">
        <v>120</v>
      </c>
      <c r="M1003" t="s">
        <v>120</v>
      </c>
      <c r="N1003" t="s">
        <v>120</v>
      </c>
      <c r="O1003" t="s">
        <v>120</v>
      </c>
      <c r="P1003" t="s">
        <v>120</v>
      </c>
      <c r="Q1003" t="s">
        <v>120</v>
      </c>
      <c r="R1003" t="s">
        <v>120</v>
      </c>
      <c r="S1003" t="s">
        <v>120</v>
      </c>
      <c r="T1003" t="s">
        <v>120</v>
      </c>
      <c r="U1003" t="s">
        <v>120</v>
      </c>
      <c r="V1003" t="s">
        <v>120</v>
      </c>
      <c r="W1003" t="s">
        <v>120</v>
      </c>
      <c r="X1003" t="s">
        <v>120</v>
      </c>
      <c r="Y1003" t="s">
        <v>120</v>
      </c>
      <c r="Z1003" t="s">
        <v>120</v>
      </c>
      <c r="AA1003" t="s">
        <v>120</v>
      </c>
      <c r="AB1003" t="s">
        <v>120</v>
      </c>
      <c r="AC1003" t="s">
        <v>120</v>
      </c>
      <c r="AD1003" t="s">
        <v>120</v>
      </c>
      <c r="AE1003" t="s">
        <v>120</v>
      </c>
      <c r="AF1003" t="s">
        <v>120</v>
      </c>
      <c r="AG1003" t="s">
        <v>120</v>
      </c>
      <c r="AH1003" t="s">
        <v>120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28.25</v>
      </c>
      <c r="AP1003">
        <v>0</v>
      </c>
      <c r="AQ1003">
        <v>0</v>
      </c>
      <c r="AR1003">
        <v>70.2</v>
      </c>
      <c r="AS1003">
        <v>0</v>
      </c>
    </row>
    <row r="1004" spans="1:45" x14ac:dyDescent="0.25">
      <c r="A1004" t="s">
        <v>2242</v>
      </c>
      <c r="B1004" t="s">
        <v>2243</v>
      </c>
      <c r="C1004" t="s">
        <v>147</v>
      </c>
      <c r="D1004" t="s">
        <v>2229</v>
      </c>
      <c r="E1004" t="s">
        <v>285</v>
      </c>
      <c r="F1004" t="s">
        <v>141</v>
      </c>
      <c r="G1004" t="s">
        <v>141</v>
      </c>
      <c r="H1004" t="s">
        <v>120</v>
      </c>
      <c r="I1004" t="s">
        <v>120</v>
      </c>
      <c r="J1004" t="s">
        <v>120</v>
      </c>
      <c r="K1004" t="s">
        <v>120</v>
      </c>
      <c r="L1004" t="s">
        <v>120</v>
      </c>
      <c r="M1004" t="s">
        <v>120</v>
      </c>
      <c r="N1004" t="s">
        <v>120</v>
      </c>
      <c r="O1004" t="s">
        <v>120</v>
      </c>
      <c r="P1004" t="s">
        <v>120</v>
      </c>
      <c r="Q1004" t="s">
        <v>120</v>
      </c>
      <c r="R1004" t="s">
        <v>141</v>
      </c>
      <c r="S1004" t="s">
        <v>141</v>
      </c>
      <c r="T1004" t="s">
        <v>120</v>
      </c>
      <c r="U1004" t="s">
        <v>120</v>
      </c>
      <c r="V1004" t="s">
        <v>120</v>
      </c>
      <c r="W1004" t="s">
        <v>120</v>
      </c>
      <c r="X1004" t="s">
        <v>120</v>
      </c>
      <c r="Y1004" t="s">
        <v>120</v>
      </c>
      <c r="Z1004" t="s">
        <v>120</v>
      </c>
      <c r="AA1004" t="s">
        <v>120</v>
      </c>
      <c r="AB1004" t="s">
        <v>120</v>
      </c>
      <c r="AC1004" t="s">
        <v>120</v>
      </c>
      <c r="AD1004" t="s">
        <v>120</v>
      </c>
      <c r="AE1004" t="s">
        <v>120</v>
      </c>
      <c r="AF1004" t="s">
        <v>120</v>
      </c>
      <c r="AG1004" t="s">
        <v>120</v>
      </c>
      <c r="AH1004" t="s">
        <v>120</v>
      </c>
      <c r="AJ1004">
        <v>0</v>
      </c>
      <c r="AK1004">
        <v>39</v>
      </c>
      <c r="AL1004">
        <v>32</v>
      </c>
      <c r="AM1004">
        <v>0</v>
      </c>
      <c r="AN1004">
        <v>7</v>
      </c>
      <c r="AO1004">
        <v>31.55</v>
      </c>
      <c r="AP1004">
        <v>32</v>
      </c>
      <c r="AQ1004">
        <v>491.40000000000003</v>
      </c>
      <c r="AR1004">
        <v>70.2</v>
      </c>
      <c r="AS1004">
        <v>2019.2</v>
      </c>
    </row>
    <row r="1005" spans="1:45" x14ac:dyDescent="0.25">
      <c r="A1005" t="s">
        <v>2244</v>
      </c>
      <c r="B1005" t="s">
        <v>2245</v>
      </c>
      <c r="C1005" t="s">
        <v>147</v>
      </c>
      <c r="D1005" t="s">
        <v>2229</v>
      </c>
      <c r="E1005" t="s">
        <v>120</v>
      </c>
      <c r="F1005" t="s">
        <v>120</v>
      </c>
      <c r="G1005" t="s">
        <v>120</v>
      </c>
      <c r="H1005" t="s">
        <v>120</v>
      </c>
      <c r="I1005" t="s">
        <v>120</v>
      </c>
      <c r="J1005" t="s">
        <v>120</v>
      </c>
      <c r="K1005" t="s">
        <v>120</v>
      </c>
      <c r="L1005" t="s">
        <v>120</v>
      </c>
      <c r="M1005" t="s">
        <v>120</v>
      </c>
      <c r="N1005" t="s">
        <v>120</v>
      </c>
      <c r="O1005" t="s">
        <v>120</v>
      </c>
      <c r="P1005" t="s">
        <v>120</v>
      </c>
      <c r="Q1005" t="s">
        <v>120</v>
      </c>
      <c r="R1005" t="s">
        <v>120</v>
      </c>
      <c r="S1005" t="s">
        <v>120</v>
      </c>
      <c r="T1005" t="s">
        <v>120</v>
      </c>
      <c r="U1005" t="s">
        <v>120</v>
      </c>
      <c r="V1005" t="s">
        <v>120</v>
      </c>
      <c r="W1005" t="s">
        <v>120</v>
      </c>
      <c r="X1005" t="s">
        <v>120</v>
      </c>
      <c r="Y1005" t="s">
        <v>141</v>
      </c>
      <c r="Z1005" t="s">
        <v>120</v>
      </c>
      <c r="AA1005" t="s">
        <v>120</v>
      </c>
      <c r="AB1005" t="s">
        <v>120</v>
      </c>
      <c r="AC1005" t="s">
        <v>120</v>
      </c>
      <c r="AD1005" t="s">
        <v>120</v>
      </c>
      <c r="AE1005" t="s">
        <v>120</v>
      </c>
      <c r="AF1005" t="s">
        <v>120</v>
      </c>
      <c r="AG1005" t="s">
        <v>120</v>
      </c>
      <c r="AH1005" t="s">
        <v>120</v>
      </c>
      <c r="AJ1005">
        <v>0</v>
      </c>
      <c r="AK1005">
        <v>8</v>
      </c>
      <c r="AL1005">
        <v>8</v>
      </c>
      <c r="AM1005">
        <v>0</v>
      </c>
      <c r="AN1005">
        <v>0</v>
      </c>
      <c r="AO1005">
        <v>31.55</v>
      </c>
      <c r="AP1005">
        <v>8</v>
      </c>
      <c r="AQ1005">
        <v>0</v>
      </c>
      <c r="AR1005">
        <v>70.2</v>
      </c>
      <c r="AS1005">
        <v>504.8</v>
      </c>
    </row>
    <row r="1006" spans="1:45" x14ac:dyDescent="0.25">
      <c r="A1006" t="s">
        <v>2246</v>
      </c>
      <c r="B1006" t="s">
        <v>2247</v>
      </c>
      <c r="C1006" t="s">
        <v>147</v>
      </c>
      <c r="D1006" t="s">
        <v>2229</v>
      </c>
      <c r="E1006" t="s">
        <v>120</v>
      </c>
      <c r="F1006" t="s">
        <v>120</v>
      </c>
      <c r="G1006" t="s">
        <v>120</v>
      </c>
      <c r="H1006" t="s">
        <v>120</v>
      </c>
      <c r="I1006" t="s">
        <v>120</v>
      </c>
      <c r="J1006" t="s">
        <v>120</v>
      </c>
      <c r="K1006" t="s">
        <v>120</v>
      </c>
      <c r="L1006" t="s">
        <v>120</v>
      </c>
      <c r="M1006" t="s">
        <v>120</v>
      </c>
      <c r="N1006" t="s">
        <v>120</v>
      </c>
      <c r="O1006" t="s">
        <v>120</v>
      </c>
      <c r="P1006" t="s">
        <v>120</v>
      </c>
      <c r="Q1006" t="s">
        <v>120</v>
      </c>
      <c r="R1006" t="s">
        <v>120</v>
      </c>
      <c r="S1006" t="s">
        <v>120</v>
      </c>
      <c r="T1006" t="s">
        <v>120</v>
      </c>
      <c r="U1006" t="s">
        <v>120</v>
      </c>
      <c r="V1006" t="s">
        <v>120</v>
      </c>
      <c r="W1006" t="s">
        <v>120</v>
      </c>
      <c r="X1006" t="s">
        <v>120</v>
      </c>
      <c r="Y1006" t="s">
        <v>120</v>
      </c>
      <c r="Z1006" t="s">
        <v>120</v>
      </c>
      <c r="AA1006" t="s">
        <v>120</v>
      </c>
      <c r="AB1006" t="s">
        <v>120</v>
      </c>
      <c r="AC1006" t="s">
        <v>120</v>
      </c>
      <c r="AD1006" t="s">
        <v>120</v>
      </c>
      <c r="AE1006" t="s">
        <v>120</v>
      </c>
      <c r="AF1006" t="s">
        <v>120</v>
      </c>
      <c r="AG1006" t="s">
        <v>120</v>
      </c>
      <c r="AH1006" t="s">
        <v>120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28.25</v>
      </c>
      <c r="AP1006">
        <v>0</v>
      </c>
      <c r="AQ1006">
        <v>0</v>
      </c>
      <c r="AR1006">
        <v>70.2</v>
      </c>
      <c r="AS1006">
        <v>0</v>
      </c>
    </row>
    <row r="1007" spans="1:45" x14ac:dyDescent="0.25">
      <c r="A1007" t="s">
        <v>2248</v>
      </c>
      <c r="B1007" t="s">
        <v>2249</v>
      </c>
      <c r="C1007" t="s">
        <v>147</v>
      </c>
      <c r="D1007" t="s">
        <v>2229</v>
      </c>
      <c r="E1007" t="s">
        <v>120</v>
      </c>
      <c r="F1007" t="s">
        <v>120</v>
      </c>
      <c r="G1007" t="s">
        <v>120</v>
      </c>
      <c r="H1007" t="s">
        <v>120</v>
      </c>
      <c r="I1007" t="s">
        <v>120</v>
      </c>
      <c r="J1007" t="s">
        <v>120</v>
      </c>
      <c r="K1007" t="s">
        <v>120</v>
      </c>
      <c r="L1007" t="s">
        <v>120</v>
      </c>
      <c r="M1007" t="s">
        <v>120</v>
      </c>
      <c r="N1007" t="s">
        <v>120</v>
      </c>
      <c r="O1007" t="s">
        <v>120</v>
      </c>
      <c r="P1007" t="s">
        <v>120</v>
      </c>
      <c r="Q1007" t="s">
        <v>120</v>
      </c>
      <c r="R1007" t="s">
        <v>120</v>
      </c>
      <c r="S1007" t="s">
        <v>120</v>
      </c>
      <c r="T1007" t="s">
        <v>120</v>
      </c>
      <c r="U1007" t="s">
        <v>120</v>
      </c>
      <c r="V1007" t="s">
        <v>120</v>
      </c>
      <c r="W1007" t="s">
        <v>120</v>
      </c>
      <c r="X1007" t="s">
        <v>120</v>
      </c>
      <c r="Y1007" t="s">
        <v>120</v>
      </c>
      <c r="Z1007" t="s">
        <v>120</v>
      </c>
      <c r="AA1007" t="s">
        <v>120</v>
      </c>
      <c r="AB1007" t="s">
        <v>120</v>
      </c>
      <c r="AC1007" t="s">
        <v>120</v>
      </c>
      <c r="AD1007" t="s">
        <v>120</v>
      </c>
      <c r="AE1007" t="s">
        <v>120</v>
      </c>
      <c r="AF1007" t="s">
        <v>120</v>
      </c>
      <c r="AG1007" t="s">
        <v>120</v>
      </c>
      <c r="AH1007" t="s">
        <v>120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31.55</v>
      </c>
      <c r="AP1007">
        <v>0</v>
      </c>
      <c r="AQ1007">
        <v>0</v>
      </c>
      <c r="AR1007">
        <v>70.2</v>
      </c>
      <c r="AS1007">
        <v>0</v>
      </c>
    </row>
    <row r="1008" spans="1:45" x14ac:dyDescent="0.25">
      <c r="A1008" t="s">
        <v>2250</v>
      </c>
      <c r="B1008" t="s">
        <v>2251</v>
      </c>
      <c r="C1008" t="s">
        <v>147</v>
      </c>
      <c r="D1008" t="s">
        <v>2229</v>
      </c>
      <c r="E1008" t="s">
        <v>120</v>
      </c>
      <c r="F1008" t="s">
        <v>120</v>
      </c>
      <c r="G1008" t="s">
        <v>120</v>
      </c>
      <c r="H1008" t="s">
        <v>120</v>
      </c>
      <c r="I1008" t="s">
        <v>120</v>
      </c>
      <c r="J1008" t="s">
        <v>120</v>
      </c>
      <c r="K1008" t="s">
        <v>120</v>
      </c>
      <c r="L1008" t="s">
        <v>120</v>
      </c>
      <c r="M1008" t="s">
        <v>120</v>
      </c>
      <c r="N1008" t="s">
        <v>120</v>
      </c>
      <c r="O1008" t="s">
        <v>120</v>
      </c>
      <c r="P1008" t="s">
        <v>120</v>
      </c>
      <c r="Q1008" t="s">
        <v>120</v>
      </c>
      <c r="R1008" t="s">
        <v>120</v>
      </c>
      <c r="S1008" t="s">
        <v>120</v>
      </c>
      <c r="T1008" t="s">
        <v>120</v>
      </c>
      <c r="U1008" t="s">
        <v>120</v>
      </c>
      <c r="V1008" t="s">
        <v>120</v>
      </c>
      <c r="W1008" t="s">
        <v>120</v>
      </c>
      <c r="X1008" t="s">
        <v>120</v>
      </c>
      <c r="Y1008" t="s">
        <v>120</v>
      </c>
      <c r="Z1008" t="s">
        <v>120</v>
      </c>
      <c r="AA1008" t="s">
        <v>120</v>
      </c>
      <c r="AB1008" t="s">
        <v>120</v>
      </c>
      <c r="AC1008" t="s">
        <v>120</v>
      </c>
      <c r="AD1008" t="s">
        <v>120</v>
      </c>
      <c r="AE1008" t="s">
        <v>120</v>
      </c>
      <c r="AF1008" t="s">
        <v>120</v>
      </c>
      <c r="AG1008" t="s">
        <v>120</v>
      </c>
      <c r="AH1008" t="s">
        <v>120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31.55</v>
      </c>
      <c r="AP1008">
        <v>0</v>
      </c>
      <c r="AQ1008">
        <v>0</v>
      </c>
      <c r="AR1008">
        <v>70.2</v>
      </c>
      <c r="AS1008">
        <v>0</v>
      </c>
    </row>
    <row r="1009" spans="1:45" x14ac:dyDescent="0.25">
      <c r="A1009" t="s">
        <v>2252</v>
      </c>
      <c r="B1009" t="s">
        <v>2253</v>
      </c>
      <c r="C1009" t="s">
        <v>147</v>
      </c>
      <c r="D1009" t="s">
        <v>2229</v>
      </c>
      <c r="E1009" t="s">
        <v>285</v>
      </c>
      <c r="F1009" t="s">
        <v>120</v>
      </c>
      <c r="G1009" t="s">
        <v>120</v>
      </c>
      <c r="H1009" t="s">
        <v>120</v>
      </c>
      <c r="I1009" t="s">
        <v>120</v>
      </c>
      <c r="J1009" t="s">
        <v>120</v>
      </c>
      <c r="K1009" t="s">
        <v>120</v>
      </c>
      <c r="L1009" t="s">
        <v>120</v>
      </c>
      <c r="M1009" t="s">
        <v>120</v>
      </c>
      <c r="N1009" t="s">
        <v>120</v>
      </c>
      <c r="O1009" t="s">
        <v>120</v>
      </c>
      <c r="P1009" t="s">
        <v>120</v>
      </c>
      <c r="Q1009" t="s">
        <v>120</v>
      </c>
      <c r="R1009" t="s">
        <v>120</v>
      </c>
      <c r="S1009" t="s">
        <v>120</v>
      </c>
      <c r="T1009" t="s">
        <v>120</v>
      </c>
      <c r="U1009" t="s">
        <v>120</v>
      </c>
      <c r="V1009" t="s">
        <v>120</v>
      </c>
      <c r="W1009" t="s">
        <v>120</v>
      </c>
      <c r="X1009" t="s">
        <v>120</v>
      </c>
      <c r="Y1009" t="s">
        <v>120</v>
      </c>
      <c r="Z1009" t="s">
        <v>120</v>
      </c>
      <c r="AA1009" t="s">
        <v>120</v>
      </c>
      <c r="AB1009" t="s">
        <v>120</v>
      </c>
      <c r="AC1009" t="s">
        <v>120</v>
      </c>
      <c r="AD1009" t="s">
        <v>120</v>
      </c>
      <c r="AE1009" t="s">
        <v>120</v>
      </c>
      <c r="AF1009" t="s">
        <v>120</v>
      </c>
      <c r="AG1009" t="s">
        <v>120</v>
      </c>
      <c r="AH1009" t="s">
        <v>120</v>
      </c>
      <c r="AJ1009">
        <v>0</v>
      </c>
      <c r="AK1009">
        <v>7</v>
      </c>
      <c r="AL1009">
        <v>0</v>
      </c>
      <c r="AM1009">
        <v>0</v>
      </c>
      <c r="AN1009">
        <v>7</v>
      </c>
      <c r="AO1009">
        <v>31.55</v>
      </c>
      <c r="AP1009">
        <v>0</v>
      </c>
      <c r="AQ1009">
        <v>491.40000000000003</v>
      </c>
      <c r="AR1009">
        <v>70.2</v>
      </c>
      <c r="AS1009">
        <v>0</v>
      </c>
    </row>
    <row r="1010" spans="1:45" x14ac:dyDescent="0.25">
      <c r="A1010" t="s">
        <v>2254</v>
      </c>
      <c r="B1010" t="s">
        <v>2255</v>
      </c>
      <c r="C1010" t="s">
        <v>147</v>
      </c>
      <c r="D1010" t="s">
        <v>2229</v>
      </c>
      <c r="E1010" t="s">
        <v>120</v>
      </c>
      <c r="F1010" t="s">
        <v>120</v>
      </c>
      <c r="G1010" t="s">
        <v>120</v>
      </c>
      <c r="H1010" t="s">
        <v>120</v>
      </c>
      <c r="I1010" t="s">
        <v>120</v>
      </c>
      <c r="J1010" t="s">
        <v>120</v>
      </c>
      <c r="K1010" t="s">
        <v>120</v>
      </c>
      <c r="L1010" t="s">
        <v>120</v>
      </c>
      <c r="M1010" t="s">
        <v>120</v>
      </c>
      <c r="N1010" t="s">
        <v>120</v>
      </c>
      <c r="O1010" t="s">
        <v>120</v>
      </c>
      <c r="P1010" t="s">
        <v>120</v>
      </c>
      <c r="Q1010" t="s">
        <v>120</v>
      </c>
      <c r="R1010" t="s">
        <v>120</v>
      </c>
      <c r="S1010" t="s">
        <v>120</v>
      </c>
      <c r="T1010" t="s">
        <v>120</v>
      </c>
      <c r="U1010" t="s">
        <v>120</v>
      </c>
      <c r="V1010" t="s">
        <v>120</v>
      </c>
      <c r="W1010" t="s">
        <v>120</v>
      </c>
      <c r="X1010" t="s">
        <v>120</v>
      </c>
      <c r="Y1010" t="s">
        <v>120</v>
      </c>
      <c r="Z1010" t="s">
        <v>120</v>
      </c>
      <c r="AA1010" t="s">
        <v>120</v>
      </c>
      <c r="AB1010" t="s">
        <v>120</v>
      </c>
      <c r="AC1010" t="s">
        <v>120</v>
      </c>
      <c r="AD1010" t="s">
        <v>120</v>
      </c>
      <c r="AE1010" t="s">
        <v>120</v>
      </c>
      <c r="AF1010" t="s">
        <v>120</v>
      </c>
      <c r="AG1010" t="s">
        <v>120</v>
      </c>
      <c r="AH1010" t="s">
        <v>120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31.55</v>
      </c>
      <c r="AP1010">
        <v>0</v>
      </c>
      <c r="AQ1010">
        <v>0</v>
      </c>
      <c r="AR1010">
        <v>70.2</v>
      </c>
      <c r="AS1010">
        <v>0</v>
      </c>
    </row>
    <row r="1011" spans="1:45" x14ac:dyDescent="0.25">
      <c r="A1011" t="s">
        <v>2256</v>
      </c>
      <c r="B1011" t="s">
        <v>2257</v>
      </c>
      <c r="C1011" t="s">
        <v>147</v>
      </c>
      <c r="D1011" t="s">
        <v>2229</v>
      </c>
      <c r="E1011" t="s">
        <v>120</v>
      </c>
      <c r="F1011" t="s">
        <v>120</v>
      </c>
      <c r="G1011" t="s">
        <v>120</v>
      </c>
      <c r="H1011" t="s">
        <v>120</v>
      </c>
      <c r="I1011" t="s">
        <v>120</v>
      </c>
      <c r="J1011" t="s">
        <v>120</v>
      </c>
      <c r="K1011" t="s">
        <v>120</v>
      </c>
      <c r="L1011" t="s">
        <v>120</v>
      </c>
      <c r="M1011" t="s">
        <v>120</v>
      </c>
      <c r="N1011" t="s">
        <v>120</v>
      </c>
      <c r="O1011" t="s">
        <v>120</v>
      </c>
      <c r="P1011" t="s">
        <v>120</v>
      </c>
      <c r="Q1011" t="s">
        <v>120</v>
      </c>
      <c r="R1011" t="s">
        <v>120</v>
      </c>
      <c r="S1011" t="s">
        <v>120</v>
      </c>
      <c r="T1011" t="s">
        <v>120</v>
      </c>
      <c r="U1011" t="s">
        <v>120</v>
      </c>
      <c r="V1011" t="s">
        <v>120</v>
      </c>
      <c r="W1011" t="s">
        <v>120</v>
      </c>
      <c r="X1011" t="s">
        <v>120</v>
      </c>
      <c r="Y1011" t="s">
        <v>120</v>
      </c>
      <c r="Z1011" t="s">
        <v>120</v>
      </c>
      <c r="AA1011" t="s">
        <v>120</v>
      </c>
      <c r="AB1011" t="s">
        <v>120</v>
      </c>
      <c r="AC1011" t="s">
        <v>120</v>
      </c>
      <c r="AD1011" t="s">
        <v>120</v>
      </c>
      <c r="AE1011" t="s">
        <v>120</v>
      </c>
      <c r="AF1011" t="s">
        <v>120</v>
      </c>
      <c r="AG1011" t="s">
        <v>120</v>
      </c>
      <c r="AH1011" t="s">
        <v>120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31.55</v>
      </c>
      <c r="AP1011">
        <v>0</v>
      </c>
      <c r="AQ1011">
        <v>0</v>
      </c>
      <c r="AR1011">
        <v>70.2</v>
      </c>
      <c r="AS1011">
        <v>0</v>
      </c>
    </row>
    <row r="1012" spans="1:45" x14ac:dyDescent="0.25">
      <c r="A1012" t="s">
        <v>2258</v>
      </c>
      <c r="B1012" t="s">
        <v>2259</v>
      </c>
      <c r="C1012" t="s">
        <v>147</v>
      </c>
      <c r="D1012" t="s">
        <v>2229</v>
      </c>
      <c r="E1012" t="s">
        <v>120</v>
      </c>
      <c r="F1012" t="s">
        <v>120</v>
      </c>
      <c r="G1012" t="s">
        <v>120</v>
      </c>
      <c r="H1012" t="s">
        <v>120</v>
      </c>
      <c r="I1012" t="s">
        <v>120</v>
      </c>
      <c r="J1012" t="s">
        <v>120</v>
      </c>
      <c r="K1012" t="s">
        <v>120</v>
      </c>
      <c r="L1012" t="s">
        <v>120</v>
      </c>
      <c r="M1012" t="s">
        <v>120</v>
      </c>
      <c r="N1012" t="s">
        <v>120</v>
      </c>
      <c r="O1012" t="s">
        <v>120</v>
      </c>
      <c r="P1012" t="s">
        <v>120</v>
      </c>
      <c r="Q1012" t="s">
        <v>120</v>
      </c>
      <c r="R1012" t="s">
        <v>120</v>
      </c>
      <c r="S1012" t="s">
        <v>120</v>
      </c>
      <c r="T1012" t="s">
        <v>120</v>
      </c>
      <c r="U1012" t="s">
        <v>120</v>
      </c>
      <c r="V1012" t="s">
        <v>120</v>
      </c>
      <c r="W1012" t="s">
        <v>120</v>
      </c>
      <c r="X1012" t="s">
        <v>120</v>
      </c>
      <c r="Y1012" t="s">
        <v>120</v>
      </c>
      <c r="Z1012" t="s">
        <v>120</v>
      </c>
      <c r="AA1012" t="s">
        <v>120</v>
      </c>
      <c r="AB1012" t="s">
        <v>120</v>
      </c>
      <c r="AC1012" t="s">
        <v>120</v>
      </c>
      <c r="AD1012" t="s">
        <v>120</v>
      </c>
      <c r="AE1012" t="s">
        <v>120</v>
      </c>
      <c r="AF1012" t="s">
        <v>120</v>
      </c>
      <c r="AG1012" t="s">
        <v>120</v>
      </c>
      <c r="AH1012" t="s">
        <v>120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31.55</v>
      </c>
      <c r="AP1012">
        <v>0</v>
      </c>
      <c r="AQ1012">
        <v>0</v>
      </c>
      <c r="AR1012">
        <v>70.2</v>
      </c>
      <c r="AS1012">
        <v>0</v>
      </c>
    </row>
    <row r="1013" spans="1:45" x14ac:dyDescent="0.25">
      <c r="A1013" t="s">
        <v>2260</v>
      </c>
      <c r="B1013" t="s">
        <v>2261</v>
      </c>
      <c r="C1013" t="s">
        <v>147</v>
      </c>
      <c r="D1013" t="s">
        <v>2229</v>
      </c>
      <c r="E1013" t="s">
        <v>120</v>
      </c>
      <c r="F1013" t="s">
        <v>120</v>
      </c>
      <c r="G1013" t="s">
        <v>120</v>
      </c>
      <c r="H1013" t="s">
        <v>120</v>
      </c>
      <c r="I1013" t="s">
        <v>120</v>
      </c>
      <c r="J1013" t="s">
        <v>120</v>
      </c>
      <c r="K1013" t="s">
        <v>120</v>
      </c>
      <c r="L1013" t="s">
        <v>141</v>
      </c>
      <c r="M1013" t="s">
        <v>120</v>
      </c>
      <c r="N1013" t="s">
        <v>120</v>
      </c>
      <c r="O1013" t="s">
        <v>120</v>
      </c>
      <c r="P1013" t="s">
        <v>120</v>
      </c>
      <c r="Q1013" t="s">
        <v>120</v>
      </c>
      <c r="R1013" t="s">
        <v>135</v>
      </c>
      <c r="S1013" t="s">
        <v>135</v>
      </c>
      <c r="T1013" t="s">
        <v>120</v>
      </c>
      <c r="U1013" t="s">
        <v>120</v>
      </c>
      <c r="V1013" t="s">
        <v>120</v>
      </c>
      <c r="W1013" t="s">
        <v>120</v>
      </c>
      <c r="X1013" t="s">
        <v>120</v>
      </c>
      <c r="Y1013" t="s">
        <v>120</v>
      </c>
      <c r="Z1013" t="s">
        <v>120</v>
      </c>
      <c r="AA1013" t="s">
        <v>120</v>
      </c>
      <c r="AB1013" t="s">
        <v>120</v>
      </c>
      <c r="AC1013" t="s">
        <v>120</v>
      </c>
      <c r="AD1013" t="s">
        <v>120</v>
      </c>
      <c r="AE1013" t="s">
        <v>120</v>
      </c>
      <c r="AF1013" t="s">
        <v>120</v>
      </c>
      <c r="AG1013" t="s">
        <v>120</v>
      </c>
      <c r="AH1013" t="s">
        <v>120</v>
      </c>
      <c r="AJ1013">
        <v>0</v>
      </c>
      <c r="AK1013">
        <v>24</v>
      </c>
      <c r="AL1013">
        <v>8</v>
      </c>
      <c r="AM1013">
        <v>16</v>
      </c>
      <c r="AN1013">
        <v>0</v>
      </c>
      <c r="AO1013">
        <v>31.55</v>
      </c>
      <c r="AP1013">
        <v>24</v>
      </c>
      <c r="AQ1013">
        <v>0</v>
      </c>
      <c r="AR1013">
        <v>70.2</v>
      </c>
      <c r="AS1013">
        <v>1514.4</v>
      </c>
    </row>
    <row r="1014" spans="1:45" x14ac:dyDescent="0.25">
      <c r="A1014" t="s">
        <v>2262</v>
      </c>
      <c r="B1014" t="s">
        <v>2263</v>
      </c>
      <c r="C1014" t="s">
        <v>147</v>
      </c>
      <c r="D1014" t="s">
        <v>2229</v>
      </c>
      <c r="E1014" t="s">
        <v>120</v>
      </c>
      <c r="F1014" t="s">
        <v>120</v>
      </c>
      <c r="G1014" t="s">
        <v>120</v>
      </c>
      <c r="H1014" t="s">
        <v>120</v>
      </c>
      <c r="I1014" t="s">
        <v>120</v>
      </c>
      <c r="J1014" t="s">
        <v>120</v>
      </c>
      <c r="K1014" t="s">
        <v>120</v>
      </c>
      <c r="L1014" t="s">
        <v>120</v>
      </c>
      <c r="M1014" t="s">
        <v>120</v>
      </c>
      <c r="N1014" t="s">
        <v>120</v>
      </c>
      <c r="O1014" t="s">
        <v>120</v>
      </c>
      <c r="P1014" t="s">
        <v>120</v>
      </c>
      <c r="Q1014" t="s">
        <v>124</v>
      </c>
      <c r="R1014" t="s">
        <v>120</v>
      </c>
      <c r="S1014" t="s">
        <v>120</v>
      </c>
      <c r="T1014" t="s">
        <v>120</v>
      </c>
      <c r="U1014" t="s">
        <v>120</v>
      </c>
      <c r="V1014" t="s">
        <v>120</v>
      </c>
      <c r="W1014" t="s">
        <v>120</v>
      </c>
      <c r="X1014" t="s">
        <v>120</v>
      </c>
      <c r="Y1014" t="s">
        <v>120</v>
      </c>
      <c r="Z1014" t="s">
        <v>120</v>
      </c>
      <c r="AA1014" t="s">
        <v>120</v>
      </c>
      <c r="AB1014" t="s">
        <v>120</v>
      </c>
      <c r="AC1014" t="s">
        <v>120</v>
      </c>
      <c r="AD1014" t="s">
        <v>120</v>
      </c>
      <c r="AE1014" t="s">
        <v>120</v>
      </c>
      <c r="AF1014" t="s">
        <v>120</v>
      </c>
      <c r="AG1014" t="s">
        <v>120</v>
      </c>
      <c r="AH1014" t="s">
        <v>120</v>
      </c>
      <c r="AJ1014">
        <v>0</v>
      </c>
      <c r="AK1014">
        <v>4</v>
      </c>
      <c r="AL1014">
        <v>0</v>
      </c>
      <c r="AM1014">
        <v>4</v>
      </c>
      <c r="AN1014">
        <v>0</v>
      </c>
      <c r="AO1014">
        <v>31.55</v>
      </c>
      <c r="AP1014">
        <v>4</v>
      </c>
      <c r="AQ1014">
        <v>0</v>
      </c>
      <c r="AR1014">
        <v>70.2</v>
      </c>
      <c r="AS1014">
        <v>252.4</v>
      </c>
    </row>
    <row r="1015" spans="1:45" x14ac:dyDescent="0.25">
      <c r="A1015" t="s">
        <v>2264</v>
      </c>
      <c r="B1015" t="s">
        <v>2265</v>
      </c>
      <c r="C1015" t="s">
        <v>127</v>
      </c>
      <c r="D1015" t="s">
        <v>2229</v>
      </c>
      <c r="E1015" t="s">
        <v>120</v>
      </c>
      <c r="F1015" t="s">
        <v>120</v>
      </c>
      <c r="G1015" t="s">
        <v>120</v>
      </c>
      <c r="H1015" t="s">
        <v>120</v>
      </c>
      <c r="I1015" t="s">
        <v>120</v>
      </c>
      <c r="J1015" t="s">
        <v>120</v>
      </c>
      <c r="K1015" t="s">
        <v>120</v>
      </c>
      <c r="L1015" t="s">
        <v>120</v>
      </c>
      <c r="M1015" t="s">
        <v>120</v>
      </c>
      <c r="N1015" t="s">
        <v>120</v>
      </c>
      <c r="O1015" t="s">
        <v>120</v>
      </c>
      <c r="P1015" t="s">
        <v>120</v>
      </c>
      <c r="Q1015" t="s">
        <v>120</v>
      </c>
      <c r="R1015" t="s">
        <v>120</v>
      </c>
      <c r="S1015" t="s">
        <v>120</v>
      </c>
      <c r="T1015" t="s">
        <v>120</v>
      </c>
      <c r="U1015" t="s">
        <v>120</v>
      </c>
      <c r="V1015" t="s">
        <v>120</v>
      </c>
      <c r="W1015" t="s">
        <v>120</v>
      </c>
      <c r="X1015" t="s">
        <v>120</v>
      </c>
      <c r="Y1015" t="s">
        <v>120</v>
      </c>
      <c r="Z1015" t="s">
        <v>120</v>
      </c>
      <c r="AA1015" t="s">
        <v>120</v>
      </c>
      <c r="AB1015" t="s">
        <v>120</v>
      </c>
      <c r="AC1015" t="s">
        <v>120</v>
      </c>
      <c r="AD1015" t="s">
        <v>120</v>
      </c>
      <c r="AE1015" t="s">
        <v>120</v>
      </c>
      <c r="AF1015" t="s">
        <v>120</v>
      </c>
      <c r="AG1015" t="s">
        <v>120</v>
      </c>
      <c r="AH1015" t="s">
        <v>120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33.43</v>
      </c>
      <c r="AP1015">
        <v>0</v>
      </c>
      <c r="AQ1015">
        <v>0</v>
      </c>
      <c r="AR1015">
        <v>75.06</v>
      </c>
      <c r="AS1015">
        <v>0</v>
      </c>
    </row>
    <row r="1016" spans="1:45" x14ac:dyDescent="0.25">
      <c r="A1016" t="s">
        <v>2266</v>
      </c>
      <c r="B1016" t="s">
        <v>2267</v>
      </c>
      <c r="C1016" t="s">
        <v>147</v>
      </c>
      <c r="D1016" t="s">
        <v>2229</v>
      </c>
      <c r="E1016" t="s">
        <v>120</v>
      </c>
      <c r="F1016" t="s">
        <v>120</v>
      </c>
      <c r="G1016" t="s">
        <v>120</v>
      </c>
      <c r="H1016" t="s">
        <v>120</v>
      </c>
      <c r="I1016" t="s">
        <v>120</v>
      </c>
      <c r="J1016" t="s">
        <v>120</v>
      </c>
      <c r="K1016" t="s">
        <v>120</v>
      </c>
      <c r="L1016" t="s">
        <v>120</v>
      </c>
      <c r="M1016" t="s">
        <v>120</v>
      </c>
      <c r="N1016" t="s">
        <v>120</v>
      </c>
      <c r="O1016" t="s">
        <v>120</v>
      </c>
      <c r="P1016" t="s">
        <v>120</v>
      </c>
      <c r="Q1016" t="s">
        <v>120</v>
      </c>
      <c r="R1016" t="s">
        <v>120</v>
      </c>
      <c r="S1016" t="s">
        <v>120</v>
      </c>
      <c r="T1016" t="s">
        <v>120</v>
      </c>
      <c r="U1016" t="s">
        <v>120</v>
      </c>
      <c r="V1016" t="s">
        <v>120</v>
      </c>
      <c r="W1016" t="s">
        <v>120</v>
      </c>
      <c r="X1016" t="s">
        <v>120</v>
      </c>
      <c r="Y1016" t="s">
        <v>120</v>
      </c>
      <c r="Z1016" t="s">
        <v>120</v>
      </c>
      <c r="AA1016" t="s">
        <v>120</v>
      </c>
      <c r="AB1016" t="s">
        <v>120</v>
      </c>
      <c r="AC1016" t="s">
        <v>120</v>
      </c>
      <c r="AD1016" t="s">
        <v>120</v>
      </c>
      <c r="AE1016" t="s">
        <v>120</v>
      </c>
      <c r="AF1016" t="s">
        <v>120</v>
      </c>
      <c r="AG1016" t="s">
        <v>120</v>
      </c>
      <c r="AH1016" t="s">
        <v>120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31.55</v>
      </c>
      <c r="AP1016">
        <v>0</v>
      </c>
      <c r="AQ1016">
        <v>0</v>
      </c>
      <c r="AR1016">
        <v>70.2</v>
      </c>
      <c r="AS1016">
        <v>0</v>
      </c>
    </row>
    <row r="1017" spans="1:45" x14ac:dyDescent="0.25">
      <c r="A1017" t="s">
        <v>2268</v>
      </c>
      <c r="B1017" t="s">
        <v>2269</v>
      </c>
      <c r="C1017" t="s">
        <v>147</v>
      </c>
      <c r="D1017" t="s">
        <v>2229</v>
      </c>
      <c r="E1017" t="s">
        <v>120</v>
      </c>
      <c r="F1017" t="s">
        <v>120</v>
      </c>
      <c r="G1017" t="s">
        <v>120</v>
      </c>
      <c r="H1017" t="s">
        <v>120</v>
      </c>
      <c r="I1017" t="s">
        <v>120</v>
      </c>
      <c r="J1017" t="s">
        <v>120</v>
      </c>
      <c r="K1017" t="s">
        <v>120</v>
      </c>
      <c r="L1017" t="s">
        <v>120</v>
      </c>
      <c r="M1017" t="s">
        <v>120</v>
      </c>
      <c r="N1017" t="s">
        <v>120</v>
      </c>
      <c r="O1017" t="s">
        <v>120</v>
      </c>
      <c r="P1017" t="s">
        <v>120</v>
      </c>
      <c r="Q1017" t="s">
        <v>120</v>
      </c>
      <c r="R1017" t="s">
        <v>120</v>
      </c>
      <c r="S1017" t="s">
        <v>120</v>
      </c>
      <c r="T1017" t="s">
        <v>120</v>
      </c>
      <c r="U1017" t="s">
        <v>120</v>
      </c>
      <c r="V1017" t="s">
        <v>120</v>
      </c>
      <c r="W1017" t="s">
        <v>120</v>
      </c>
      <c r="X1017" t="s">
        <v>120</v>
      </c>
      <c r="Y1017" t="s">
        <v>120</v>
      </c>
      <c r="Z1017" t="s">
        <v>120</v>
      </c>
      <c r="AA1017" t="s">
        <v>120</v>
      </c>
      <c r="AB1017" t="s">
        <v>120</v>
      </c>
      <c r="AC1017" t="s">
        <v>120</v>
      </c>
      <c r="AD1017" t="s">
        <v>120</v>
      </c>
      <c r="AE1017" t="s">
        <v>120</v>
      </c>
      <c r="AF1017" t="s">
        <v>120</v>
      </c>
      <c r="AG1017" t="s">
        <v>120</v>
      </c>
      <c r="AH1017" t="s">
        <v>120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31.55</v>
      </c>
      <c r="AP1017">
        <v>0</v>
      </c>
      <c r="AQ1017">
        <v>0</v>
      </c>
      <c r="AR1017">
        <v>70.2</v>
      </c>
      <c r="AS1017">
        <v>0</v>
      </c>
    </row>
    <row r="1018" spans="1:45" x14ac:dyDescent="0.25">
      <c r="A1018" t="s">
        <v>2270</v>
      </c>
      <c r="B1018" t="s">
        <v>2271</v>
      </c>
      <c r="C1018" t="s">
        <v>147</v>
      </c>
      <c r="D1018" t="s">
        <v>2229</v>
      </c>
      <c r="E1018" t="s">
        <v>120</v>
      </c>
      <c r="F1018" t="s">
        <v>120</v>
      </c>
      <c r="G1018" t="s">
        <v>120</v>
      </c>
      <c r="H1018" t="s">
        <v>120</v>
      </c>
      <c r="I1018" t="s">
        <v>120</v>
      </c>
      <c r="J1018" t="s">
        <v>120</v>
      </c>
      <c r="K1018" t="s">
        <v>120</v>
      </c>
      <c r="L1018" t="s">
        <v>120</v>
      </c>
      <c r="M1018" t="s">
        <v>120</v>
      </c>
      <c r="N1018" t="s">
        <v>120</v>
      </c>
      <c r="O1018" t="s">
        <v>120</v>
      </c>
      <c r="P1018" t="s">
        <v>120</v>
      </c>
      <c r="Q1018" t="s">
        <v>120</v>
      </c>
      <c r="R1018" t="s">
        <v>120</v>
      </c>
      <c r="S1018" t="s">
        <v>120</v>
      </c>
      <c r="T1018" t="s">
        <v>120</v>
      </c>
      <c r="U1018" t="s">
        <v>120</v>
      </c>
      <c r="V1018" t="s">
        <v>120</v>
      </c>
      <c r="W1018" t="s">
        <v>120</v>
      </c>
      <c r="X1018" t="s">
        <v>120</v>
      </c>
      <c r="Y1018" t="s">
        <v>141</v>
      </c>
      <c r="Z1018" t="s">
        <v>120</v>
      </c>
      <c r="AA1018" t="s">
        <v>120</v>
      </c>
      <c r="AB1018" t="s">
        <v>120</v>
      </c>
      <c r="AC1018" t="s">
        <v>120</v>
      </c>
      <c r="AD1018" t="s">
        <v>120</v>
      </c>
      <c r="AE1018" t="s">
        <v>120</v>
      </c>
      <c r="AF1018" t="s">
        <v>120</v>
      </c>
      <c r="AG1018" t="s">
        <v>120</v>
      </c>
      <c r="AH1018" t="s">
        <v>120</v>
      </c>
      <c r="AJ1018">
        <v>0</v>
      </c>
      <c r="AK1018">
        <v>8</v>
      </c>
      <c r="AL1018">
        <v>8</v>
      </c>
      <c r="AM1018">
        <v>0</v>
      </c>
      <c r="AN1018">
        <v>0</v>
      </c>
      <c r="AO1018">
        <v>31.55</v>
      </c>
      <c r="AP1018">
        <v>8</v>
      </c>
      <c r="AQ1018">
        <v>0</v>
      </c>
      <c r="AR1018">
        <v>70.2</v>
      </c>
      <c r="AS1018">
        <v>504.8</v>
      </c>
    </row>
    <row r="1019" spans="1:45" x14ac:dyDescent="0.25">
      <c r="A1019" t="s">
        <v>2272</v>
      </c>
      <c r="B1019" t="s">
        <v>2273</v>
      </c>
      <c r="C1019" t="s">
        <v>147</v>
      </c>
      <c r="D1019" t="s">
        <v>2229</v>
      </c>
      <c r="E1019" t="s">
        <v>120</v>
      </c>
      <c r="F1019" t="s">
        <v>120</v>
      </c>
      <c r="G1019" t="s">
        <v>120</v>
      </c>
      <c r="H1019" t="s">
        <v>120</v>
      </c>
      <c r="I1019" t="s">
        <v>120</v>
      </c>
      <c r="J1019" t="s">
        <v>120</v>
      </c>
      <c r="K1019" t="s">
        <v>120</v>
      </c>
      <c r="L1019" t="s">
        <v>120</v>
      </c>
      <c r="M1019" t="s">
        <v>120</v>
      </c>
      <c r="N1019" t="s">
        <v>120</v>
      </c>
      <c r="O1019" t="s">
        <v>120</v>
      </c>
      <c r="P1019" t="s">
        <v>120</v>
      </c>
      <c r="Q1019" t="s">
        <v>120</v>
      </c>
      <c r="R1019" t="s">
        <v>120</v>
      </c>
      <c r="S1019" t="s">
        <v>120</v>
      </c>
      <c r="T1019" t="s">
        <v>120</v>
      </c>
      <c r="U1019" t="s">
        <v>120</v>
      </c>
      <c r="V1019" t="s">
        <v>120</v>
      </c>
      <c r="W1019" t="s">
        <v>120</v>
      </c>
      <c r="X1019" t="s">
        <v>120</v>
      </c>
      <c r="Y1019" t="s">
        <v>120</v>
      </c>
      <c r="Z1019" t="s">
        <v>120</v>
      </c>
      <c r="AA1019" t="s">
        <v>120</v>
      </c>
      <c r="AB1019" t="s">
        <v>120</v>
      </c>
      <c r="AC1019" t="s">
        <v>120</v>
      </c>
      <c r="AD1019" t="s">
        <v>120</v>
      </c>
      <c r="AE1019" t="s">
        <v>120</v>
      </c>
      <c r="AF1019" t="s">
        <v>120</v>
      </c>
      <c r="AG1019" t="s">
        <v>120</v>
      </c>
      <c r="AH1019" t="s">
        <v>120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31.55</v>
      </c>
      <c r="AP1019">
        <v>0</v>
      </c>
      <c r="AQ1019">
        <v>0</v>
      </c>
      <c r="AR1019">
        <v>70.2</v>
      </c>
      <c r="AS1019">
        <v>0</v>
      </c>
    </row>
    <row r="1020" spans="1:45" x14ac:dyDescent="0.25">
      <c r="A1020" t="s">
        <v>2274</v>
      </c>
      <c r="B1020" t="s">
        <v>2275</v>
      </c>
      <c r="C1020" t="s">
        <v>147</v>
      </c>
      <c r="D1020" t="s">
        <v>2229</v>
      </c>
      <c r="E1020" t="s">
        <v>120</v>
      </c>
      <c r="F1020" t="s">
        <v>120</v>
      </c>
      <c r="G1020" t="s">
        <v>120</v>
      </c>
      <c r="H1020" t="s">
        <v>120</v>
      </c>
      <c r="I1020" t="s">
        <v>120</v>
      </c>
      <c r="J1020" t="s">
        <v>120</v>
      </c>
      <c r="K1020" t="s">
        <v>120</v>
      </c>
      <c r="L1020" t="s">
        <v>120</v>
      </c>
      <c r="M1020" t="s">
        <v>120</v>
      </c>
      <c r="N1020" t="s">
        <v>120</v>
      </c>
      <c r="O1020" t="s">
        <v>120</v>
      </c>
      <c r="P1020" t="s">
        <v>120</v>
      </c>
      <c r="Q1020" t="s">
        <v>120</v>
      </c>
      <c r="R1020" t="s">
        <v>120</v>
      </c>
      <c r="S1020" t="s">
        <v>120</v>
      </c>
      <c r="T1020" t="s">
        <v>120</v>
      </c>
      <c r="U1020" t="s">
        <v>120</v>
      </c>
      <c r="V1020" t="s">
        <v>120</v>
      </c>
      <c r="W1020" t="s">
        <v>120</v>
      </c>
      <c r="X1020" t="s">
        <v>120</v>
      </c>
      <c r="Y1020" t="s">
        <v>120</v>
      </c>
      <c r="Z1020" t="s">
        <v>120</v>
      </c>
      <c r="AA1020" t="s">
        <v>120</v>
      </c>
      <c r="AB1020" t="s">
        <v>120</v>
      </c>
      <c r="AC1020" t="s">
        <v>120</v>
      </c>
      <c r="AD1020" t="s">
        <v>120</v>
      </c>
      <c r="AE1020" t="s">
        <v>120</v>
      </c>
      <c r="AF1020" t="s">
        <v>120</v>
      </c>
      <c r="AG1020" t="s">
        <v>120</v>
      </c>
      <c r="AH1020" t="s">
        <v>120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31.55</v>
      </c>
      <c r="AP1020">
        <v>0</v>
      </c>
      <c r="AQ1020">
        <v>0</v>
      </c>
      <c r="AR1020">
        <v>70.2</v>
      </c>
      <c r="AS1020">
        <v>0</v>
      </c>
    </row>
    <row r="1021" spans="1:45" x14ac:dyDescent="0.25">
      <c r="A1021" t="s">
        <v>2276</v>
      </c>
      <c r="B1021" t="s">
        <v>2277</v>
      </c>
      <c r="C1021" t="s">
        <v>147</v>
      </c>
      <c r="D1021" t="s">
        <v>2229</v>
      </c>
      <c r="E1021" t="s">
        <v>120</v>
      </c>
      <c r="F1021" t="s">
        <v>120</v>
      </c>
      <c r="G1021" t="s">
        <v>120</v>
      </c>
      <c r="H1021" t="s">
        <v>120</v>
      </c>
      <c r="I1021" t="s">
        <v>120</v>
      </c>
      <c r="J1021" t="s">
        <v>120</v>
      </c>
      <c r="K1021" t="s">
        <v>120</v>
      </c>
      <c r="L1021" t="s">
        <v>120</v>
      </c>
      <c r="M1021" t="s">
        <v>120</v>
      </c>
      <c r="N1021" t="s">
        <v>120</v>
      </c>
      <c r="O1021" t="s">
        <v>120</v>
      </c>
      <c r="P1021" t="s">
        <v>120</v>
      </c>
      <c r="Q1021" t="s">
        <v>120</v>
      </c>
      <c r="R1021" t="s">
        <v>120</v>
      </c>
      <c r="S1021" t="s">
        <v>120</v>
      </c>
      <c r="T1021" t="s">
        <v>120</v>
      </c>
      <c r="U1021" t="s">
        <v>120</v>
      </c>
      <c r="V1021" t="s">
        <v>120</v>
      </c>
      <c r="W1021" t="s">
        <v>120</v>
      </c>
      <c r="X1021" t="s">
        <v>120</v>
      </c>
      <c r="Y1021" t="s">
        <v>120</v>
      </c>
      <c r="Z1021" t="s">
        <v>120</v>
      </c>
      <c r="AA1021" t="s">
        <v>120</v>
      </c>
      <c r="AB1021" t="s">
        <v>120</v>
      </c>
      <c r="AC1021" t="s">
        <v>120</v>
      </c>
      <c r="AD1021" t="s">
        <v>120</v>
      </c>
      <c r="AE1021" t="s">
        <v>120</v>
      </c>
      <c r="AF1021" t="s">
        <v>120</v>
      </c>
      <c r="AG1021" t="s">
        <v>120</v>
      </c>
      <c r="AH1021" t="s">
        <v>120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31.55</v>
      </c>
      <c r="AP1021">
        <v>0</v>
      </c>
      <c r="AQ1021">
        <v>0</v>
      </c>
      <c r="AR1021">
        <v>70.2</v>
      </c>
      <c r="AS1021">
        <v>0</v>
      </c>
    </row>
    <row r="1022" spans="1:45" x14ac:dyDescent="0.25">
      <c r="A1022" t="s">
        <v>2278</v>
      </c>
      <c r="B1022" t="s">
        <v>2279</v>
      </c>
      <c r="C1022" t="s">
        <v>147</v>
      </c>
      <c r="D1022" t="s">
        <v>2229</v>
      </c>
      <c r="E1022" t="s">
        <v>120</v>
      </c>
      <c r="F1022" t="s">
        <v>120</v>
      </c>
      <c r="G1022" t="s">
        <v>120</v>
      </c>
      <c r="H1022" t="s">
        <v>120</v>
      </c>
      <c r="I1022" t="s">
        <v>120</v>
      </c>
      <c r="J1022" t="s">
        <v>120</v>
      </c>
      <c r="K1022" t="s">
        <v>120</v>
      </c>
      <c r="L1022" t="s">
        <v>120</v>
      </c>
      <c r="M1022" t="s">
        <v>120</v>
      </c>
      <c r="N1022" t="s">
        <v>120</v>
      </c>
      <c r="O1022" t="s">
        <v>120</v>
      </c>
      <c r="P1022" t="s">
        <v>120</v>
      </c>
      <c r="Q1022" t="s">
        <v>120</v>
      </c>
      <c r="R1022" t="s">
        <v>120</v>
      </c>
      <c r="S1022" t="s">
        <v>120</v>
      </c>
      <c r="T1022" t="s">
        <v>120</v>
      </c>
      <c r="U1022" t="s">
        <v>120</v>
      </c>
      <c r="V1022" t="s">
        <v>120</v>
      </c>
      <c r="W1022" t="s">
        <v>120</v>
      </c>
      <c r="X1022" t="s">
        <v>120</v>
      </c>
      <c r="Y1022" t="s">
        <v>120</v>
      </c>
      <c r="Z1022" t="s">
        <v>120</v>
      </c>
      <c r="AA1022" t="s">
        <v>120</v>
      </c>
      <c r="AB1022" t="s">
        <v>120</v>
      </c>
      <c r="AC1022" t="s">
        <v>120</v>
      </c>
      <c r="AD1022" t="s">
        <v>120</v>
      </c>
      <c r="AE1022" t="s">
        <v>120</v>
      </c>
      <c r="AF1022" t="s">
        <v>120</v>
      </c>
      <c r="AG1022" t="s">
        <v>120</v>
      </c>
      <c r="AH1022" t="s">
        <v>120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31.55</v>
      </c>
      <c r="AP1022">
        <v>0</v>
      </c>
      <c r="AQ1022">
        <v>0</v>
      </c>
      <c r="AR1022">
        <v>70.2</v>
      </c>
      <c r="AS1022">
        <v>0</v>
      </c>
    </row>
    <row r="1023" spans="1:45" x14ac:dyDescent="0.25">
      <c r="A1023" t="s">
        <v>2280</v>
      </c>
      <c r="B1023" t="s">
        <v>2281</v>
      </c>
      <c r="C1023" t="s">
        <v>147</v>
      </c>
      <c r="D1023" t="s">
        <v>2229</v>
      </c>
      <c r="E1023" t="s">
        <v>120</v>
      </c>
      <c r="F1023" t="s">
        <v>120</v>
      </c>
      <c r="G1023" t="s">
        <v>120</v>
      </c>
      <c r="H1023" t="s">
        <v>120</v>
      </c>
      <c r="I1023" t="s">
        <v>120</v>
      </c>
      <c r="J1023" t="s">
        <v>120</v>
      </c>
      <c r="K1023" t="s">
        <v>120</v>
      </c>
      <c r="L1023" t="s">
        <v>120</v>
      </c>
      <c r="M1023" t="s">
        <v>120</v>
      </c>
      <c r="N1023" t="s">
        <v>120</v>
      </c>
      <c r="O1023" t="s">
        <v>120</v>
      </c>
      <c r="P1023" t="s">
        <v>120</v>
      </c>
      <c r="Q1023" t="s">
        <v>120</v>
      </c>
      <c r="R1023" t="s">
        <v>120</v>
      </c>
      <c r="S1023" t="s">
        <v>120</v>
      </c>
      <c r="T1023" t="s">
        <v>120</v>
      </c>
      <c r="U1023" t="s">
        <v>120</v>
      </c>
      <c r="V1023" t="s">
        <v>120</v>
      </c>
      <c r="W1023" t="s">
        <v>120</v>
      </c>
      <c r="X1023" t="s">
        <v>120</v>
      </c>
      <c r="Y1023" t="s">
        <v>120</v>
      </c>
      <c r="Z1023" t="s">
        <v>120</v>
      </c>
      <c r="AA1023" t="s">
        <v>120</v>
      </c>
      <c r="AB1023" t="s">
        <v>120</v>
      </c>
      <c r="AC1023" t="s">
        <v>120</v>
      </c>
      <c r="AD1023" t="s">
        <v>120</v>
      </c>
      <c r="AE1023" t="s">
        <v>120</v>
      </c>
      <c r="AF1023" t="s">
        <v>120</v>
      </c>
      <c r="AG1023" t="s">
        <v>120</v>
      </c>
      <c r="AH1023" t="s">
        <v>120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31.55</v>
      </c>
      <c r="AP1023">
        <v>0</v>
      </c>
      <c r="AQ1023">
        <v>0</v>
      </c>
      <c r="AR1023">
        <v>70.2</v>
      </c>
      <c r="AS1023">
        <v>0</v>
      </c>
    </row>
    <row r="1024" spans="1:45" x14ac:dyDescent="0.25">
      <c r="A1024" t="s">
        <v>2282</v>
      </c>
      <c r="B1024" t="s">
        <v>2283</v>
      </c>
      <c r="C1024" t="s">
        <v>147</v>
      </c>
      <c r="D1024" t="s">
        <v>2229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31.55</v>
      </c>
      <c r="AP1024">
        <v>0</v>
      </c>
      <c r="AQ1024">
        <v>0</v>
      </c>
      <c r="AR1024">
        <v>70.2</v>
      </c>
      <c r="AS1024">
        <v>0</v>
      </c>
    </row>
    <row r="1025" spans="1:45" x14ac:dyDescent="0.25">
      <c r="A1025" t="s">
        <v>2284</v>
      </c>
      <c r="B1025" t="s">
        <v>2285</v>
      </c>
      <c r="C1025" t="s">
        <v>147</v>
      </c>
      <c r="D1025" t="s">
        <v>150</v>
      </c>
      <c r="E1025" t="s">
        <v>120</v>
      </c>
      <c r="F1025" t="s">
        <v>120</v>
      </c>
      <c r="G1025" t="s">
        <v>120</v>
      </c>
      <c r="H1025" t="s">
        <v>120</v>
      </c>
      <c r="I1025" t="s">
        <v>120</v>
      </c>
      <c r="J1025" t="s">
        <v>120</v>
      </c>
      <c r="K1025" t="s">
        <v>120</v>
      </c>
      <c r="L1025" t="s">
        <v>120</v>
      </c>
      <c r="M1025" t="s">
        <v>120</v>
      </c>
      <c r="N1025" t="s">
        <v>120</v>
      </c>
      <c r="O1025" t="s">
        <v>120</v>
      </c>
      <c r="P1025" t="s">
        <v>120</v>
      </c>
      <c r="Q1025" t="s">
        <v>120</v>
      </c>
      <c r="R1025" t="s">
        <v>120</v>
      </c>
      <c r="S1025" t="s">
        <v>120</v>
      </c>
      <c r="T1025" t="s">
        <v>120</v>
      </c>
      <c r="U1025" t="s">
        <v>120</v>
      </c>
      <c r="V1025" t="s">
        <v>120</v>
      </c>
      <c r="W1025" t="s">
        <v>135</v>
      </c>
      <c r="X1025" t="s">
        <v>120</v>
      </c>
      <c r="Y1025" t="s">
        <v>120</v>
      </c>
      <c r="Z1025" t="s">
        <v>120</v>
      </c>
      <c r="AA1025" t="s">
        <v>120</v>
      </c>
      <c r="AB1025" t="s">
        <v>120</v>
      </c>
      <c r="AC1025" t="s">
        <v>120</v>
      </c>
      <c r="AD1025" t="s">
        <v>120</v>
      </c>
      <c r="AE1025" t="s">
        <v>120</v>
      </c>
      <c r="AF1025" t="s">
        <v>120</v>
      </c>
      <c r="AG1025" t="s">
        <v>120</v>
      </c>
      <c r="AH1025" t="s">
        <v>120</v>
      </c>
      <c r="AJ1025">
        <v>0</v>
      </c>
      <c r="AK1025">
        <v>8</v>
      </c>
      <c r="AL1025">
        <v>0</v>
      </c>
      <c r="AM1025">
        <v>8</v>
      </c>
      <c r="AN1025">
        <v>0</v>
      </c>
      <c r="AO1025">
        <v>28.25</v>
      </c>
      <c r="AP1025">
        <v>8</v>
      </c>
      <c r="AQ1025">
        <v>0</v>
      </c>
      <c r="AR1025">
        <v>70.2</v>
      </c>
      <c r="AS1025">
        <v>452</v>
      </c>
    </row>
    <row r="1026" spans="1:45" x14ac:dyDescent="0.25">
      <c r="A1026" t="s">
        <v>2286</v>
      </c>
      <c r="B1026" t="s">
        <v>2287</v>
      </c>
      <c r="C1026" t="s">
        <v>147</v>
      </c>
      <c r="D1026" t="s">
        <v>150</v>
      </c>
      <c r="E1026" t="s">
        <v>120</v>
      </c>
      <c r="F1026" t="s">
        <v>120</v>
      </c>
      <c r="G1026" t="s">
        <v>120</v>
      </c>
      <c r="H1026" t="s">
        <v>120</v>
      </c>
      <c r="I1026" t="s">
        <v>120</v>
      </c>
      <c r="J1026" t="s">
        <v>120</v>
      </c>
      <c r="K1026" t="s">
        <v>120</v>
      </c>
      <c r="L1026" t="s">
        <v>120</v>
      </c>
      <c r="M1026" t="s">
        <v>120</v>
      </c>
      <c r="N1026" t="s">
        <v>120</v>
      </c>
      <c r="O1026" t="s">
        <v>120</v>
      </c>
      <c r="P1026" t="s">
        <v>120</v>
      </c>
      <c r="Q1026" t="s">
        <v>120</v>
      </c>
      <c r="R1026" t="s">
        <v>120</v>
      </c>
      <c r="S1026" t="s">
        <v>120</v>
      </c>
      <c r="T1026" t="s">
        <v>120</v>
      </c>
      <c r="U1026" t="s">
        <v>120</v>
      </c>
      <c r="V1026" t="s">
        <v>120</v>
      </c>
      <c r="W1026" t="s">
        <v>120</v>
      </c>
      <c r="X1026" t="s">
        <v>120</v>
      </c>
      <c r="Y1026" t="s">
        <v>120</v>
      </c>
      <c r="Z1026" t="s">
        <v>120</v>
      </c>
      <c r="AA1026" t="s">
        <v>120</v>
      </c>
      <c r="AB1026" t="s">
        <v>120</v>
      </c>
      <c r="AC1026" t="s">
        <v>120</v>
      </c>
      <c r="AD1026" t="s">
        <v>120</v>
      </c>
      <c r="AE1026" t="s">
        <v>120</v>
      </c>
      <c r="AF1026" t="s">
        <v>120</v>
      </c>
      <c r="AG1026" t="s">
        <v>120</v>
      </c>
      <c r="AH1026" t="s">
        <v>120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28.25</v>
      </c>
      <c r="AP1026">
        <v>0</v>
      </c>
      <c r="AQ1026">
        <v>0</v>
      </c>
      <c r="AR1026">
        <v>70.2</v>
      </c>
      <c r="AS1026">
        <v>0</v>
      </c>
    </row>
    <row r="1027" spans="1:45" x14ac:dyDescent="0.25">
      <c r="A1027" t="s">
        <v>2288</v>
      </c>
      <c r="B1027" t="s">
        <v>2289</v>
      </c>
      <c r="C1027" t="s">
        <v>147</v>
      </c>
      <c r="D1027" t="s">
        <v>150</v>
      </c>
      <c r="E1027" t="s">
        <v>120</v>
      </c>
      <c r="F1027" t="s">
        <v>120</v>
      </c>
      <c r="G1027" t="s">
        <v>120</v>
      </c>
      <c r="H1027" t="s">
        <v>120</v>
      </c>
      <c r="I1027" t="s">
        <v>120</v>
      </c>
      <c r="J1027" t="s">
        <v>120</v>
      </c>
      <c r="K1027" t="s">
        <v>120</v>
      </c>
      <c r="L1027" t="s">
        <v>120</v>
      </c>
      <c r="M1027" t="s">
        <v>120</v>
      </c>
      <c r="N1027" t="s">
        <v>120</v>
      </c>
      <c r="O1027" t="s">
        <v>120</v>
      </c>
      <c r="P1027" t="s">
        <v>120</v>
      </c>
      <c r="Q1027" t="s">
        <v>120</v>
      </c>
      <c r="R1027" t="s">
        <v>120</v>
      </c>
      <c r="S1027" t="s">
        <v>120</v>
      </c>
      <c r="T1027" t="s">
        <v>120</v>
      </c>
      <c r="U1027" t="s">
        <v>120</v>
      </c>
      <c r="V1027" t="s">
        <v>120</v>
      </c>
      <c r="W1027" t="s">
        <v>120</v>
      </c>
      <c r="X1027" t="s">
        <v>120</v>
      </c>
      <c r="Y1027" t="s">
        <v>120</v>
      </c>
      <c r="Z1027" t="s">
        <v>120</v>
      </c>
      <c r="AA1027" t="s">
        <v>120</v>
      </c>
      <c r="AB1027" t="s">
        <v>120</v>
      </c>
      <c r="AC1027" t="s">
        <v>120</v>
      </c>
      <c r="AD1027" t="s">
        <v>120</v>
      </c>
      <c r="AE1027" t="s">
        <v>120</v>
      </c>
      <c r="AF1027" t="s">
        <v>120</v>
      </c>
      <c r="AG1027" t="s">
        <v>120</v>
      </c>
      <c r="AH1027" t="s">
        <v>120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28.25</v>
      </c>
      <c r="AP1027">
        <v>0</v>
      </c>
      <c r="AQ1027">
        <v>0</v>
      </c>
      <c r="AR1027">
        <v>70.2</v>
      </c>
      <c r="AS1027">
        <v>0</v>
      </c>
    </row>
    <row r="1028" spans="1:45" x14ac:dyDescent="0.25">
      <c r="A1028" t="s">
        <v>2290</v>
      </c>
      <c r="B1028" t="s">
        <v>2291</v>
      </c>
      <c r="C1028" t="s">
        <v>147</v>
      </c>
      <c r="D1028" t="s">
        <v>150</v>
      </c>
      <c r="E1028" t="s">
        <v>658</v>
      </c>
      <c r="F1028" t="s">
        <v>285</v>
      </c>
      <c r="G1028" t="s">
        <v>120</v>
      </c>
      <c r="H1028" t="s">
        <v>658</v>
      </c>
      <c r="I1028" t="s">
        <v>120</v>
      </c>
      <c r="J1028" t="s">
        <v>120</v>
      </c>
      <c r="K1028" t="s">
        <v>120</v>
      </c>
      <c r="L1028" t="s">
        <v>120</v>
      </c>
      <c r="M1028" t="s">
        <v>120</v>
      </c>
      <c r="N1028" t="s">
        <v>120</v>
      </c>
      <c r="O1028" t="s">
        <v>120</v>
      </c>
      <c r="P1028" t="s">
        <v>120</v>
      </c>
      <c r="Q1028" t="s">
        <v>120</v>
      </c>
      <c r="R1028" t="s">
        <v>120</v>
      </c>
      <c r="S1028" t="s">
        <v>120</v>
      </c>
      <c r="T1028" t="s">
        <v>120</v>
      </c>
      <c r="U1028" t="s">
        <v>120</v>
      </c>
      <c r="V1028" t="s">
        <v>120</v>
      </c>
      <c r="W1028" t="s">
        <v>120</v>
      </c>
      <c r="X1028" t="s">
        <v>120</v>
      </c>
      <c r="Y1028" t="s">
        <v>120</v>
      </c>
      <c r="Z1028" t="s">
        <v>120</v>
      </c>
      <c r="AA1028" t="s">
        <v>120</v>
      </c>
      <c r="AB1028" t="s">
        <v>120</v>
      </c>
      <c r="AC1028" t="s">
        <v>120</v>
      </c>
      <c r="AD1028" t="s">
        <v>120</v>
      </c>
      <c r="AE1028" t="s">
        <v>120</v>
      </c>
      <c r="AF1028" t="s">
        <v>120</v>
      </c>
      <c r="AG1028" t="s">
        <v>120</v>
      </c>
      <c r="AH1028" t="s">
        <v>120</v>
      </c>
      <c r="AJ1028">
        <v>0</v>
      </c>
      <c r="AK1028">
        <v>17</v>
      </c>
      <c r="AL1028">
        <v>0</v>
      </c>
      <c r="AM1028">
        <v>10</v>
      </c>
      <c r="AN1028">
        <v>7</v>
      </c>
      <c r="AO1028">
        <v>31.55</v>
      </c>
      <c r="AP1028">
        <v>10</v>
      </c>
      <c r="AQ1028">
        <v>491.40000000000003</v>
      </c>
      <c r="AR1028">
        <v>70.2</v>
      </c>
      <c r="AS1028">
        <v>631</v>
      </c>
    </row>
    <row r="1029" spans="1:45" x14ac:dyDescent="0.25">
      <c r="A1029" t="s">
        <v>2292</v>
      </c>
      <c r="B1029" t="s">
        <v>2293</v>
      </c>
      <c r="C1029" t="s">
        <v>130</v>
      </c>
      <c r="D1029" t="s">
        <v>150</v>
      </c>
      <c r="E1029" t="s">
        <v>120</v>
      </c>
      <c r="F1029" t="s">
        <v>120</v>
      </c>
      <c r="G1029" t="s">
        <v>120</v>
      </c>
      <c r="H1029" t="s">
        <v>120</v>
      </c>
      <c r="I1029" t="s">
        <v>120</v>
      </c>
      <c r="J1029" t="s">
        <v>120</v>
      </c>
      <c r="K1029" t="s">
        <v>120</v>
      </c>
      <c r="L1029" t="s">
        <v>120</v>
      </c>
      <c r="M1029" t="s">
        <v>120</v>
      </c>
      <c r="N1029" t="s">
        <v>120</v>
      </c>
      <c r="O1029" t="s">
        <v>120</v>
      </c>
      <c r="P1029" t="s">
        <v>120</v>
      </c>
      <c r="Q1029" t="s">
        <v>120</v>
      </c>
      <c r="R1029" t="s">
        <v>120</v>
      </c>
      <c r="S1029" t="s">
        <v>120</v>
      </c>
      <c r="T1029" t="s">
        <v>120</v>
      </c>
      <c r="U1029" t="s">
        <v>120</v>
      </c>
      <c r="V1029" t="s">
        <v>120</v>
      </c>
      <c r="W1029" t="s">
        <v>120</v>
      </c>
      <c r="X1029" t="s">
        <v>2194</v>
      </c>
      <c r="Y1029" t="s">
        <v>141</v>
      </c>
      <c r="Z1029" t="s">
        <v>120</v>
      </c>
      <c r="AA1029" t="s">
        <v>120</v>
      </c>
      <c r="AB1029" t="s">
        <v>120</v>
      </c>
      <c r="AC1029" t="s">
        <v>120</v>
      </c>
      <c r="AD1029" t="s">
        <v>120</v>
      </c>
      <c r="AE1029" t="s">
        <v>120</v>
      </c>
      <c r="AF1029" t="s">
        <v>120</v>
      </c>
      <c r="AG1029" t="s">
        <v>135</v>
      </c>
      <c r="AH1029" t="s">
        <v>120</v>
      </c>
      <c r="AJ1029">
        <v>0</v>
      </c>
      <c r="AK1029">
        <v>19</v>
      </c>
      <c r="AL1029">
        <v>8</v>
      </c>
      <c r="AM1029">
        <v>8</v>
      </c>
      <c r="AN1029">
        <v>3</v>
      </c>
      <c r="AO1029">
        <v>7500</v>
      </c>
      <c r="AP1029">
        <v>16</v>
      </c>
      <c r="AQ1029">
        <v>379.68750000000006</v>
      </c>
      <c r="AR1029">
        <v>126.56250000000001</v>
      </c>
      <c r="AS1029">
        <v>1500</v>
      </c>
    </row>
    <row r="1030" spans="1:45" x14ac:dyDescent="0.25">
      <c r="A1030" t="s">
        <v>2294</v>
      </c>
      <c r="B1030" t="s">
        <v>2295</v>
      </c>
      <c r="C1030" t="s">
        <v>147</v>
      </c>
      <c r="D1030" t="s">
        <v>150</v>
      </c>
      <c r="E1030" t="s">
        <v>120</v>
      </c>
      <c r="F1030" t="s">
        <v>120</v>
      </c>
      <c r="G1030" t="s">
        <v>120</v>
      </c>
      <c r="H1030" t="s">
        <v>120</v>
      </c>
      <c r="I1030" t="s">
        <v>120</v>
      </c>
      <c r="J1030" t="s">
        <v>120</v>
      </c>
      <c r="K1030" t="s">
        <v>120</v>
      </c>
      <c r="L1030" t="s">
        <v>120</v>
      </c>
      <c r="M1030" t="s">
        <v>120</v>
      </c>
      <c r="N1030" t="s">
        <v>120</v>
      </c>
      <c r="O1030" t="s">
        <v>120</v>
      </c>
      <c r="P1030" t="s">
        <v>120</v>
      </c>
      <c r="Q1030" t="s">
        <v>120</v>
      </c>
      <c r="R1030" t="s">
        <v>120</v>
      </c>
      <c r="S1030" t="s">
        <v>120</v>
      </c>
      <c r="T1030" t="s">
        <v>120</v>
      </c>
      <c r="U1030" t="s">
        <v>120</v>
      </c>
      <c r="V1030" t="s">
        <v>120</v>
      </c>
      <c r="W1030" t="s">
        <v>120</v>
      </c>
      <c r="X1030" t="s">
        <v>120</v>
      </c>
      <c r="Y1030" t="s">
        <v>141</v>
      </c>
      <c r="Z1030" t="s">
        <v>120</v>
      </c>
      <c r="AA1030" t="s">
        <v>120</v>
      </c>
      <c r="AB1030" t="s">
        <v>120</v>
      </c>
      <c r="AC1030" t="s">
        <v>120</v>
      </c>
      <c r="AD1030" t="s">
        <v>120</v>
      </c>
      <c r="AE1030" t="s">
        <v>120</v>
      </c>
      <c r="AF1030" t="s">
        <v>120</v>
      </c>
      <c r="AG1030" t="s">
        <v>120</v>
      </c>
      <c r="AH1030" t="s">
        <v>120</v>
      </c>
      <c r="AJ1030">
        <v>0</v>
      </c>
      <c r="AK1030">
        <v>8</v>
      </c>
      <c r="AL1030">
        <v>8</v>
      </c>
      <c r="AM1030">
        <v>0</v>
      </c>
      <c r="AN1030">
        <v>0</v>
      </c>
      <c r="AO1030">
        <v>28.25</v>
      </c>
      <c r="AP1030">
        <v>8</v>
      </c>
      <c r="AQ1030">
        <v>0</v>
      </c>
      <c r="AR1030">
        <v>70.2</v>
      </c>
      <c r="AS1030">
        <v>452</v>
      </c>
    </row>
    <row r="1031" spans="1:45" x14ac:dyDescent="0.25">
      <c r="A1031" t="s">
        <v>2296</v>
      </c>
      <c r="B1031" t="s">
        <v>2297</v>
      </c>
      <c r="C1031" t="s">
        <v>147</v>
      </c>
      <c r="D1031" t="s">
        <v>150</v>
      </c>
      <c r="E1031" t="s">
        <v>120</v>
      </c>
      <c r="F1031" t="s">
        <v>120</v>
      </c>
      <c r="G1031" t="s">
        <v>120</v>
      </c>
      <c r="H1031" t="s">
        <v>120</v>
      </c>
      <c r="I1031" t="s">
        <v>120</v>
      </c>
      <c r="J1031" t="s">
        <v>120</v>
      </c>
      <c r="K1031" t="s">
        <v>120</v>
      </c>
      <c r="L1031" t="s">
        <v>120</v>
      </c>
      <c r="M1031" t="s">
        <v>120</v>
      </c>
      <c r="N1031" t="s">
        <v>120</v>
      </c>
      <c r="O1031" t="s">
        <v>120</v>
      </c>
      <c r="P1031" t="s">
        <v>120</v>
      </c>
      <c r="Q1031" t="s">
        <v>120</v>
      </c>
      <c r="R1031" t="s">
        <v>120</v>
      </c>
      <c r="S1031" t="s">
        <v>120</v>
      </c>
      <c r="T1031" t="s">
        <v>120</v>
      </c>
      <c r="U1031" t="s">
        <v>120</v>
      </c>
      <c r="V1031" t="s">
        <v>120</v>
      </c>
      <c r="W1031" t="s">
        <v>120</v>
      </c>
      <c r="X1031" t="s">
        <v>120</v>
      </c>
      <c r="Y1031" t="s">
        <v>141</v>
      </c>
      <c r="Z1031" t="s">
        <v>120</v>
      </c>
      <c r="AA1031" t="s">
        <v>120</v>
      </c>
      <c r="AB1031" t="s">
        <v>120</v>
      </c>
      <c r="AC1031" t="s">
        <v>120</v>
      </c>
      <c r="AD1031" t="s">
        <v>120</v>
      </c>
      <c r="AE1031" t="s">
        <v>120</v>
      </c>
      <c r="AF1031" t="s">
        <v>120</v>
      </c>
      <c r="AG1031" t="s">
        <v>120</v>
      </c>
      <c r="AH1031" t="s">
        <v>120</v>
      </c>
      <c r="AJ1031">
        <v>0</v>
      </c>
      <c r="AK1031">
        <v>8</v>
      </c>
      <c r="AL1031">
        <v>8</v>
      </c>
      <c r="AM1031">
        <v>0</v>
      </c>
      <c r="AN1031">
        <v>0</v>
      </c>
      <c r="AO1031">
        <v>28.25</v>
      </c>
      <c r="AP1031">
        <v>8</v>
      </c>
      <c r="AQ1031">
        <v>0</v>
      </c>
      <c r="AR1031">
        <v>70.2</v>
      </c>
      <c r="AS1031">
        <v>452</v>
      </c>
    </row>
    <row r="1032" spans="1:45" x14ac:dyDescent="0.25">
      <c r="A1032" t="s">
        <v>2298</v>
      </c>
      <c r="B1032" t="s">
        <v>2299</v>
      </c>
      <c r="C1032" t="s">
        <v>147</v>
      </c>
      <c r="D1032" t="s">
        <v>150</v>
      </c>
      <c r="E1032" t="s">
        <v>120</v>
      </c>
      <c r="F1032" t="s">
        <v>120</v>
      </c>
      <c r="G1032" t="s">
        <v>120</v>
      </c>
      <c r="H1032" t="s">
        <v>120</v>
      </c>
      <c r="I1032" t="s">
        <v>120</v>
      </c>
      <c r="J1032" t="s">
        <v>120</v>
      </c>
      <c r="K1032" t="s">
        <v>120</v>
      </c>
      <c r="L1032" t="s">
        <v>120</v>
      </c>
      <c r="M1032" t="s">
        <v>120</v>
      </c>
      <c r="N1032" t="s">
        <v>120</v>
      </c>
      <c r="O1032" t="s">
        <v>120</v>
      </c>
      <c r="P1032" t="s">
        <v>120</v>
      </c>
      <c r="Q1032" t="s">
        <v>120</v>
      </c>
      <c r="R1032" t="s">
        <v>120</v>
      </c>
      <c r="S1032" t="s">
        <v>120</v>
      </c>
      <c r="T1032" t="s">
        <v>120</v>
      </c>
      <c r="U1032" t="s">
        <v>120</v>
      </c>
      <c r="V1032" t="s">
        <v>120</v>
      </c>
      <c r="W1032" t="s">
        <v>120</v>
      </c>
      <c r="X1032" t="s">
        <v>120</v>
      </c>
      <c r="Y1032" t="s">
        <v>120</v>
      </c>
      <c r="Z1032" t="s">
        <v>120</v>
      </c>
      <c r="AA1032" t="s">
        <v>120</v>
      </c>
      <c r="AB1032" t="s">
        <v>120</v>
      </c>
      <c r="AC1032" t="s">
        <v>120</v>
      </c>
      <c r="AD1032" t="s">
        <v>120</v>
      </c>
      <c r="AE1032" t="s">
        <v>120</v>
      </c>
      <c r="AF1032" t="s">
        <v>120</v>
      </c>
      <c r="AG1032" t="s">
        <v>120</v>
      </c>
      <c r="AH1032" t="s">
        <v>120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28.25</v>
      </c>
      <c r="AP1032">
        <v>0</v>
      </c>
      <c r="AQ1032">
        <v>0</v>
      </c>
      <c r="AR1032">
        <v>70.2</v>
      </c>
      <c r="AS1032">
        <v>0</v>
      </c>
    </row>
    <row r="1033" spans="1:45" x14ac:dyDescent="0.25">
      <c r="A1033" t="s">
        <v>2300</v>
      </c>
      <c r="B1033" t="s">
        <v>2301</v>
      </c>
      <c r="C1033" t="s">
        <v>127</v>
      </c>
      <c r="D1033" t="s">
        <v>150</v>
      </c>
      <c r="E1033" t="s">
        <v>120</v>
      </c>
      <c r="F1033" t="s">
        <v>120</v>
      </c>
      <c r="G1033" t="s">
        <v>120</v>
      </c>
      <c r="H1033" t="s">
        <v>120</v>
      </c>
      <c r="I1033" t="s">
        <v>120</v>
      </c>
      <c r="J1033" t="s">
        <v>120</v>
      </c>
      <c r="K1033" t="s">
        <v>120</v>
      </c>
      <c r="L1033" t="s">
        <v>120</v>
      </c>
      <c r="M1033" t="s">
        <v>120</v>
      </c>
      <c r="N1033" t="s">
        <v>120</v>
      </c>
      <c r="O1033" t="s">
        <v>120</v>
      </c>
      <c r="P1033" t="s">
        <v>120</v>
      </c>
      <c r="Q1033" t="s">
        <v>120</v>
      </c>
      <c r="R1033" t="s">
        <v>120</v>
      </c>
      <c r="S1033" t="s">
        <v>120</v>
      </c>
      <c r="T1033" t="s">
        <v>120</v>
      </c>
      <c r="U1033" t="s">
        <v>120</v>
      </c>
      <c r="V1033" t="s">
        <v>120</v>
      </c>
      <c r="W1033" t="s">
        <v>120</v>
      </c>
      <c r="X1033" t="s">
        <v>2194</v>
      </c>
      <c r="Y1033" t="s">
        <v>341</v>
      </c>
      <c r="Z1033" t="s">
        <v>120</v>
      </c>
      <c r="AA1033" t="s">
        <v>120</v>
      </c>
      <c r="AB1033" t="s">
        <v>120</v>
      </c>
      <c r="AC1033" t="s">
        <v>120</v>
      </c>
      <c r="AD1033" t="s">
        <v>120</v>
      </c>
      <c r="AE1033" t="s">
        <v>120</v>
      </c>
      <c r="AF1033" t="s">
        <v>120</v>
      </c>
      <c r="AG1033" t="s">
        <v>135</v>
      </c>
      <c r="AH1033" t="s">
        <v>120</v>
      </c>
      <c r="AJ1033">
        <v>0</v>
      </c>
      <c r="AK1033">
        <v>15</v>
      </c>
      <c r="AL1033">
        <v>4</v>
      </c>
      <c r="AM1033">
        <v>8</v>
      </c>
      <c r="AN1033">
        <v>3</v>
      </c>
      <c r="AO1033">
        <v>33.43</v>
      </c>
      <c r="AP1033">
        <v>12</v>
      </c>
      <c r="AQ1033">
        <v>225.18</v>
      </c>
      <c r="AR1033">
        <v>75.06</v>
      </c>
      <c r="AS1033">
        <v>802.31999999999994</v>
      </c>
    </row>
    <row r="1034" spans="1:45" x14ac:dyDescent="0.25">
      <c r="A1034" t="s">
        <v>2302</v>
      </c>
      <c r="B1034" t="s">
        <v>2303</v>
      </c>
      <c r="C1034" t="s">
        <v>147</v>
      </c>
      <c r="D1034" t="s">
        <v>150</v>
      </c>
      <c r="E1034" t="s">
        <v>120</v>
      </c>
      <c r="F1034" t="s">
        <v>120</v>
      </c>
      <c r="G1034" t="s">
        <v>120</v>
      </c>
      <c r="H1034" t="s">
        <v>120</v>
      </c>
      <c r="I1034" t="s">
        <v>120</v>
      </c>
      <c r="J1034" t="s">
        <v>120</v>
      </c>
      <c r="K1034" t="s">
        <v>120</v>
      </c>
      <c r="L1034" t="s">
        <v>120</v>
      </c>
      <c r="M1034" t="s">
        <v>120</v>
      </c>
      <c r="N1034" t="s">
        <v>120</v>
      </c>
      <c r="O1034" t="s">
        <v>120</v>
      </c>
      <c r="P1034" t="s">
        <v>120</v>
      </c>
      <c r="Q1034" t="s">
        <v>120</v>
      </c>
      <c r="R1034" t="s">
        <v>120</v>
      </c>
      <c r="S1034" t="s">
        <v>120</v>
      </c>
      <c r="T1034" t="s">
        <v>120</v>
      </c>
      <c r="U1034" t="s">
        <v>120</v>
      </c>
      <c r="V1034" t="s">
        <v>120</v>
      </c>
      <c r="W1034" t="s">
        <v>120</v>
      </c>
      <c r="X1034" t="s">
        <v>120</v>
      </c>
      <c r="Y1034" t="s">
        <v>120</v>
      </c>
      <c r="Z1034" t="s">
        <v>120</v>
      </c>
      <c r="AA1034" t="s">
        <v>120</v>
      </c>
      <c r="AB1034" t="s">
        <v>120</v>
      </c>
      <c r="AC1034" t="s">
        <v>120</v>
      </c>
      <c r="AD1034" t="s">
        <v>120</v>
      </c>
      <c r="AE1034" t="s">
        <v>120</v>
      </c>
      <c r="AF1034" t="s">
        <v>120</v>
      </c>
      <c r="AG1034" t="s">
        <v>120</v>
      </c>
      <c r="AH1034" t="s">
        <v>120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31.55</v>
      </c>
      <c r="AP1034">
        <v>0</v>
      </c>
      <c r="AQ1034">
        <v>0</v>
      </c>
      <c r="AR1034">
        <v>70.2</v>
      </c>
      <c r="AS1034">
        <v>0</v>
      </c>
    </row>
    <row r="1035" spans="1:45" x14ac:dyDescent="0.25">
      <c r="A1035" t="s">
        <v>2304</v>
      </c>
      <c r="B1035" t="s">
        <v>2305</v>
      </c>
      <c r="C1035" t="s">
        <v>147</v>
      </c>
      <c r="D1035" t="s">
        <v>150</v>
      </c>
      <c r="E1035" t="s">
        <v>120</v>
      </c>
      <c r="F1035" t="s">
        <v>124</v>
      </c>
      <c r="G1035" t="s">
        <v>120</v>
      </c>
      <c r="H1035" t="s">
        <v>120</v>
      </c>
      <c r="I1035" t="s">
        <v>120</v>
      </c>
      <c r="J1035" t="s">
        <v>120</v>
      </c>
      <c r="K1035" t="s">
        <v>120</v>
      </c>
      <c r="L1035" t="s">
        <v>120</v>
      </c>
      <c r="M1035" t="s">
        <v>120</v>
      </c>
      <c r="N1035" t="s">
        <v>120</v>
      </c>
      <c r="O1035" t="s">
        <v>120</v>
      </c>
      <c r="P1035" t="s">
        <v>120</v>
      </c>
      <c r="Q1035" t="s">
        <v>120</v>
      </c>
      <c r="R1035" t="s">
        <v>120</v>
      </c>
      <c r="S1035" t="s">
        <v>120</v>
      </c>
      <c r="T1035" t="s">
        <v>120</v>
      </c>
      <c r="U1035" t="s">
        <v>120</v>
      </c>
      <c r="V1035" t="s">
        <v>120</v>
      </c>
      <c r="W1035" t="s">
        <v>120</v>
      </c>
      <c r="X1035" t="s">
        <v>120</v>
      </c>
      <c r="Y1035" t="s">
        <v>120</v>
      </c>
      <c r="Z1035" t="s">
        <v>120</v>
      </c>
      <c r="AA1035" t="s">
        <v>120</v>
      </c>
      <c r="AB1035" t="s">
        <v>120</v>
      </c>
      <c r="AC1035" t="s">
        <v>120</v>
      </c>
      <c r="AD1035" t="s">
        <v>120</v>
      </c>
      <c r="AE1035" t="s">
        <v>120</v>
      </c>
      <c r="AF1035" t="s">
        <v>120</v>
      </c>
      <c r="AG1035" t="s">
        <v>120</v>
      </c>
      <c r="AH1035" t="s">
        <v>141</v>
      </c>
      <c r="AJ1035">
        <v>0</v>
      </c>
      <c r="AK1035">
        <v>12</v>
      </c>
      <c r="AL1035">
        <v>8</v>
      </c>
      <c r="AM1035">
        <v>4</v>
      </c>
      <c r="AN1035">
        <v>0</v>
      </c>
      <c r="AO1035">
        <v>31.55</v>
      </c>
      <c r="AP1035">
        <v>12</v>
      </c>
      <c r="AQ1035">
        <v>0</v>
      </c>
      <c r="AR1035">
        <v>70.2</v>
      </c>
      <c r="AS1035">
        <v>757.2</v>
      </c>
    </row>
    <row r="1036" spans="1:45" x14ac:dyDescent="0.25">
      <c r="A1036" t="s">
        <v>2306</v>
      </c>
      <c r="B1036" t="s">
        <v>2307</v>
      </c>
      <c r="C1036" t="s">
        <v>147</v>
      </c>
      <c r="D1036" t="s">
        <v>150</v>
      </c>
      <c r="E1036" t="s">
        <v>120</v>
      </c>
      <c r="F1036" t="s">
        <v>120</v>
      </c>
      <c r="G1036" t="s">
        <v>120</v>
      </c>
      <c r="H1036" t="s">
        <v>120</v>
      </c>
      <c r="I1036" t="s">
        <v>120</v>
      </c>
      <c r="J1036" t="s">
        <v>120</v>
      </c>
      <c r="K1036" t="s">
        <v>120</v>
      </c>
      <c r="L1036" t="s">
        <v>120</v>
      </c>
      <c r="M1036" t="s">
        <v>120</v>
      </c>
      <c r="N1036" t="s">
        <v>120</v>
      </c>
      <c r="O1036" t="s">
        <v>120</v>
      </c>
      <c r="P1036" t="s">
        <v>120</v>
      </c>
      <c r="Q1036" t="s">
        <v>120</v>
      </c>
      <c r="R1036" t="s">
        <v>120</v>
      </c>
      <c r="S1036" t="s">
        <v>120</v>
      </c>
      <c r="T1036" t="s">
        <v>120</v>
      </c>
      <c r="U1036" t="s">
        <v>120</v>
      </c>
      <c r="V1036" t="s">
        <v>120</v>
      </c>
      <c r="W1036" t="s">
        <v>120</v>
      </c>
      <c r="X1036" t="s">
        <v>120</v>
      </c>
      <c r="Y1036" t="s">
        <v>120</v>
      </c>
      <c r="Z1036" t="s">
        <v>120</v>
      </c>
      <c r="AA1036" t="s">
        <v>120</v>
      </c>
      <c r="AB1036" t="s">
        <v>120</v>
      </c>
      <c r="AC1036" t="s">
        <v>120</v>
      </c>
      <c r="AD1036" t="s">
        <v>120</v>
      </c>
      <c r="AE1036" t="s">
        <v>120</v>
      </c>
      <c r="AF1036" t="s">
        <v>120</v>
      </c>
      <c r="AG1036" t="s">
        <v>120</v>
      </c>
      <c r="AH1036" t="s">
        <v>120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31.55</v>
      </c>
      <c r="AP1036">
        <v>0</v>
      </c>
      <c r="AQ1036">
        <v>0</v>
      </c>
      <c r="AR1036">
        <v>70.2</v>
      </c>
      <c r="AS1036">
        <v>0</v>
      </c>
    </row>
    <row r="1037" spans="1:45" x14ac:dyDescent="0.25">
      <c r="A1037" t="s">
        <v>2308</v>
      </c>
      <c r="B1037" t="s">
        <v>2309</v>
      </c>
      <c r="C1037" t="s">
        <v>147</v>
      </c>
      <c r="D1037" t="s">
        <v>150</v>
      </c>
      <c r="E1037" t="s">
        <v>120</v>
      </c>
      <c r="F1037" t="s">
        <v>120</v>
      </c>
      <c r="G1037" t="s">
        <v>120</v>
      </c>
      <c r="H1037" t="s">
        <v>120</v>
      </c>
      <c r="I1037" t="s">
        <v>120</v>
      </c>
      <c r="J1037" t="s">
        <v>120</v>
      </c>
      <c r="K1037" t="s">
        <v>120</v>
      </c>
      <c r="L1037" t="s">
        <v>120</v>
      </c>
      <c r="M1037" t="s">
        <v>120</v>
      </c>
      <c r="N1037" t="s">
        <v>120</v>
      </c>
      <c r="O1037" t="s">
        <v>120</v>
      </c>
      <c r="P1037" t="s">
        <v>120</v>
      </c>
      <c r="Q1037" t="s">
        <v>120</v>
      </c>
      <c r="R1037" t="s">
        <v>120</v>
      </c>
      <c r="S1037" t="s">
        <v>120</v>
      </c>
      <c r="T1037" t="s">
        <v>120</v>
      </c>
      <c r="U1037" t="s">
        <v>120</v>
      </c>
      <c r="V1037" t="s">
        <v>120</v>
      </c>
      <c r="W1037" t="s">
        <v>285</v>
      </c>
      <c r="X1037" t="s">
        <v>120</v>
      </c>
      <c r="Y1037" t="s">
        <v>141</v>
      </c>
      <c r="Z1037" t="s">
        <v>120</v>
      </c>
      <c r="AA1037" t="s">
        <v>120</v>
      </c>
      <c r="AB1037" t="s">
        <v>120</v>
      </c>
      <c r="AC1037" t="s">
        <v>120</v>
      </c>
      <c r="AD1037" t="s">
        <v>120</v>
      </c>
      <c r="AE1037" t="s">
        <v>120</v>
      </c>
      <c r="AF1037" t="s">
        <v>120</v>
      </c>
      <c r="AG1037" t="s">
        <v>120</v>
      </c>
      <c r="AH1037" t="s">
        <v>120</v>
      </c>
      <c r="AJ1037">
        <v>0</v>
      </c>
      <c r="AK1037">
        <v>15</v>
      </c>
      <c r="AL1037">
        <v>8</v>
      </c>
      <c r="AM1037">
        <v>0</v>
      </c>
      <c r="AN1037">
        <v>7</v>
      </c>
      <c r="AO1037">
        <v>28.25</v>
      </c>
      <c r="AP1037">
        <v>8</v>
      </c>
      <c r="AQ1037">
        <v>491.40000000000003</v>
      </c>
      <c r="AR1037">
        <v>70.2</v>
      </c>
      <c r="AS1037">
        <v>452</v>
      </c>
    </row>
    <row r="1038" spans="1:45" x14ac:dyDescent="0.25">
      <c r="A1038" t="s">
        <v>2310</v>
      </c>
      <c r="B1038" t="s">
        <v>2311</v>
      </c>
      <c r="C1038" t="s">
        <v>127</v>
      </c>
      <c r="D1038" t="s">
        <v>150</v>
      </c>
      <c r="E1038" t="s">
        <v>120</v>
      </c>
      <c r="F1038" t="s">
        <v>120</v>
      </c>
      <c r="G1038" t="s">
        <v>120</v>
      </c>
      <c r="H1038" t="s">
        <v>120</v>
      </c>
      <c r="I1038" t="s">
        <v>120</v>
      </c>
      <c r="J1038" t="s">
        <v>120</v>
      </c>
      <c r="K1038" t="s">
        <v>120</v>
      </c>
      <c r="L1038" t="s">
        <v>120</v>
      </c>
      <c r="M1038" t="s">
        <v>120</v>
      </c>
      <c r="N1038" t="s">
        <v>120</v>
      </c>
      <c r="O1038" t="s">
        <v>120</v>
      </c>
      <c r="P1038" t="s">
        <v>120</v>
      </c>
      <c r="Q1038" t="s">
        <v>120</v>
      </c>
      <c r="R1038" t="s">
        <v>120</v>
      </c>
      <c r="S1038" t="s">
        <v>120</v>
      </c>
      <c r="T1038" t="s">
        <v>120</v>
      </c>
      <c r="U1038" t="s">
        <v>120</v>
      </c>
      <c r="V1038" t="s">
        <v>120</v>
      </c>
      <c r="W1038" t="s">
        <v>120</v>
      </c>
      <c r="X1038" t="s">
        <v>120</v>
      </c>
      <c r="Y1038" t="s">
        <v>120</v>
      </c>
      <c r="Z1038" t="s">
        <v>120</v>
      </c>
      <c r="AA1038" t="s">
        <v>120</v>
      </c>
      <c r="AB1038" t="s">
        <v>120</v>
      </c>
      <c r="AC1038" t="s">
        <v>120</v>
      </c>
      <c r="AD1038" t="s">
        <v>120</v>
      </c>
      <c r="AE1038" t="s">
        <v>120</v>
      </c>
      <c r="AF1038" t="s">
        <v>120</v>
      </c>
      <c r="AG1038" t="s">
        <v>120</v>
      </c>
      <c r="AH1038" t="s">
        <v>120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30.13</v>
      </c>
      <c r="AP1038">
        <v>0</v>
      </c>
      <c r="AQ1038">
        <v>0</v>
      </c>
      <c r="AR1038">
        <v>75.06</v>
      </c>
      <c r="AS1038">
        <v>0</v>
      </c>
    </row>
    <row r="1039" spans="1:45" x14ac:dyDescent="0.25">
      <c r="A1039" t="s">
        <v>2312</v>
      </c>
      <c r="B1039" t="s">
        <v>2313</v>
      </c>
      <c r="C1039" t="s">
        <v>147</v>
      </c>
      <c r="D1039" t="s">
        <v>150</v>
      </c>
      <c r="E1039" t="s">
        <v>120</v>
      </c>
      <c r="F1039" t="s">
        <v>120</v>
      </c>
      <c r="G1039" t="s">
        <v>120</v>
      </c>
      <c r="H1039" t="s">
        <v>120</v>
      </c>
      <c r="I1039" t="s">
        <v>120</v>
      </c>
      <c r="J1039" t="s">
        <v>120</v>
      </c>
      <c r="K1039" t="s">
        <v>120</v>
      </c>
      <c r="L1039" t="s">
        <v>120</v>
      </c>
      <c r="M1039" t="s">
        <v>120</v>
      </c>
      <c r="N1039" t="s">
        <v>120</v>
      </c>
      <c r="O1039" t="s">
        <v>120</v>
      </c>
      <c r="P1039" t="s">
        <v>120</v>
      </c>
      <c r="Q1039" t="s">
        <v>120</v>
      </c>
      <c r="R1039" t="s">
        <v>120</v>
      </c>
      <c r="S1039" t="s">
        <v>120</v>
      </c>
      <c r="T1039" t="s">
        <v>120</v>
      </c>
      <c r="U1039" t="s">
        <v>120</v>
      </c>
      <c r="V1039" t="s">
        <v>120</v>
      </c>
      <c r="W1039" t="s">
        <v>120</v>
      </c>
      <c r="X1039" t="s">
        <v>120</v>
      </c>
      <c r="Y1039" t="s">
        <v>141</v>
      </c>
      <c r="Z1039" t="s">
        <v>120</v>
      </c>
      <c r="AA1039" t="s">
        <v>120</v>
      </c>
      <c r="AB1039" t="s">
        <v>120</v>
      </c>
      <c r="AC1039" t="s">
        <v>120</v>
      </c>
      <c r="AD1039" t="s">
        <v>120</v>
      </c>
      <c r="AE1039" t="s">
        <v>120</v>
      </c>
      <c r="AF1039" t="s">
        <v>120</v>
      </c>
      <c r="AG1039" t="s">
        <v>120</v>
      </c>
      <c r="AH1039" t="s">
        <v>120</v>
      </c>
      <c r="AJ1039">
        <v>0</v>
      </c>
      <c r="AK1039">
        <v>8</v>
      </c>
      <c r="AL1039">
        <v>8</v>
      </c>
      <c r="AM1039">
        <v>0</v>
      </c>
      <c r="AN1039">
        <v>0</v>
      </c>
      <c r="AO1039">
        <v>28.25</v>
      </c>
      <c r="AP1039">
        <v>8</v>
      </c>
      <c r="AQ1039">
        <v>0</v>
      </c>
      <c r="AR1039">
        <v>70.2</v>
      </c>
      <c r="AS1039">
        <v>452</v>
      </c>
    </row>
    <row r="1040" spans="1:45" x14ac:dyDescent="0.25">
      <c r="A1040" t="s">
        <v>2314</v>
      </c>
      <c r="B1040" t="s">
        <v>2315</v>
      </c>
      <c r="C1040" t="s">
        <v>147</v>
      </c>
      <c r="D1040" t="s">
        <v>150</v>
      </c>
      <c r="E1040" t="s">
        <v>120</v>
      </c>
      <c r="F1040" t="s">
        <v>120</v>
      </c>
      <c r="G1040" t="s">
        <v>120</v>
      </c>
      <c r="H1040" t="s">
        <v>120</v>
      </c>
      <c r="I1040" t="s">
        <v>120</v>
      </c>
      <c r="J1040" t="s">
        <v>120</v>
      </c>
      <c r="K1040" t="s">
        <v>120</v>
      </c>
      <c r="L1040" t="s">
        <v>120</v>
      </c>
      <c r="M1040" t="s">
        <v>120</v>
      </c>
      <c r="N1040" t="s">
        <v>120</v>
      </c>
      <c r="O1040" t="s">
        <v>120</v>
      </c>
      <c r="P1040" t="s">
        <v>120</v>
      </c>
      <c r="Q1040" t="s">
        <v>120</v>
      </c>
      <c r="R1040" t="s">
        <v>120</v>
      </c>
      <c r="S1040" t="s">
        <v>120</v>
      </c>
      <c r="T1040" t="s">
        <v>120</v>
      </c>
      <c r="U1040" t="s">
        <v>120</v>
      </c>
      <c r="V1040" t="s">
        <v>120</v>
      </c>
      <c r="W1040" t="s">
        <v>120</v>
      </c>
      <c r="X1040" t="s">
        <v>120</v>
      </c>
      <c r="Y1040" t="s">
        <v>120</v>
      </c>
      <c r="Z1040" t="s">
        <v>120</v>
      </c>
      <c r="AA1040" t="s">
        <v>120</v>
      </c>
      <c r="AB1040" t="s">
        <v>120</v>
      </c>
      <c r="AC1040" t="s">
        <v>120</v>
      </c>
      <c r="AD1040" t="s">
        <v>120</v>
      </c>
      <c r="AE1040" t="s">
        <v>120</v>
      </c>
      <c r="AF1040" t="s">
        <v>120</v>
      </c>
      <c r="AG1040" t="s">
        <v>120</v>
      </c>
      <c r="AH1040" t="s">
        <v>120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28.25</v>
      </c>
      <c r="AP1040">
        <v>0</v>
      </c>
      <c r="AQ1040">
        <v>0</v>
      </c>
      <c r="AR1040">
        <v>70.2</v>
      </c>
      <c r="AS1040">
        <v>0</v>
      </c>
    </row>
    <row r="1041" spans="1:45" x14ac:dyDescent="0.25">
      <c r="A1041" t="s">
        <v>2316</v>
      </c>
      <c r="B1041" t="s">
        <v>2317</v>
      </c>
      <c r="C1041" t="s">
        <v>147</v>
      </c>
      <c r="D1041" t="s">
        <v>150</v>
      </c>
      <c r="E1041" t="s">
        <v>120</v>
      </c>
      <c r="F1041" t="s">
        <v>120</v>
      </c>
      <c r="G1041" t="s">
        <v>120</v>
      </c>
      <c r="H1041" t="s">
        <v>120</v>
      </c>
      <c r="I1041" t="s">
        <v>120</v>
      </c>
      <c r="J1041" t="s">
        <v>120</v>
      </c>
      <c r="K1041" t="s">
        <v>120</v>
      </c>
      <c r="L1041" t="s">
        <v>120</v>
      </c>
      <c r="M1041" t="s">
        <v>120</v>
      </c>
      <c r="N1041" t="s">
        <v>120</v>
      </c>
      <c r="O1041" t="s">
        <v>120</v>
      </c>
      <c r="P1041" t="s">
        <v>120</v>
      </c>
      <c r="Q1041" t="s">
        <v>120</v>
      </c>
      <c r="R1041" t="s">
        <v>120</v>
      </c>
      <c r="S1041" t="s">
        <v>120</v>
      </c>
      <c r="T1041" t="s">
        <v>120</v>
      </c>
      <c r="U1041" t="s">
        <v>120</v>
      </c>
      <c r="V1041" t="s">
        <v>120</v>
      </c>
      <c r="W1041" t="s">
        <v>120</v>
      </c>
      <c r="X1041" t="s">
        <v>120</v>
      </c>
      <c r="Y1041" t="s">
        <v>120</v>
      </c>
      <c r="Z1041" t="s">
        <v>120</v>
      </c>
      <c r="AA1041" t="s">
        <v>120</v>
      </c>
      <c r="AB1041" t="s">
        <v>120</v>
      </c>
      <c r="AC1041" t="s">
        <v>120</v>
      </c>
      <c r="AD1041" t="s">
        <v>120</v>
      </c>
      <c r="AE1041" t="s">
        <v>120</v>
      </c>
      <c r="AF1041" t="s">
        <v>120</v>
      </c>
      <c r="AG1041" t="s">
        <v>120</v>
      </c>
      <c r="AH1041" t="s">
        <v>120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28.25</v>
      </c>
      <c r="AP1041">
        <v>0</v>
      </c>
      <c r="AQ1041">
        <v>0</v>
      </c>
      <c r="AR1041">
        <v>70.2</v>
      </c>
      <c r="AS1041">
        <v>0</v>
      </c>
    </row>
    <row r="1042" spans="1:45" x14ac:dyDescent="0.25">
      <c r="A1042" t="s">
        <v>2318</v>
      </c>
      <c r="B1042" t="s">
        <v>2319</v>
      </c>
      <c r="C1042" t="s">
        <v>147</v>
      </c>
      <c r="D1042" t="s">
        <v>150</v>
      </c>
      <c r="E1042" t="s">
        <v>120</v>
      </c>
      <c r="F1042" t="s">
        <v>120</v>
      </c>
      <c r="G1042" t="s">
        <v>120</v>
      </c>
      <c r="H1042" t="s">
        <v>120</v>
      </c>
      <c r="I1042" t="s">
        <v>120</v>
      </c>
      <c r="J1042" t="s">
        <v>120</v>
      </c>
      <c r="K1042" t="s">
        <v>120</v>
      </c>
      <c r="L1042" t="s">
        <v>120</v>
      </c>
      <c r="M1042" t="s">
        <v>120</v>
      </c>
      <c r="N1042" t="s">
        <v>120</v>
      </c>
      <c r="O1042" t="s">
        <v>120</v>
      </c>
      <c r="P1042" t="s">
        <v>120</v>
      </c>
      <c r="Q1042" t="s">
        <v>120</v>
      </c>
      <c r="R1042" t="s">
        <v>120</v>
      </c>
      <c r="S1042" t="s">
        <v>120</v>
      </c>
      <c r="T1042" t="s">
        <v>120</v>
      </c>
      <c r="U1042" t="s">
        <v>120</v>
      </c>
      <c r="V1042" t="s">
        <v>120</v>
      </c>
      <c r="W1042" t="s">
        <v>120</v>
      </c>
      <c r="X1042" t="s">
        <v>120</v>
      </c>
      <c r="Y1042" t="s">
        <v>120</v>
      </c>
      <c r="Z1042" t="s">
        <v>120</v>
      </c>
      <c r="AA1042" t="s">
        <v>120</v>
      </c>
      <c r="AB1042" t="s">
        <v>120</v>
      </c>
      <c r="AC1042" t="s">
        <v>120</v>
      </c>
      <c r="AD1042" t="s">
        <v>120</v>
      </c>
      <c r="AE1042" t="s">
        <v>120</v>
      </c>
      <c r="AF1042" t="s">
        <v>120</v>
      </c>
      <c r="AG1042" t="s">
        <v>120</v>
      </c>
      <c r="AH1042" t="s">
        <v>120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28.25</v>
      </c>
      <c r="AP1042">
        <v>0</v>
      </c>
      <c r="AQ1042">
        <v>0</v>
      </c>
      <c r="AR1042">
        <v>70.2</v>
      </c>
      <c r="AS1042">
        <v>0</v>
      </c>
    </row>
    <row r="1043" spans="1:45" x14ac:dyDescent="0.25">
      <c r="A1043" t="s">
        <v>2320</v>
      </c>
      <c r="B1043" t="s">
        <v>2321</v>
      </c>
      <c r="C1043" t="s">
        <v>147</v>
      </c>
      <c r="D1043" t="s">
        <v>150</v>
      </c>
      <c r="E1043" t="s">
        <v>120</v>
      </c>
      <c r="F1043" t="s">
        <v>124</v>
      </c>
      <c r="G1043" t="s">
        <v>120</v>
      </c>
      <c r="H1043" t="s">
        <v>120</v>
      </c>
      <c r="I1043" t="s">
        <v>120</v>
      </c>
      <c r="J1043" t="s">
        <v>120</v>
      </c>
      <c r="K1043" t="s">
        <v>120</v>
      </c>
      <c r="L1043" t="s">
        <v>120</v>
      </c>
      <c r="M1043" t="s">
        <v>120</v>
      </c>
      <c r="N1043" t="s">
        <v>120</v>
      </c>
      <c r="O1043" t="s">
        <v>120</v>
      </c>
      <c r="P1043" t="s">
        <v>120</v>
      </c>
      <c r="Q1043" t="s">
        <v>120</v>
      </c>
      <c r="R1043" t="s">
        <v>120</v>
      </c>
      <c r="S1043" t="s">
        <v>120</v>
      </c>
      <c r="T1043" t="s">
        <v>120</v>
      </c>
      <c r="U1043" t="s">
        <v>120</v>
      </c>
      <c r="V1043" t="s">
        <v>120</v>
      </c>
      <c r="W1043" t="s">
        <v>120</v>
      </c>
      <c r="X1043" t="s">
        <v>120</v>
      </c>
      <c r="Y1043" t="s">
        <v>120</v>
      </c>
      <c r="Z1043" t="s">
        <v>120</v>
      </c>
      <c r="AA1043" t="s">
        <v>120</v>
      </c>
      <c r="AB1043" t="s">
        <v>120</v>
      </c>
      <c r="AC1043" t="s">
        <v>120</v>
      </c>
      <c r="AD1043" t="s">
        <v>120</v>
      </c>
      <c r="AE1043" t="s">
        <v>120</v>
      </c>
      <c r="AF1043" t="s">
        <v>120</v>
      </c>
      <c r="AG1043" t="s">
        <v>120</v>
      </c>
      <c r="AH1043" t="s">
        <v>141</v>
      </c>
      <c r="AJ1043">
        <v>0</v>
      </c>
      <c r="AK1043">
        <v>12</v>
      </c>
      <c r="AL1043">
        <v>8</v>
      </c>
      <c r="AM1043">
        <v>4</v>
      </c>
      <c r="AN1043">
        <v>0</v>
      </c>
      <c r="AO1043">
        <v>31.55</v>
      </c>
      <c r="AP1043">
        <v>12</v>
      </c>
      <c r="AQ1043">
        <v>0</v>
      </c>
      <c r="AR1043">
        <v>70.2</v>
      </c>
      <c r="AS1043">
        <v>757.2</v>
      </c>
    </row>
    <row r="1044" spans="1:45" x14ac:dyDescent="0.25">
      <c r="A1044" t="s">
        <v>2322</v>
      </c>
      <c r="B1044" t="s">
        <v>2323</v>
      </c>
      <c r="C1044" t="s">
        <v>147</v>
      </c>
      <c r="D1044" t="s">
        <v>2324</v>
      </c>
      <c r="E1044" t="s">
        <v>120</v>
      </c>
      <c r="F1044" t="s">
        <v>120</v>
      </c>
      <c r="G1044" t="s">
        <v>120</v>
      </c>
      <c r="H1044" t="s">
        <v>120</v>
      </c>
      <c r="I1044" t="s">
        <v>120</v>
      </c>
      <c r="J1044" t="s">
        <v>120</v>
      </c>
      <c r="K1044" t="s">
        <v>120</v>
      </c>
      <c r="L1044" t="s">
        <v>120</v>
      </c>
      <c r="M1044" t="s">
        <v>120</v>
      </c>
      <c r="N1044" t="s">
        <v>120</v>
      </c>
      <c r="O1044" t="s">
        <v>120</v>
      </c>
      <c r="P1044" t="s">
        <v>120</v>
      </c>
      <c r="Q1044" t="s">
        <v>120</v>
      </c>
      <c r="R1044" t="s">
        <v>120</v>
      </c>
      <c r="S1044" t="s">
        <v>120</v>
      </c>
      <c r="T1044" t="s">
        <v>120</v>
      </c>
      <c r="U1044" t="s">
        <v>285</v>
      </c>
      <c r="V1044" t="s">
        <v>120</v>
      </c>
      <c r="W1044" t="s">
        <v>120</v>
      </c>
      <c r="X1044" t="s">
        <v>120</v>
      </c>
      <c r="Y1044" t="s">
        <v>120</v>
      </c>
      <c r="Z1044" t="s">
        <v>120</v>
      </c>
      <c r="AA1044" t="s">
        <v>120</v>
      </c>
      <c r="AB1044" t="s">
        <v>120</v>
      </c>
      <c r="AC1044" t="s">
        <v>120</v>
      </c>
      <c r="AD1044" t="s">
        <v>120</v>
      </c>
      <c r="AE1044" t="s">
        <v>120</v>
      </c>
      <c r="AF1044" t="s">
        <v>124</v>
      </c>
      <c r="AG1044" t="s">
        <v>120</v>
      </c>
      <c r="AH1044" t="s">
        <v>120</v>
      </c>
      <c r="AJ1044">
        <v>0</v>
      </c>
      <c r="AK1044">
        <v>11</v>
      </c>
      <c r="AL1044">
        <v>0</v>
      </c>
      <c r="AM1044">
        <v>4</v>
      </c>
      <c r="AN1044">
        <v>7</v>
      </c>
      <c r="AO1044">
        <v>31.55</v>
      </c>
      <c r="AP1044">
        <v>4</v>
      </c>
      <c r="AQ1044">
        <v>491.40000000000003</v>
      </c>
      <c r="AR1044">
        <v>70.2</v>
      </c>
      <c r="AS1044">
        <v>252.4</v>
      </c>
    </row>
    <row r="1045" spans="1:45" x14ac:dyDescent="0.25">
      <c r="A1045" t="s">
        <v>2325</v>
      </c>
      <c r="B1045" t="s">
        <v>2326</v>
      </c>
      <c r="C1045" t="s">
        <v>147</v>
      </c>
      <c r="D1045" t="s">
        <v>2324</v>
      </c>
      <c r="E1045" t="s">
        <v>120</v>
      </c>
      <c r="F1045" t="s">
        <v>120</v>
      </c>
      <c r="G1045" t="s">
        <v>120</v>
      </c>
      <c r="H1045" t="s">
        <v>120</v>
      </c>
      <c r="I1045" t="s">
        <v>120</v>
      </c>
      <c r="J1045" t="s">
        <v>120</v>
      </c>
      <c r="K1045" t="s">
        <v>120</v>
      </c>
      <c r="L1045" t="s">
        <v>120</v>
      </c>
      <c r="M1045" t="s">
        <v>120</v>
      </c>
      <c r="N1045" t="s">
        <v>120</v>
      </c>
      <c r="O1045" t="s">
        <v>120</v>
      </c>
      <c r="P1045" t="s">
        <v>120</v>
      </c>
      <c r="Q1045" t="s">
        <v>120</v>
      </c>
      <c r="R1045" t="s">
        <v>120</v>
      </c>
      <c r="S1045" t="s">
        <v>120</v>
      </c>
      <c r="T1045" t="s">
        <v>120</v>
      </c>
      <c r="U1045" t="s">
        <v>285</v>
      </c>
      <c r="V1045" t="s">
        <v>120</v>
      </c>
      <c r="W1045" t="s">
        <v>120</v>
      </c>
      <c r="X1045" t="s">
        <v>120</v>
      </c>
      <c r="Y1045" t="s">
        <v>141</v>
      </c>
      <c r="Z1045" t="s">
        <v>120</v>
      </c>
      <c r="AA1045" t="s">
        <v>120</v>
      </c>
      <c r="AB1045" t="s">
        <v>120</v>
      </c>
      <c r="AC1045" t="s">
        <v>120</v>
      </c>
      <c r="AD1045" t="s">
        <v>120</v>
      </c>
      <c r="AE1045" t="s">
        <v>120</v>
      </c>
      <c r="AF1045" t="s">
        <v>120</v>
      </c>
      <c r="AG1045" t="s">
        <v>120</v>
      </c>
      <c r="AH1045" t="s">
        <v>120</v>
      </c>
      <c r="AJ1045">
        <v>0</v>
      </c>
      <c r="AK1045">
        <v>15</v>
      </c>
      <c r="AL1045">
        <v>8</v>
      </c>
      <c r="AM1045">
        <v>0</v>
      </c>
      <c r="AN1045">
        <v>7</v>
      </c>
      <c r="AO1045">
        <v>31.55</v>
      </c>
      <c r="AP1045">
        <v>8</v>
      </c>
      <c r="AQ1045">
        <v>491.40000000000003</v>
      </c>
      <c r="AR1045">
        <v>70.2</v>
      </c>
      <c r="AS1045">
        <v>504.8</v>
      </c>
    </row>
    <row r="1046" spans="1:45" x14ac:dyDescent="0.25">
      <c r="A1046" t="s">
        <v>2327</v>
      </c>
      <c r="B1046" t="s">
        <v>2328</v>
      </c>
      <c r="C1046" t="s">
        <v>147</v>
      </c>
      <c r="D1046" t="s">
        <v>2324</v>
      </c>
      <c r="E1046" t="s">
        <v>120</v>
      </c>
      <c r="F1046" t="s">
        <v>120</v>
      </c>
      <c r="G1046" t="s">
        <v>120</v>
      </c>
      <c r="H1046" t="s">
        <v>120</v>
      </c>
      <c r="I1046" t="s">
        <v>120</v>
      </c>
      <c r="J1046" t="s">
        <v>120</v>
      </c>
      <c r="K1046" t="s">
        <v>120</v>
      </c>
      <c r="L1046" t="s">
        <v>120</v>
      </c>
      <c r="M1046" t="s">
        <v>120</v>
      </c>
      <c r="N1046" t="s">
        <v>120</v>
      </c>
      <c r="O1046" t="s">
        <v>120</v>
      </c>
      <c r="P1046" t="s">
        <v>120</v>
      </c>
      <c r="Q1046" t="s">
        <v>120</v>
      </c>
      <c r="R1046" t="s">
        <v>120</v>
      </c>
      <c r="S1046" t="s">
        <v>120</v>
      </c>
      <c r="T1046" t="s">
        <v>120</v>
      </c>
      <c r="U1046" t="s">
        <v>285</v>
      </c>
      <c r="V1046" t="s">
        <v>120</v>
      </c>
      <c r="W1046" t="s">
        <v>120</v>
      </c>
      <c r="X1046" t="s">
        <v>120</v>
      </c>
      <c r="Y1046" t="s">
        <v>141</v>
      </c>
      <c r="Z1046" t="s">
        <v>120</v>
      </c>
      <c r="AA1046" t="s">
        <v>120</v>
      </c>
      <c r="AB1046" t="s">
        <v>120</v>
      </c>
      <c r="AC1046" t="s">
        <v>120</v>
      </c>
      <c r="AD1046" t="s">
        <v>120</v>
      </c>
      <c r="AE1046" t="s">
        <v>120</v>
      </c>
      <c r="AF1046" t="s">
        <v>120</v>
      </c>
      <c r="AG1046" t="s">
        <v>120</v>
      </c>
      <c r="AH1046" t="s">
        <v>120</v>
      </c>
      <c r="AJ1046">
        <v>0</v>
      </c>
      <c r="AK1046">
        <v>15</v>
      </c>
      <c r="AL1046">
        <v>8</v>
      </c>
      <c r="AM1046">
        <v>0</v>
      </c>
      <c r="AN1046">
        <v>7</v>
      </c>
      <c r="AO1046">
        <v>31.55</v>
      </c>
      <c r="AP1046">
        <v>8</v>
      </c>
      <c r="AQ1046">
        <v>491.40000000000003</v>
      </c>
      <c r="AR1046">
        <v>70.2</v>
      </c>
      <c r="AS1046">
        <v>504.8</v>
      </c>
    </row>
    <row r="1047" spans="1:45" x14ac:dyDescent="0.25">
      <c r="A1047" t="s">
        <v>2329</v>
      </c>
      <c r="B1047" t="s">
        <v>2330</v>
      </c>
      <c r="C1047" t="s">
        <v>130</v>
      </c>
      <c r="D1047" t="s">
        <v>2324</v>
      </c>
      <c r="E1047" t="s">
        <v>120</v>
      </c>
      <c r="F1047" t="s">
        <v>285</v>
      </c>
      <c r="G1047" t="s">
        <v>120</v>
      </c>
      <c r="H1047" t="s">
        <v>120</v>
      </c>
      <c r="I1047" t="s">
        <v>120</v>
      </c>
      <c r="J1047" t="s">
        <v>120</v>
      </c>
      <c r="K1047" t="s">
        <v>120</v>
      </c>
      <c r="L1047" t="s">
        <v>120</v>
      </c>
      <c r="M1047" t="s">
        <v>120</v>
      </c>
      <c r="N1047" t="s">
        <v>120</v>
      </c>
      <c r="O1047" t="s">
        <v>120</v>
      </c>
      <c r="P1047" t="s">
        <v>120</v>
      </c>
      <c r="Q1047" t="s">
        <v>120</v>
      </c>
      <c r="R1047" t="s">
        <v>2194</v>
      </c>
      <c r="S1047" t="s">
        <v>120</v>
      </c>
      <c r="T1047" t="s">
        <v>120</v>
      </c>
      <c r="U1047" t="s">
        <v>285</v>
      </c>
      <c r="V1047" t="s">
        <v>120</v>
      </c>
      <c r="W1047" t="s">
        <v>120</v>
      </c>
      <c r="X1047" t="s">
        <v>120</v>
      </c>
      <c r="Y1047" t="s">
        <v>141</v>
      </c>
      <c r="Z1047" t="s">
        <v>120</v>
      </c>
      <c r="AA1047" t="s">
        <v>120</v>
      </c>
      <c r="AB1047" t="s">
        <v>120</v>
      </c>
      <c r="AC1047" t="s">
        <v>120</v>
      </c>
      <c r="AD1047" t="s">
        <v>120</v>
      </c>
      <c r="AE1047" t="s">
        <v>285</v>
      </c>
      <c r="AF1047" t="s">
        <v>120</v>
      </c>
      <c r="AG1047" t="s">
        <v>120</v>
      </c>
      <c r="AH1047" t="s">
        <v>120</v>
      </c>
      <c r="AJ1047">
        <v>0</v>
      </c>
      <c r="AK1047">
        <v>32</v>
      </c>
      <c r="AL1047">
        <v>8</v>
      </c>
      <c r="AM1047">
        <v>0</v>
      </c>
      <c r="AN1047">
        <v>24</v>
      </c>
      <c r="AO1047">
        <v>7500</v>
      </c>
      <c r="AP1047">
        <v>8</v>
      </c>
      <c r="AQ1047">
        <v>3037.5000000000005</v>
      </c>
      <c r="AR1047">
        <v>126.56250000000001</v>
      </c>
      <c r="AS1047">
        <v>750</v>
      </c>
    </row>
    <row r="1048" spans="1:45" x14ac:dyDescent="0.25">
      <c r="A1048" t="s">
        <v>2331</v>
      </c>
      <c r="B1048" t="s">
        <v>2332</v>
      </c>
      <c r="C1048" t="s">
        <v>147</v>
      </c>
      <c r="D1048" t="s">
        <v>2324</v>
      </c>
      <c r="E1048" t="s">
        <v>120</v>
      </c>
      <c r="F1048" t="s">
        <v>120</v>
      </c>
      <c r="G1048" t="s">
        <v>120</v>
      </c>
      <c r="H1048" t="s">
        <v>120</v>
      </c>
      <c r="I1048" t="s">
        <v>120</v>
      </c>
      <c r="J1048" t="s">
        <v>120</v>
      </c>
      <c r="K1048" t="s">
        <v>120</v>
      </c>
      <c r="L1048" t="s">
        <v>120</v>
      </c>
      <c r="M1048" t="s">
        <v>120</v>
      </c>
      <c r="N1048" t="s">
        <v>120</v>
      </c>
      <c r="O1048" t="s">
        <v>120</v>
      </c>
      <c r="P1048" t="s">
        <v>120</v>
      </c>
      <c r="Q1048" t="s">
        <v>120</v>
      </c>
      <c r="R1048" t="s">
        <v>120</v>
      </c>
      <c r="S1048" t="s">
        <v>120</v>
      </c>
      <c r="T1048" t="s">
        <v>120</v>
      </c>
      <c r="U1048" t="s">
        <v>285</v>
      </c>
      <c r="V1048" t="s">
        <v>120</v>
      </c>
      <c r="W1048" t="s">
        <v>124</v>
      </c>
      <c r="X1048" t="s">
        <v>120</v>
      </c>
      <c r="Y1048" t="s">
        <v>141</v>
      </c>
      <c r="Z1048" t="s">
        <v>120</v>
      </c>
      <c r="AA1048" t="s">
        <v>120</v>
      </c>
      <c r="AB1048" t="s">
        <v>120</v>
      </c>
      <c r="AC1048" t="s">
        <v>120</v>
      </c>
      <c r="AD1048" t="s">
        <v>120</v>
      </c>
      <c r="AE1048" t="s">
        <v>120</v>
      </c>
      <c r="AF1048" t="s">
        <v>120</v>
      </c>
      <c r="AG1048" t="s">
        <v>120</v>
      </c>
      <c r="AH1048" t="s">
        <v>120</v>
      </c>
      <c r="AJ1048">
        <v>0</v>
      </c>
      <c r="AK1048">
        <v>19</v>
      </c>
      <c r="AL1048">
        <v>8</v>
      </c>
      <c r="AM1048">
        <v>4</v>
      </c>
      <c r="AN1048">
        <v>7</v>
      </c>
      <c r="AO1048">
        <v>31.55</v>
      </c>
      <c r="AP1048">
        <v>12</v>
      </c>
      <c r="AQ1048">
        <v>491.40000000000003</v>
      </c>
      <c r="AR1048">
        <v>70.2</v>
      </c>
      <c r="AS1048">
        <v>757.2</v>
      </c>
    </row>
    <row r="1049" spans="1:45" x14ac:dyDescent="0.25">
      <c r="A1049" t="s">
        <v>2333</v>
      </c>
      <c r="B1049" t="s">
        <v>2334</v>
      </c>
      <c r="C1049" t="s">
        <v>147</v>
      </c>
      <c r="D1049" t="s">
        <v>2324</v>
      </c>
      <c r="E1049" t="s">
        <v>120</v>
      </c>
      <c r="F1049" t="s">
        <v>120</v>
      </c>
      <c r="G1049" t="s">
        <v>120</v>
      </c>
      <c r="H1049" t="s">
        <v>120</v>
      </c>
      <c r="I1049" t="s">
        <v>120</v>
      </c>
      <c r="J1049" t="s">
        <v>120</v>
      </c>
      <c r="K1049" t="s">
        <v>120</v>
      </c>
      <c r="L1049" t="s">
        <v>120</v>
      </c>
      <c r="M1049" t="s">
        <v>120</v>
      </c>
      <c r="N1049" t="s">
        <v>120</v>
      </c>
      <c r="O1049" t="s">
        <v>120</v>
      </c>
      <c r="P1049" t="s">
        <v>120</v>
      </c>
      <c r="Q1049" t="s">
        <v>120</v>
      </c>
      <c r="R1049" t="s">
        <v>120</v>
      </c>
      <c r="S1049" t="s">
        <v>120</v>
      </c>
      <c r="T1049" t="s">
        <v>120</v>
      </c>
      <c r="U1049" t="s">
        <v>120</v>
      </c>
      <c r="V1049" t="s">
        <v>120</v>
      </c>
      <c r="W1049" t="s">
        <v>120</v>
      </c>
      <c r="X1049" t="s">
        <v>120</v>
      </c>
      <c r="Y1049" t="s">
        <v>120</v>
      </c>
      <c r="Z1049" t="s">
        <v>120</v>
      </c>
      <c r="AA1049" t="s">
        <v>120</v>
      </c>
      <c r="AB1049" t="s">
        <v>120</v>
      </c>
      <c r="AC1049" t="s">
        <v>120</v>
      </c>
      <c r="AD1049" t="s">
        <v>120</v>
      </c>
      <c r="AE1049" t="s">
        <v>120</v>
      </c>
      <c r="AF1049" t="s">
        <v>120</v>
      </c>
      <c r="AG1049" t="s">
        <v>120</v>
      </c>
      <c r="AH1049" t="s">
        <v>120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31.55</v>
      </c>
      <c r="AP1049">
        <v>0</v>
      </c>
      <c r="AQ1049">
        <v>0</v>
      </c>
      <c r="AR1049">
        <v>70.2</v>
      </c>
      <c r="AS1049">
        <v>0</v>
      </c>
    </row>
    <row r="1050" spans="1:45" x14ac:dyDescent="0.25">
      <c r="A1050" t="s">
        <v>2335</v>
      </c>
      <c r="B1050" t="s">
        <v>2336</v>
      </c>
      <c r="C1050" t="s">
        <v>147</v>
      </c>
      <c r="D1050" t="s">
        <v>2324</v>
      </c>
      <c r="E1050" t="s">
        <v>120</v>
      </c>
      <c r="F1050" t="s">
        <v>120</v>
      </c>
      <c r="G1050" t="s">
        <v>120</v>
      </c>
      <c r="H1050" t="s">
        <v>120</v>
      </c>
      <c r="I1050" t="s">
        <v>120</v>
      </c>
      <c r="J1050" t="s">
        <v>120</v>
      </c>
      <c r="K1050" t="s">
        <v>120</v>
      </c>
      <c r="L1050" t="s">
        <v>120</v>
      </c>
      <c r="M1050" t="s">
        <v>120</v>
      </c>
      <c r="N1050" t="s">
        <v>141</v>
      </c>
      <c r="O1050" t="s">
        <v>120</v>
      </c>
      <c r="P1050" t="s">
        <v>120</v>
      </c>
      <c r="Q1050" t="s">
        <v>120</v>
      </c>
      <c r="R1050" t="s">
        <v>120</v>
      </c>
      <c r="S1050" t="s">
        <v>120</v>
      </c>
      <c r="T1050" t="s">
        <v>120</v>
      </c>
      <c r="U1050" t="s">
        <v>285</v>
      </c>
      <c r="V1050" t="s">
        <v>120</v>
      </c>
      <c r="W1050" t="s">
        <v>124</v>
      </c>
      <c r="X1050" t="s">
        <v>120</v>
      </c>
      <c r="Y1050" t="s">
        <v>141</v>
      </c>
      <c r="Z1050" t="s">
        <v>120</v>
      </c>
      <c r="AA1050" t="s">
        <v>120</v>
      </c>
      <c r="AB1050" t="s">
        <v>120</v>
      </c>
      <c r="AC1050" t="s">
        <v>120</v>
      </c>
      <c r="AD1050" t="s">
        <v>120</v>
      </c>
      <c r="AE1050" t="s">
        <v>120</v>
      </c>
      <c r="AF1050" t="s">
        <v>120</v>
      </c>
      <c r="AG1050" t="s">
        <v>120</v>
      </c>
      <c r="AH1050" t="s">
        <v>120</v>
      </c>
      <c r="AJ1050">
        <v>0</v>
      </c>
      <c r="AK1050">
        <v>27</v>
      </c>
      <c r="AL1050">
        <v>16</v>
      </c>
      <c r="AM1050">
        <v>4</v>
      </c>
      <c r="AN1050">
        <v>7</v>
      </c>
      <c r="AO1050">
        <v>31.55</v>
      </c>
      <c r="AP1050">
        <v>20</v>
      </c>
      <c r="AQ1050">
        <v>491.40000000000003</v>
      </c>
      <c r="AR1050">
        <v>70.2</v>
      </c>
      <c r="AS1050">
        <v>1262</v>
      </c>
    </row>
    <row r="1051" spans="1:45" x14ac:dyDescent="0.25">
      <c r="A1051" t="s">
        <v>2337</v>
      </c>
      <c r="B1051" t="s">
        <v>2338</v>
      </c>
      <c r="C1051" t="s">
        <v>147</v>
      </c>
      <c r="D1051" t="s">
        <v>2324</v>
      </c>
      <c r="E1051" t="s">
        <v>120</v>
      </c>
      <c r="F1051" t="s">
        <v>120</v>
      </c>
      <c r="G1051" t="s">
        <v>120</v>
      </c>
      <c r="H1051" t="s">
        <v>120</v>
      </c>
      <c r="I1051" t="s">
        <v>120</v>
      </c>
      <c r="J1051" t="s">
        <v>120</v>
      </c>
      <c r="K1051" t="s">
        <v>120</v>
      </c>
      <c r="L1051" t="s">
        <v>120</v>
      </c>
      <c r="M1051" t="s">
        <v>120</v>
      </c>
      <c r="N1051" t="s">
        <v>332</v>
      </c>
      <c r="O1051" t="s">
        <v>120</v>
      </c>
      <c r="P1051" t="s">
        <v>120</v>
      </c>
      <c r="Q1051" t="s">
        <v>120</v>
      </c>
      <c r="R1051" t="s">
        <v>120</v>
      </c>
      <c r="S1051" t="s">
        <v>120</v>
      </c>
      <c r="T1051" t="s">
        <v>135</v>
      </c>
      <c r="U1051" t="s">
        <v>285</v>
      </c>
      <c r="V1051" t="s">
        <v>120</v>
      </c>
      <c r="W1051" t="s">
        <v>120</v>
      </c>
      <c r="X1051" t="s">
        <v>120</v>
      </c>
      <c r="Y1051" t="s">
        <v>141</v>
      </c>
      <c r="Z1051" t="s">
        <v>120</v>
      </c>
      <c r="AA1051" t="s">
        <v>120</v>
      </c>
      <c r="AB1051" t="s">
        <v>120</v>
      </c>
      <c r="AC1051" t="s">
        <v>120</v>
      </c>
      <c r="AD1051" t="s">
        <v>120</v>
      </c>
      <c r="AE1051" t="s">
        <v>120</v>
      </c>
      <c r="AF1051" t="s">
        <v>135</v>
      </c>
      <c r="AG1051" t="s">
        <v>120</v>
      </c>
      <c r="AH1051" t="s">
        <v>120</v>
      </c>
      <c r="AJ1051">
        <v>0</v>
      </c>
      <c r="AK1051">
        <v>38</v>
      </c>
      <c r="AL1051">
        <v>15</v>
      </c>
      <c r="AM1051">
        <v>16</v>
      </c>
      <c r="AN1051">
        <v>7</v>
      </c>
      <c r="AO1051">
        <v>31.55</v>
      </c>
      <c r="AP1051">
        <v>31</v>
      </c>
      <c r="AQ1051">
        <v>491.40000000000003</v>
      </c>
      <c r="AR1051">
        <v>70.2</v>
      </c>
      <c r="AS1051">
        <v>1956.1000000000001</v>
      </c>
    </row>
    <row r="1052" spans="1:45" x14ac:dyDescent="0.25">
      <c r="A1052" t="s">
        <v>2339</v>
      </c>
      <c r="B1052" t="s">
        <v>2340</v>
      </c>
      <c r="C1052" t="s">
        <v>147</v>
      </c>
      <c r="D1052" t="s">
        <v>2324</v>
      </c>
      <c r="E1052" t="s">
        <v>120</v>
      </c>
      <c r="F1052" t="s">
        <v>120</v>
      </c>
      <c r="G1052" t="s">
        <v>120</v>
      </c>
      <c r="H1052" t="s">
        <v>120</v>
      </c>
      <c r="I1052" t="s">
        <v>120</v>
      </c>
      <c r="J1052" t="s">
        <v>120</v>
      </c>
      <c r="K1052" t="s">
        <v>120</v>
      </c>
      <c r="L1052" t="s">
        <v>120</v>
      </c>
      <c r="M1052" t="s">
        <v>120</v>
      </c>
      <c r="N1052" t="s">
        <v>120</v>
      </c>
      <c r="O1052" t="s">
        <v>120</v>
      </c>
      <c r="P1052" t="s">
        <v>120</v>
      </c>
      <c r="Q1052" t="s">
        <v>120</v>
      </c>
      <c r="R1052" t="s">
        <v>120</v>
      </c>
      <c r="S1052" t="s">
        <v>120</v>
      </c>
      <c r="T1052" t="s">
        <v>120</v>
      </c>
      <c r="U1052" t="s">
        <v>120</v>
      </c>
      <c r="V1052" t="s">
        <v>120</v>
      </c>
      <c r="W1052" t="s">
        <v>120</v>
      </c>
      <c r="X1052" t="s">
        <v>120</v>
      </c>
      <c r="Y1052" t="s">
        <v>120</v>
      </c>
      <c r="Z1052" t="s">
        <v>120</v>
      </c>
      <c r="AA1052" t="s">
        <v>120</v>
      </c>
      <c r="AB1052" t="s">
        <v>120</v>
      </c>
      <c r="AC1052" t="s">
        <v>120</v>
      </c>
      <c r="AD1052" t="s">
        <v>120</v>
      </c>
      <c r="AE1052" t="s">
        <v>120</v>
      </c>
      <c r="AF1052" t="s">
        <v>120</v>
      </c>
      <c r="AG1052" t="s">
        <v>120</v>
      </c>
      <c r="AH1052" t="s">
        <v>120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28.25</v>
      </c>
      <c r="AP1052">
        <v>0</v>
      </c>
      <c r="AQ1052">
        <v>0</v>
      </c>
      <c r="AR1052">
        <v>70.2</v>
      </c>
      <c r="AS1052">
        <v>0</v>
      </c>
    </row>
    <row r="1053" spans="1:45" x14ac:dyDescent="0.25">
      <c r="A1053" t="s">
        <v>2341</v>
      </c>
      <c r="B1053" t="s">
        <v>2342</v>
      </c>
      <c r="C1053" t="s">
        <v>147</v>
      </c>
      <c r="D1053" t="s">
        <v>2324</v>
      </c>
      <c r="E1053" t="s">
        <v>120</v>
      </c>
      <c r="F1053" t="s">
        <v>285</v>
      </c>
      <c r="G1053" t="s">
        <v>120</v>
      </c>
      <c r="H1053" t="s">
        <v>120</v>
      </c>
      <c r="I1053" t="s">
        <v>120</v>
      </c>
      <c r="J1053" t="s">
        <v>120</v>
      </c>
      <c r="K1053" t="s">
        <v>120</v>
      </c>
      <c r="L1053" t="s">
        <v>120</v>
      </c>
      <c r="M1053" t="s">
        <v>120</v>
      </c>
      <c r="N1053" t="s">
        <v>120</v>
      </c>
      <c r="O1053" t="s">
        <v>120</v>
      </c>
      <c r="P1053" t="s">
        <v>120</v>
      </c>
      <c r="Q1053" t="s">
        <v>120</v>
      </c>
      <c r="R1053" t="s">
        <v>2194</v>
      </c>
      <c r="S1053" t="s">
        <v>120</v>
      </c>
      <c r="T1053" t="s">
        <v>120</v>
      </c>
      <c r="U1053" t="s">
        <v>285</v>
      </c>
      <c r="V1053" t="s">
        <v>120</v>
      </c>
      <c r="W1053" t="s">
        <v>120</v>
      </c>
      <c r="X1053" t="s">
        <v>120</v>
      </c>
      <c r="Y1053" t="s">
        <v>120</v>
      </c>
      <c r="Z1053" t="s">
        <v>120</v>
      </c>
      <c r="AA1053" t="s">
        <v>120</v>
      </c>
      <c r="AB1053" t="s">
        <v>120</v>
      </c>
      <c r="AC1053" t="s">
        <v>120</v>
      </c>
      <c r="AD1053" t="s">
        <v>120</v>
      </c>
      <c r="AE1053" t="s">
        <v>285</v>
      </c>
      <c r="AF1053" t="s">
        <v>124</v>
      </c>
      <c r="AG1053" t="s">
        <v>120</v>
      </c>
      <c r="AH1053" t="s">
        <v>120</v>
      </c>
      <c r="AJ1053">
        <v>0</v>
      </c>
      <c r="AK1053">
        <v>28</v>
      </c>
      <c r="AL1053">
        <v>0</v>
      </c>
      <c r="AM1053">
        <v>4</v>
      </c>
      <c r="AN1053">
        <v>24</v>
      </c>
      <c r="AO1053">
        <v>31.55</v>
      </c>
      <c r="AP1053">
        <v>4</v>
      </c>
      <c r="AQ1053">
        <v>1684.8000000000002</v>
      </c>
      <c r="AR1053">
        <v>70.2</v>
      </c>
      <c r="AS1053">
        <v>252.4</v>
      </c>
    </row>
    <row r="1054" spans="1:45" x14ac:dyDescent="0.25">
      <c r="A1054" t="s">
        <v>2343</v>
      </c>
      <c r="B1054" t="s">
        <v>2344</v>
      </c>
      <c r="C1054" t="s">
        <v>147</v>
      </c>
      <c r="D1054" t="s">
        <v>2324</v>
      </c>
      <c r="E1054" t="s">
        <v>120</v>
      </c>
      <c r="F1054" t="s">
        <v>120</v>
      </c>
      <c r="G1054" t="s">
        <v>120</v>
      </c>
      <c r="H1054" t="s">
        <v>120</v>
      </c>
      <c r="I1054" t="s">
        <v>120</v>
      </c>
      <c r="J1054" t="s">
        <v>120</v>
      </c>
      <c r="K1054" t="s">
        <v>120</v>
      </c>
      <c r="L1054" t="s">
        <v>120</v>
      </c>
      <c r="M1054" t="s">
        <v>120</v>
      </c>
      <c r="N1054" t="s">
        <v>120</v>
      </c>
      <c r="O1054" t="s">
        <v>120</v>
      </c>
      <c r="P1054" t="s">
        <v>120</v>
      </c>
      <c r="Q1054" t="s">
        <v>120</v>
      </c>
      <c r="R1054" t="s">
        <v>120</v>
      </c>
      <c r="S1054" t="s">
        <v>120</v>
      </c>
      <c r="T1054" t="s">
        <v>120</v>
      </c>
      <c r="U1054" t="s">
        <v>285</v>
      </c>
      <c r="V1054" t="s">
        <v>120</v>
      </c>
      <c r="W1054" t="s">
        <v>120</v>
      </c>
      <c r="X1054" t="s">
        <v>120</v>
      </c>
      <c r="Y1054" t="s">
        <v>120</v>
      </c>
      <c r="Z1054" t="s">
        <v>120</v>
      </c>
      <c r="AA1054" t="s">
        <v>120</v>
      </c>
      <c r="AB1054" t="s">
        <v>120</v>
      </c>
      <c r="AC1054" t="s">
        <v>120</v>
      </c>
      <c r="AD1054" t="s">
        <v>120</v>
      </c>
      <c r="AE1054" t="s">
        <v>120</v>
      </c>
      <c r="AF1054" t="s">
        <v>120</v>
      </c>
      <c r="AG1054" t="s">
        <v>120</v>
      </c>
      <c r="AH1054" t="s">
        <v>120</v>
      </c>
      <c r="AJ1054">
        <v>0</v>
      </c>
      <c r="AK1054">
        <v>7</v>
      </c>
      <c r="AL1054">
        <v>0</v>
      </c>
      <c r="AM1054">
        <v>0</v>
      </c>
      <c r="AN1054">
        <v>7</v>
      </c>
      <c r="AO1054">
        <v>31.55</v>
      </c>
      <c r="AP1054">
        <v>0</v>
      </c>
      <c r="AQ1054">
        <v>491.40000000000003</v>
      </c>
      <c r="AR1054">
        <v>70.2</v>
      </c>
      <c r="AS1054">
        <v>0</v>
      </c>
    </row>
    <row r="1055" spans="1:45" x14ac:dyDescent="0.25">
      <c r="A1055" t="s">
        <v>2345</v>
      </c>
      <c r="B1055" t="s">
        <v>2346</v>
      </c>
      <c r="C1055" t="s">
        <v>147</v>
      </c>
      <c r="D1055" t="s">
        <v>2324</v>
      </c>
      <c r="E1055" t="s">
        <v>120</v>
      </c>
      <c r="F1055" t="s">
        <v>120</v>
      </c>
      <c r="G1055" t="s">
        <v>120</v>
      </c>
      <c r="H1055" t="s">
        <v>120</v>
      </c>
      <c r="I1055" t="s">
        <v>120</v>
      </c>
      <c r="J1055" t="s">
        <v>120</v>
      </c>
      <c r="K1055" t="s">
        <v>120</v>
      </c>
      <c r="L1055" t="s">
        <v>120</v>
      </c>
      <c r="M1055" t="s">
        <v>120</v>
      </c>
      <c r="N1055" t="s">
        <v>120</v>
      </c>
      <c r="O1055" t="s">
        <v>120</v>
      </c>
      <c r="P1055" t="s">
        <v>120</v>
      </c>
      <c r="Q1055" t="s">
        <v>120</v>
      </c>
      <c r="R1055" t="s">
        <v>120</v>
      </c>
      <c r="S1055" t="s">
        <v>120</v>
      </c>
      <c r="T1055" t="s">
        <v>120</v>
      </c>
      <c r="U1055" t="s">
        <v>120</v>
      </c>
      <c r="V1055" t="s">
        <v>120</v>
      </c>
      <c r="W1055" t="s">
        <v>120</v>
      </c>
      <c r="X1055" t="s">
        <v>120</v>
      </c>
      <c r="Y1055" t="s">
        <v>120</v>
      </c>
      <c r="Z1055" t="s">
        <v>120</v>
      </c>
      <c r="AA1055" t="s">
        <v>120</v>
      </c>
      <c r="AB1055" t="s">
        <v>120</v>
      </c>
      <c r="AC1055" t="s">
        <v>120</v>
      </c>
      <c r="AD1055" t="s">
        <v>120</v>
      </c>
      <c r="AE1055" t="s">
        <v>120</v>
      </c>
      <c r="AF1055" t="s">
        <v>120</v>
      </c>
      <c r="AG1055" t="s">
        <v>120</v>
      </c>
      <c r="AH1055" t="s">
        <v>120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31.55</v>
      </c>
      <c r="AP1055">
        <v>0</v>
      </c>
      <c r="AQ1055">
        <v>0</v>
      </c>
      <c r="AR1055">
        <v>70.2</v>
      </c>
      <c r="AS1055">
        <v>0</v>
      </c>
    </row>
    <row r="1056" spans="1:45" x14ac:dyDescent="0.25">
      <c r="A1056" t="s">
        <v>2347</v>
      </c>
      <c r="B1056" t="s">
        <v>2348</v>
      </c>
      <c r="C1056" t="s">
        <v>147</v>
      </c>
      <c r="D1056" t="s">
        <v>2324</v>
      </c>
      <c r="E1056" t="s">
        <v>120</v>
      </c>
      <c r="F1056" t="s">
        <v>120</v>
      </c>
      <c r="G1056" t="s">
        <v>120</v>
      </c>
      <c r="H1056" t="s">
        <v>120</v>
      </c>
      <c r="I1056" t="s">
        <v>120</v>
      </c>
      <c r="J1056" t="s">
        <v>120</v>
      </c>
      <c r="K1056" t="s">
        <v>120</v>
      </c>
      <c r="L1056" t="s">
        <v>120</v>
      </c>
      <c r="M1056" t="s">
        <v>120</v>
      </c>
      <c r="N1056" t="s">
        <v>120</v>
      </c>
      <c r="O1056" t="s">
        <v>120</v>
      </c>
      <c r="P1056" t="s">
        <v>120</v>
      </c>
      <c r="Q1056" t="s">
        <v>120</v>
      </c>
      <c r="R1056" t="s">
        <v>120</v>
      </c>
      <c r="S1056" t="s">
        <v>120</v>
      </c>
      <c r="T1056" t="s">
        <v>120</v>
      </c>
      <c r="U1056" t="s">
        <v>120</v>
      </c>
      <c r="V1056" t="s">
        <v>120</v>
      </c>
      <c r="W1056" t="s">
        <v>120</v>
      </c>
      <c r="X1056" t="s">
        <v>120</v>
      </c>
      <c r="Y1056" t="s">
        <v>120</v>
      </c>
      <c r="Z1056" t="s">
        <v>120</v>
      </c>
      <c r="AA1056" t="s">
        <v>120</v>
      </c>
      <c r="AB1056" t="s">
        <v>120</v>
      </c>
      <c r="AC1056" t="s">
        <v>120</v>
      </c>
      <c r="AD1056" t="s">
        <v>120</v>
      </c>
      <c r="AE1056" t="s">
        <v>120</v>
      </c>
      <c r="AF1056" t="s">
        <v>135</v>
      </c>
      <c r="AG1056" t="s">
        <v>120</v>
      </c>
      <c r="AH1056" t="s">
        <v>120</v>
      </c>
      <c r="AJ1056">
        <v>0</v>
      </c>
      <c r="AK1056">
        <v>8</v>
      </c>
      <c r="AL1056">
        <v>0</v>
      </c>
      <c r="AM1056">
        <v>8</v>
      </c>
      <c r="AN1056">
        <v>0</v>
      </c>
      <c r="AO1056">
        <v>28.25</v>
      </c>
      <c r="AP1056">
        <v>8</v>
      </c>
      <c r="AQ1056">
        <v>0</v>
      </c>
      <c r="AR1056">
        <v>70.2</v>
      </c>
      <c r="AS1056">
        <v>452</v>
      </c>
    </row>
    <row r="1057" spans="1:45" x14ac:dyDescent="0.25">
      <c r="A1057" t="s">
        <v>2349</v>
      </c>
      <c r="B1057" t="s">
        <v>2350</v>
      </c>
      <c r="C1057" t="s">
        <v>147</v>
      </c>
      <c r="D1057" t="s">
        <v>2324</v>
      </c>
      <c r="E1057" t="s">
        <v>120</v>
      </c>
      <c r="F1057" t="s">
        <v>120</v>
      </c>
      <c r="G1057" t="s">
        <v>120</v>
      </c>
      <c r="H1057" t="s">
        <v>120</v>
      </c>
      <c r="I1057" t="s">
        <v>120</v>
      </c>
      <c r="J1057" t="s">
        <v>120</v>
      </c>
      <c r="K1057" t="s">
        <v>120</v>
      </c>
      <c r="L1057" t="s">
        <v>120</v>
      </c>
      <c r="M1057" t="s">
        <v>120</v>
      </c>
      <c r="N1057" t="s">
        <v>120</v>
      </c>
      <c r="O1057" t="s">
        <v>120</v>
      </c>
      <c r="P1057" t="s">
        <v>120</v>
      </c>
      <c r="Q1057" t="s">
        <v>120</v>
      </c>
      <c r="R1057" t="s">
        <v>120</v>
      </c>
      <c r="S1057" t="s">
        <v>120</v>
      </c>
      <c r="T1057" t="s">
        <v>120</v>
      </c>
      <c r="U1057" t="s">
        <v>120</v>
      </c>
      <c r="V1057" t="s">
        <v>120</v>
      </c>
      <c r="W1057" t="s">
        <v>120</v>
      </c>
      <c r="X1057" t="s">
        <v>120</v>
      </c>
      <c r="Y1057" t="s">
        <v>120</v>
      </c>
      <c r="Z1057" t="s">
        <v>120</v>
      </c>
      <c r="AA1057" t="s">
        <v>120</v>
      </c>
      <c r="AB1057" t="s">
        <v>120</v>
      </c>
      <c r="AC1057" t="s">
        <v>120</v>
      </c>
      <c r="AD1057" t="s">
        <v>120</v>
      </c>
      <c r="AE1057" t="s">
        <v>120</v>
      </c>
      <c r="AF1057" t="s">
        <v>120</v>
      </c>
      <c r="AG1057" t="s">
        <v>120</v>
      </c>
      <c r="AH1057" t="s">
        <v>120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31.55</v>
      </c>
      <c r="AP1057">
        <v>0</v>
      </c>
      <c r="AQ1057">
        <v>0</v>
      </c>
      <c r="AR1057">
        <v>70.2</v>
      </c>
      <c r="AS1057">
        <v>0</v>
      </c>
    </row>
    <row r="1058" spans="1:45" x14ac:dyDescent="0.25">
      <c r="A1058" t="s">
        <v>2351</v>
      </c>
      <c r="B1058" t="s">
        <v>2352</v>
      </c>
      <c r="C1058" t="s">
        <v>147</v>
      </c>
      <c r="D1058" t="s">
        <v>2324</v>
      </c>
      <c r="E1058" t="s">
        <v>120</v>
      </c>
      <c r="F1058" t="s">
        <v>120</v>
      </c>
      <c r="G1058" t="s">
        <v>120</v>
      </c>
      <c r="H1058" t="s">
        <v>120</v>
      </c>
      <c r="I1058" t="s">
        <v>120</v>
      </c>
      <c r="J1058" t="s">
        <v>120</v>
      </c>
      <c r="K1058" t="s">
        <v>120</v>
      </c>
      <c r="L1058" t="s">
        <v>120</v>
      </c>
      <c r="M1058" t="s">
        <v>120</v>
      </c>
      <c r="N1058" t="s">
        <v>120</v>
      </c>
      <c r="O1058" t="s">
        <v>120</v>
      </c>
      <c r="P1058" t="s">
        <v>120</v>
      </c>
      <c r="Q1058" t="s">
        <v>120</v>
      </c>
      <c r="R1058" t="s">
        <v>120</v>
      </c>
      <c r="S1058" t="s">
        <v>120</v>
      </c>
      <c r="T1058" t="s">
        <v>120</v>
      </c>
      <c r="U1058" t="s">
        <v>285</v>
      </c>
      <c r="V1058" t="s">
        <v>120</v>
      </c>
      <c r="W1058" t="s">
        <v>120</v>
      </c>
      <c r="X1058" t="s">
        <v>120</v>
      </c>
      <c r="Y1058" t="s">
        <v>120</v>
      </c>
      <c r="Z1058" t="s">
        <v>120</v>
      </c>
      <c r="AA1058" t="s">
        <v>120</v>
      </c>
      <c r="AB1058" t="s">
        <v>120</v>
      </c>
      <c r="AC1058" t="s">
        <v>120</v>
      </c>
      <c r="AD1058" t="s">
        <v>120</v>
      </c>
      <c r="AE1058" t="s">
        <v>120</v>
      </c>
      <c r="AF1058" t="s">
        <v>120</v>
      </c>
      <c r="AG1058" t="s">
        <v>120</v>
      </c>
      <c r="AH1058" t="s">
        <v>120</v>
      </c>
      <c r="AJ1058">
        <v>0</v>
      </c>
      <c r="AK1058">
        <v>7</v>
      </c>
      <c r="AL1058">
        <v>0</v>
      </c>
      <c r="AM1058">
        <v>0</v>
      </c>
      <c r="AN1058">
        <v>7</v>
      </c>
      <c r="AO1058">
        <v>31.55</v>
      </c>
      <c r="AP1058">
        <v>0</v>
      </c>
      <c r="AQ1058">
        <v>491.40000000000003</v>
      </c>
      <c r="AR1058">
        <v>70.2</v>
      </c>
      <c r="AS1058">
        <v>0</v>
      </c>
    </row>
    <row r="1059" spans="1:45" x14ac:dyDescent="0.25">
      <c r="A1059" t="s">
        <v>2353</v>
      </c>
      <c r="B1059" t="s">
        <v>2354</v>
      </c>
      <c r="C1059" t="s">
        <v>147</v>
      </c>
      <c r="D1059" t="s">
        <v>2324</v>
      </c>
      <c r="E1059" t="s">
        <v>120</v>
      </c>
      <c r="F1059" t="s">
        <v>120</v>
      </c>
      <c r="G1059" t="s">
        <v>120</v>
      </c>
      <c r="H1059" t="s">
        <v>120</v>
      </c>
      <c r="I1059" t="s">
        <v>120</v>
      </c>
      <c r="J1059" t="s">
        <v>120</v>
      </c>
      <c r="K1059" t="s">
        <v>120</v>
      </c>
      <c r="L1059" t="s">
        <v>120</v>
      </c>
      <c r="M1059" t="s">
        <v>120</v>
      </c>
      <c r="N1059" t="s">
        <v>120</v>
      </c>
      <c r="O1059" t="s">
        <v>120</v>
      </c>
      <c r="P1059" t="s">
        <v>120</v>
      </c>
      <c r="Q1059" t="s">
        <v>120</v>
      </c>
      <c r="R1059" t="s">
        <v>120</v>
      </c>
      <c r="S1059" t="s">
        <v>120</v>
      </c>
      <c r="T1059" t="s">
        <v>120</v>
      </c>
      <c r="U1059" t="s">
        <v>285</v>
      </c>
      <c r="V1059" t="s">
        <v>120</v>
      </c>
      <c r="W1059" t="s">
        <v>120</v>
      </c>
      <c r="X1059" t="s">
        <v>120</v>
      </c>
      <c r="Y1059" t="s">
        <v>120</v>
      </c>
      <c r="Z1059" t="s">
        <v>120</v>
      </c>
      <c r="AA1059" t="s">
        <v>120</v>
      </c>
      <c r="AB1059" t="s">
        <v>120</v>
      </c>
      <c r="AC1059" t="s">
        <v>120</v>
      </c>
      <c r="AD1059" t="s">
        <v>120</v>
      </c>
      <c r="AE1059" t="s">
        <v>120</v>
      </c>
      <c r="AF1059" t="s">
        <v>120</v>
      </c>
      <c r="AG1059" t="s">
        <v>120</v>
      </c>
      <c r="AH1059" t="s">
        <v>120</v>
      </c>
      <c r="AJ1059">
        <v>0</v>
      </c>
      <c r="AK1059">
        <v>7</v>
      </c>
      <c r="AL1059">
        <v>0</v>
      </c>
      <c r="AM1059">
        <v>0</v>
      </c>
      <c r="AN1059">
        <v>7</v>
      </c>
      <c r="AO1059">
        <v>31.55</v>
      </c>
      <c r="AP1059">
        <v>0</v>
      </c>
      <c r="AQ1059">
        <v>491.40000000000003</v>
      </c>
      <c r="AR1059">
        <v>70.2</v>
      </c>
      <c r="AS1059">
        <v>0</v>
      </c>
    </row>
    <row r="1060" spans="1:45" x14ac:dyDescent="0.25">
      <c r="A1060" t="s">
        <v>2355</v>
      </c>
      <c r="B1060" t="s">
        <v>2356</v>
      </c>
      <c r="C1060" t="s">
        <v>147</v>
      </c>
      <c r="D1060" t="s">
        <v>2324</v>
      </c>
      <c r="E1060" t="s">
        <v>120</v>
      </c>
      <c r="F1060" t="s">
        <v>120</v>
      </c>
      <c r="G1060" t="s">
        <v>120</v>
      </c>
      <c r="H1060" t="s">
        <v>120</v>
      </c>
      <c r="I1060" t="s">
        <v>120</v>
      </c>
      <c r="J1060" t="s">
        <v>120</v>
      </c>
      <c r="K1060" t="s">
        <v>120</v>
      </c>
      <c r="L1060" t="s">
        <v>120</v>
      </c>
      <c r="M1060" t="s">
        <v>120</v>
      </c>
      <c r="N1060" t="s">
        <v>120</v>
      </c>
      <c r="O1060" t="s">
        <v>120</v>
      </c>
      <c r="P1060" t="s">
        <v>120</v>
      </c>
      <c r="Q1060" t="s">
        <v>120</v>
      </c>
      <c r="R1060" t="s">
        <v>120</v>
      </c>
      <c r="S1060" t="s">
        <v>120</v>
      </c>
      <c r="T1060" t="s">
        <v>120</v>
      </c>
      <c r="U1060" t="s">
        <v>120</v>
      </c>
      <c r="V1060" t="s">
        <v>120</v>
      </c>
      <c r="W1060" t="s">
        <v>120</v>
      </c>
      <c r="X1060" t="s">
        <v>120</v>
      </c>
      <c r="Y1060" t="s">
        <v>120</v>
      </c>
      <c r="Z1060" t="s">
        <v>120</v>
      </c>
      <c r="AA1060" t="s">
        <v>120</v>
      </c>
      <c r="AB1060" t="s">
        <v>120</v>
      </c>
      <c r="AC1060" t="s">
        <v>120</v>
      </c>
      <c r="AD1060" t="s">
        <v>120</v>
      </c>
      <c r="AE1060" t="s">
        <v>120</v>
      </c>
      <c r="AF1060" t="s">
        <v>120</v>
      </c>
      <c r="AG1060" t="s">
        <v>120</v>
      </c>
      <c r="AH1060" t="s">
        <v>120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31.55</v>
      </c>
      <c r="AP1060">
        <v>0</v>
      </c>
      <c r="AQ1060">
        <v>0</v>
      </c>
      <c r="AR1060">
        <v>70.2</v>
      </c>
      <c r="AS1060">
        <v>0</v>
      </c>
    </row>
    <row r="1061" spans="1:45" x14ac:dyDescent="0.25">
      <c r="A1061" t="s">
        <v>2357</v>
      </c>
      <c r="B1061" t="s">
        <v>2358</v>
      </c>
      <c r="C1061" t="s">
        <v>147</v>
      </c>
      <c r="D1061" t="s">
        <v>2324</v>
      </c>
      <c r="E1061" t="s">
        <v>120</v>
      </c>
      <c r="F1061" t="s">
        <v>285</v>
      </c>
      <c r="G1061" t="s">
        <v>120</v>
      </c>
      <c r="H1061" t="s">
        <v>120</v>
      </c>
      <c r="I1061" t="s">
        <v>120</v>
      </c>
      <c r="J1061" t="s">
        <v>120</v>
      </c>
      <c r="K1061" t="s">
        <v>120</v>
      </c>
      <c r="L1061" t="s">
        <v>120</v>
      </c>
      <c r="M1061" t="s">
        <v>120</v>
      </c>
      <c r="N1061" t="s">
        <v>120</v>
      </c>
      <c r="O1061" t="s">
        <v>120</v>
      </c>
      <c r="P1061" t="s">
        <v>120</v>
      </c>
      <c r="Q1061" t="s">
        <v>120</v>
      </c>
      <c r="R1061" t="s">
        <v>120</v>
      </c>
      <c r="S1061" t="s">
        <v>120</v>
      </c>
      <c r="T1061" t="s">
        <v>120</v>
      </c>
      <c r="U1061" t="s">
        <v>120</v>
      </c>
      <c r="V1061" t="s">
        <v>120</v>
      </c>
      <c r="W1061" t="s">
        <v>120</v>
      </c>
      <c r="X1061" t="s">
        <v>120</v>
      </c>
      <c r="Y1061" t="s">
        <v>120</v>
      </c>
      <c r="Z1061" t="s">
        <v>120</v>
      </c>
      <c r="AA1061" t="s">
        <v>120</v>
      </c>
      <c r="AB1061" t="s">
        <v>120</v>
      </c>
      <c r="AC1061" t="s">
        <v>120</v>
      </c>
      <c r="AD1061" t="s">
        <v>120</v>
      </c>
      <c r="AE1061" t="s">
        <v>120</v>
      </c>
      <c r="AF1061" t="s">
        <v>120</v>
      </c>
      <c r="AG1061" t="s">
        <v>120</v>
      </c>
      <c r="AH1061" t="s">
        <v>120</v>
      </c>
      <c r="AJ1061">
        <v>0</v>
      </c>
      <c r="AK1061">
        <v>7</v>
      </c>
      <c r="AL1061">
        <v>0</v>
      </c>
      <c r="AM1061">
        <v>0</v>
      </c>
      <c r="AN1061">
        <v>7</v>
      </c>
      <c r="AO1061">
        <v>28.25</v>
      </c>
      <c r="AP1061">
        <v>0</v>
      </c>
      <c r="AQ1061">
        <v>491.40000000000003</v>
      </c>
      <c r="AR1061">
        <v>70.2</v>
      </c>
      <c r="AS1061">
        <v>0</v>
      </c>
    </row>
    <row r="1062" spans="1:45" x14ac:dyDescent="0.25">
      <c r="A1062" t="s">
        <v>2359</v>
      </c>
      <c r="B1062" t="s">
        <v>2360</v>
      </c>
      <c r="C1062" t="s">
        <v>147</v>
      </c>
      <c r="D1062" t="s">
        <v>2324</v>
      </c>
      <c r="E1062" t="s">
        <v>120</v>
      </c>
      <c r="F1062" t="s">
        <v>120</v>
      </c>
      <c r="G1062" t="s">
        <v>120</v>
      </c>
      <c r="H1062" t="s">
        <v>120</v>
      </c>
      <c r="I1062" t="s">
        <v>120</v>
      </c>
      <c r="J1062" t="s">
        <v>120</v>
      </c>
      <c r="K1062" t="s">
        <v>120</v>
      </c>
      <c r="L1062" t="s">
        <v>120</v>
      </c>
      <c r="M1062" t="s">
        <v>120</v>
      </c>
      <c r="N1062" t="s">
        <v>120</v>
      </c>
      <c r="O1062" t="s">
        <v>120</v>
      </c>
      <c r="P1062" t="s">
        <v>120</v>
      </c>
      <c r="Q1062" t="s">
        <v>120</v>
      </c>
      <c r="R1062" t="s">
        <v>120</v>
      </c>
      <c r="S1062" t="s">
        <v>120</v>
      </c>
      <c r="T1062" t="s">
        <v>120</v>
      </c>
      <c r="U1062" t="s">
        <v>120</v>
      </c>
      <c r="V1062" t="s">
        <v>120</v>
      </c>
      <c r="W1062" t="s">
        <v>120</v>
      </c>
      <c r="X1062" t="s">
        <v>120</v>
      </c>
      <c r="Y1062" t="s">
        <v>120</v>
      </c>
      <c r="Z1062" t="s">
        <v>120</v>
      </c>
      <c r="AA1062" t="s">
        <v>120</v>
      </c>
      <c r="AB1062" t="s">
        <v>120</v>
      </c>
      <c r="AC1062" t="s">
        <v>120</v>
      </c>
      <c r="AD1062" t="s">
        <v>120</v>
      </c>
      <c r="AE1062" t="s">
        <v>120</v>
      </c>
      <c r="AF1062" t="s">
        <v>120</v>
      </c>
      <c r="AG1062" t="s">
        <v>120</v>
      </c>
      <c r="AH1062" t="s">
        <v>120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31.55</v>
      </c>
      <c r="AP1062">
        <v>0</v>
      </c>
      <c r="AQ1062">
        <v>0</v>
      </c>
      <c r="AR1062">
        <v>70.2</v>
      </c>
      <c r="AS1062">
        <v>0</v>
      </c>
    </row>
    <row r="1063" spans="1:45" x14ac:dyDescent="0.25">
      <c r="A1063" t="s">
        <v>2361</v>
      </c>
      <c r="B1063" t="s">
        <v>2362</v>
      </c>
      <c r="C1063" t="s">
        <v>147</v>
      </c>
      <c r="D1063" t="s">
        <v>2324</v>
      </c>
      <c r="E1063" t="s">
        <v>120</v>
      </c>
      <c r="F1063" t="s">
        <v>120</v>
      </c>
      <c r="G1063" t="s">
        <v>120</v>
      </c>
      <c r="H1063" t="s">
        <v>120</v>
      </c>
      <c r="I1063" t="s">
        <v>120</v>
      </c>
      <c r="J1063" t="s">
        <v>120</v>
      </c>
      <c r="K1063" t="s">
        <v>120</v>
      </c>
      <c r="L1063" t="s">
        <v>120</v>
      </c>
      <c r="M1063" t="s">
        <v>120</v>
      </c>
      <c r="N1063" t="s">
        <v>120</v>
      </c>
      <c r="O1063" t="s">
        <v>120</v>
      </c>
      <c r="P1063" t="s">
        <v>120</v>
      </c>
      <c r="Q1063" t="s">
        <v>120</v>
      </c>
      <c r="R1063" t="s">
        <v>120</v>
      </c>
      <c r="S1063" t="s">
        <v>120</v>
      </c>
      <c r="T1063" t="s">
        <v>120</v>
      </c>
      <c r="U1063" t="s">
        <v>285</v>
      </c>
      <c r="V1063" t="s">
        <v>120</v>
      </c>
      <c r="W1063" t="s">
        <v>120</v>
      </c>
      <c r="X1063" t="s">
        <v>120</v>
      </c>
      <c r="Y1063" t="s">
        <v>120</v>
      </c>
      <c r="Z1063" t="s">
        <v>120</v>
      </c>
      <c r="AA1063" t="s">
        <v>120</v>
      </c>
      <c r="AB1063" t="s">
        <v>120</v>
      </c>
      <c r="AC1063" t="s">
        <v>120</v>
      </c>
      <c r="AD1063" t="s">
        <v>120</v>
      </c>
      <c r="AE1063" t="s">
        <v>120</v>
      </c>
      <c r="AF1063" t="s">
        <v>120</v>
      </c>
      <c r="AG1063" t="s">
        <v>120</v>
      </c>
      <c r="AH1063" t="s">
        <v>120</v>
      </c>
      <c r="AJ1063">
        <v>0</v>
      </c>
      <c r="AK1063">
        <v>7</v>
      </c>
      <c r="AL1063">
        <v>0</v>
      </c>
      <c r="AM1063">
        <v>0</v>
      </c>
      <c r="AN1063">
        <v>7</v>
      </c>
      <c r="AO1063">
        <v>31.55</v>
      </c>
      <c r="AP1063">
        <v>0</v>
      </c>
      <c r="AQ1063">
        <v>491.40000000000003</v>
      </c>
      <c r="AR1063">
        <v>70.2</v>
      </c>
      <c r="AS1063">
        <v>0</v>
      </c>
    </row>
    <row r="1064" spans="1:45" x14ac:dyDescent="0.25">
      <c r="A1064" t="s">
        <v>2363</v>
      </c>
      <c r="B1064" t="s">
        <v>2364</v>
      </c>
      <c r="C1064" t="s">
        <v>147</v>
      </c>
      <c r="D1064" t="s">
        <v>2324</v>
      </c>
      <c r="E1064" t="s">
        <v>120</v>
      </c>
      <c r="F1064" t="s">
        <v>120</v>
      </c>
      <c r="G1064" t="s">
        <v>120</v>
      </c>
      <c r="H1064" t="s">
        <v>120</v>
      </c>
      <c r="I1064" t="s">
        <v>120</v>
      </c>
      <c r="J1064" t="s">
        <v>120</v>
      </c>
      <c r="K1064" t="s">
        <v>120</v>
      </c>
      <c r="L1064" t="s">
        <v>120</v>
      </c>
      <c r="M1064" t="s">
        <v>120</v>
      </c>
      <c r="N1064" t="s">
        <v>120</v>
      </c>
      <c r="O1064" t="s">
        <v>120</v>
      </c>
      <c r="P1064" t="s">
        <v>120</v>
      </c>
      <c r="Q1064" t="s">
        <v>120</v>
      </c>
      <c r="R1064" t="s">
        <v>120</v>
      </c>
      <c r="S1064" t="s">
        <v>120</v>
      </c>
      <c r="T1064" t="s">
        <v>120</v>
      </c>
      <c r="U1064" t="s">
        <v>285</v>
      </c>
      <c r="V1064" t="s">
        <v>120</v>
      </c>
      <c r="W1064" t="s">
        <v>120</v>
      </c>
      <c r="X1064" t="s">
        <v>120</v>
      </c>
      <c r="Y1064" t="s">
        <v>120</v>
      </c>
      <c r="Z1064" t="s">
        <v>120</v>
      </c>
      <c r="AA1064" t="s">
        <v>120</v>
      </c>
      <c r="AB1064" t="s">
        <v>120</v>
      </c>
      <c r="AC1064" t="s">
        <v>120</v>
      </c>
      <c r="AD1064" t="s">
        <v>120</v>
      </c>
      <c r="AE1064" t="s">
        <v>120</v>
      </c>
      <c r="AF1064" t="s">
        <v>120</v>
      </c>
      <c r="AG1064" t="s">
        <v>120</v>
      </c>
      <c r="AH1064" t="s">
        <v>120</v>
      </c>
      <c r="AJ1064">
        <v>0</v>
      </c>
      <c r="AK1064">
        <v>7</v>
      </c>
      <c r="AL1064">
        <v>0</v>
      </c>
      <c r="AM1064">
        <v>0</v>
      </c>
      <c r="AN1064">
        <v>7</v>
      </c>
      <c r="AO1064">
        <v>31.55</v>
      </c>
      <c r="AP1064">
        <v>0</v>
      </c>
      <c r="AQ1064">
        <v>491.40000000000003</v>
      </c>
      <c r="AR1064">
        <v>70.2</v>
      </c>
      <c r="AS1064">
        <v>0</v>
      </c>
    </row>
    <row r="1065" spans="1:45" x14ac:dyDescent="0.25">
      <c r="A1065" t="s">
        <v>2365</v>
      </c>
      <c r="B1065" t="s">
        <v>2366</v>
      </c>
      <c r="C1065" t="s">
        <v>147</v>
      </c>
      <c r="D1065" t="s">
        <v>2324</v>
      </c>
      <c r="E1065" t="s">
        <v>120</v>
      </c>
      <c r="F1065" t="s">
        <v>120</v>
      </c>
      <c r="G1065" t="s">
        <v>120</v>
      </c>
      <c r="H1065" t="s">
        <v>120</v>
      </c>
      <c r="I1065" t="s">
        <v>120</v>
      </c>
      <c r="J1065" t="s">
        <v>120</v>
      </c>
      <c r="K1065" t="s">
        <v>120</v>
      </c>
      <c r="L1065" t="s">
        <v>120</v>
      </c>
      <c r="M1065" t="s">
        <v>120</v>
      </c>
      <c r="N1065" t="s">
        <v>120</v>
      </c>
      <c r="O1065" t="s">
        <v>120</v>
      </c>
      <c r="P1065" t="s">
        <v>120</v>
      </c>
      <c r="Q1065" t="s">
        <v>120</v>
      </c>
      <c r="R1065" t="s">
        <v>120</v>
      </c>
      <c r="S1065" t="s">
        <v>120</v>
      </c>
      <c r="T1065" t="s">
        <v>120</v>
      </c>
      <c r="U1065" t="s">
        <v>285</v>
      </c>
      <c r="V1065" t="s">
        <v>120</v>
      </c>
      <c r="W1065" t="s">
        <v>120</v>
      </c>
      <c r="X1065" t="s">
        <v>120</v>
      </c>
      <c r="Y1065" t="s">
        <v>141</v>
      </c>
      <c r="Z1065" t="s">
        <v>120</v>
      </c>
      <c r="AA1065" t="s">
        <v>120</v>
      </c>
      <c r="AB1065" t="s">
        <v>120</v>
      </c>
      <c r="AC1065" t="s">
        <v>120</v>
      </c>
      <c r="AD1065" t="s">
        <v>120</v>
      </c>
      <c r="AE1065" t="s">
        <v>120</v>
      </c>
      <c r="AF1065" t="s">
        <v>120</v>
      </c>
      <c r="AG1065" t="s">
        <v>120</v>
      </c>
      <c r="AH1065" t="s">
        <v>120</v>
      </c>
      <c r="AJ1065">
        <v>0</v>
      </c>
      <c r="AK1065">
        <v>15</v>
      </c>
      <c r="AL1065">
        <v>8</v>
      </c>
      <c r="AM1065">
        <v>0</v>
      </c>
      <c r="AN1065">
        <v>7</v>
      </c>
      <c r="AO1065">
        <v>31.55</v>
      </c>
      <c r="AP1065">
        <v>8</v>
      </c>
      <c r="AQ1065">
        <v>491.40000000000003</v>
      </c>
      <c r="AR1065">
        <v>70.2</v>
      </c>
      <c r="AS1065">
        <v>504.8</v>
      </c>
    </row>
    <row r="1066" spans="1:45" x14ac:dyDescent="0.25">
      <c r="A1066" t="s">
        <v>2367</v>
      </c>
      <c r="B1066" t="s">
        <v>2368</v>
      </c>
      <c r="C1066" t="s">
        <v>147</v>
      </c>
      <c r="D1066" t="s">
        <v>2369</v>
      </c>
      <c r="F1066" t="s">
        <v>120</v>
      </c>
      <c r="G1066" t="s">
        <v>120</v>
      </c>
      <c r="H1066" t="s">
        <v>120</v>
      </c>
      <c r="I1066" t="s">
        <v>120</v>
      </c>
      <c r="J1066" t="s">
        <v>120</v>
      </c>
      <c r="K1066" t="s">
        <v>120</v>
      </c>
      <c r="L1066" t="s">
        <v>120</v>
      </c>
      <c r="M1066" t="s">
        <v>120</v>
      </c>
      <c r="N1066" t="s">
        <v>120</v>
      </c>
      <c r="O1066" t="s">
        <v>120</v>
      </c>
      <c r="P1066" t="s">
        <v>120</v>
      </c>
      <c r="Q1066" t="s">
        <v>120</v>
      </c>
      <c r="R1066" t="s">
        <v>120</v>
      </c>
      <c r="S1066" t="s">
        <v>120</v>
      </c>
      <c r="T1066" t="s">
        <v>120</v>
      </c>
      <c r="U1066" t="s">
        <v>120</v>
      </c>
      <c r="V1066" t="s">
        <v>120</v>
      </c>
      <c r="W1066" t="s">
        <v>120</v>
      </c>
      <c r="X1066" t="s">
        <v>120</v>
      </c>
      <c r="Y1066" t="s">
        <v>120</v>
      </c>
      <c r="Z1066" t="s">
        <v>120</v>
      </c>
      <c r="AA1066" t="s">
        <v>120</v>
      </c>
      <c r="AB1066" t="s">
        <v>120</v>
      </c>
      <c r="AC1066" t="s">
        <v>120</v>
      </c>
      <c r="AD1066" t="s">
        <v>120</v>
      </c>
      <c r="AE1066" t="s">
        <v>120</v>
      </c>
      <c r="AF1066" t="s">
        <v>120</v>
      </c>
      <c r="AG1066" t="s">
        <v>120</v>
      </c>
      <c r="AH1066" t="s">
        <v>120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31.55</v>
      </c>
      <c r="AP1066">
        <v>0</v>
      </c>
      <c r="AQ1066">
        <v>0</v>
      </c>
      <c r="AR1066">
        <v>70.2</v>
      </c>
      <c r="AS1066">
        <v>0</v>
      </c>
    </row>
    <row r="1067" spans="1:45" x14ac:dyDescent="0.25">
      <c r="A1067" t="s">
        <v>2370</v>
      </c>
      <c r="B1067" t="s">
        <v>2371</v>
      </c>
      <c r="C1067" t="s">
        <v>147</v>
      </c>
      <c r="D1067" t="s">
        <v>2369</v>
      </c>
      <c r="E1067" t="s">
        <v>120</v>
      </c>
      <c r="F1067" t="s">
        <v>120</v>
      </c>
      <c r="G1067" t="s">
        <v>120</v>
      </c>
      <c r="H1067" t="s">
        <v>120</v>
      </c>
      <c r="I1067" t="s">
        <v>120</v>
      </c>
      <c r="J1067" t="s">
        <v>120</v>
      </c>
      <c r="K1067" t="s">
        <v>120</v>
      </c>
      <c r="L1067" t="s">
        <v>120</v>
      </c>
      <c r="M1067" t="s">
        <v>120</v>
      </c>
      <c r="N1067" t="s">
        <v>120</v>
      </c>
      <c r="O1067" t="s">
        <v>120</v>
      </c>
      <c r="P1067" t="s">
        <v>120</v>
      </c>
      <c r="Q1067" t="s">
        <v>120</v>
      </c>
      <c r="R1067" t="s">
        <v>120</v>
      </c>
      <c r="S1067" t="s">
        <v>120</v>
      </c>
      <c r="T1067" t="s">
        <v>120</v>
      </c>
      <c r="U1067" t="s">
        <v>120</v>
      </c>
      <c r="V1067" t="s">
        <v>120</v>
      </c>
      <c r="W1067" t="s">
        <v>120</v>
      </c>
      <c r="X1067" t="s">
        <v>120</v>
      </c>
      <c r="Y1067" t="s">
        <v>120</v>
      </c>
      <c r="Z1067" t="s">
        <v>120</v>
      </c>
      <c r="AA1067" t="s">
        <v>120</v>
      </c>
      <c r="AB1067" t="s">
        <v>120</v>
      </c>
      <c r="AC1067" t="s">
        <v>120</v>
      </c>
      <c r="AD1067" t="s">
        <v>120</v>
      </c>
      <c r="AE1067" t="s">
        <v>120</v>
      </c>
      <c r="AF1067" t="s">
        <v>120</v>
      </c>
      <c r="AG1067" t="s">
        <v>120</v>
      </c>
      <c r="AH1067" t="s">
        <v>120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31.55</v>
      </c>
      <c r="AP1067">
        <v>0</v>
      </c>
      <c r="AQ1067">
        <v>0</v>
      </c>
      <c r="AR1067">
        <v>70.2</v>
      </c>
      <c r="AS1067">
        <v>0</v>
      </c>
    </row>
    <row r="1068" spans="1:45" x14ac:dyDescent="0.25">
      <c r="A1068" t="s">
        <v>2372</v>
      </c>
      <c r="B1068" t="s">
        <v>2373</v>
      </c>
      <c r="C1068" t="s">
        <v>147</v>
      </c>
      <c r="D1068" t="s">
        <v>2369</v>
      </c>
      <c r="E1068" t="s">
        <v>120</v>
      </c>
      <c r="F1068" t="s">
        <v>120</v>
      </c>
      <c r="G1068" t="s">
        <v>120</v>
      </c>
      <c r="H1068" t="s">
        <v>120</v>
      </c>
      <c r="I1068" t="s">
        <v>120</v>
      </c>
      <c r="J1068" t="s">
        <v>120</v>
      </c>
      <c r="K1068" t="s">
        <v>120</v>
      </c>
      <c r="L1068" t="s">
        <v>120</v>
      </c>
      <c r="M1068" t="s">
        <v>120</v>
      </c>
      <c r="N1068" t="s">
        <v>120</v>
      </c>
      <c r="O1068" t="s">
        <v>120</v>
      </c>
      <c r="P1068" t="s">
        <v>120</v>
      </c>
      <c r="Q1068" t="s">
        <v>120</v>
      </c>
      <c r="R1068" t="s">
        <v>120</v>
      </c>
      <c r="S1068" t="s">
        <v>120</v>
      </c>
      <c r="T1068" t="s">
        <v>120</v>
      </c>
      <c r="U1068" t="s">
        <v>120</v>
      </c>
      <c r="V1068" t="s">
        <v>120</v>
      </c>
      <c r="W1068" t="s">
        <v>120</v>
      </c>
      <c r="X1068" t="s">
        <v>120</v>
      </c>
      <c r="Y1068" t="s">
        <v>120</v>
      </c>
      <c r="Z1068" t="s">
        <v>120</v>
      </c>
      <c r="AA1068" t="s">
        <v>120</v>
      </c>
      <c r="AB1068" t="s">
        <v>120</v>
      </c>
      <c r="AC1068" t="s">
        <v>120</v>
      </c>
      <c r="AD1068" t="s">
        <v>120</v>
      </c>
      <c r="AE1068" t="s">
        <v>120</v>
      </c>
      <c r="AF1068" t="s">
        <v>120</v>
      </c>
      <c r="AG1068" t="s">
        <v>120</v>
      </c>
      <c r="AH1068" t="s">
        <v>120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31.55</v>
      </c>
      <c r="AP1068">
        <v>0</v>
      </c>
      <c r="AQ1068">
        <v>0</v>
      </c>
      <c r="AR1068">
        <v>70.2</v>
      </c>
      <c r="AS1068">
        <v>0</v>
      </c>
    </row>
    <row r="1069" spans="1:45" x14ac:dyDescent="0.25">
      <c r="A1069" t="s">
        <v>2374</v>
      </c>
      <c r="B1069" t="s">
        <v>2375</v>
      </c>
      <c r="C1069" t="s">
        <v>147</v>
      </c>
      <c r="D1069" t="s">
        <v>2369</v>
      </c>
      <c r="E1069" t="s">
        <v>120</v>
      </c>
      <c r="F1069" t="s">
        <v>120</v>
      </c>
      <c r="G1069" t="s">
        <v>120</v>
      </c>
      <c r="H1069" t="s">
        <v>120</v>
      </c>
      <c r="I1069" t="s">
        <v>327</v>
      </c>
      <c r="J1069" t="s">
        <v>120</v>
      </c>
      <c r="K1069" t="s">
        <v>120</v>
      </c>
      <c r="L1069" t="s">
        <v>120</v>
      </c>
      <c r="M1069" t="s">
        <v>120</v>
      </c>
      <c r="N1069" t="s">
        <v>341</v>
      </c>
      <c r="O1069" t="s">
        <v>120</v>
      </c>
      <c r="P1069" t="s">
        <v>120</v>
      </c>
      <c r="Q1069" t="s">
        <v>120</v>
      </c>
      <c r="R1069" t="s">
        <v>120</v>
      </c>
      <c r="S1069" t="s">
        <v>120</v>
      </c>
      <c r="T1069" t="s">
        <v>120</v>
      </c>
      <c r="U1069" t="s">
        <v>120</v>
      </c>
      <c r="V1069" t="s">
        <v>120</v>
      </c>
      <c r="W1069" t="s">
        <v>120</v>
      </c>
      <c r="X1069" t="s">
        <v>120</v>
      </c>
      <c r="Y1069" t="s">
        <v>120</v>
      </c>
      <c r="Z1069" t="s">
        <v>120</v>
      </c>
      <c r="AA1069" t="s">
        <v>120</v>
      </c>
      <c r="AB1069" t="s">
        <v>120</v>
      </c>
      <c r="AC1069" t="s">
        <v>120</v>
      </c>
      <c r="AD1069" t="s">
        <v>341</v>
      </c>
      <c r="AE1069" t="s">
        <v>341</v>
      </c>
      <c r="AF1069" t="s">
        <v>120</v>
      </c>
      <c r="AG1069" t="s">
        <v>120</v>
      </c>
      <c r="AH1069" t="s">
        <v>120</v>
      </c>
      <c r="AJ1069">
        <v>0</v>
      </c>
      <c r="AK1069">
        <v>14.999999999999996</v>
      </c>
      <c r="AL1069">
        <v>14.999999999999996</v>
      </c>
      <c r="AM1069">
        <v>0</v>
      </c>
      <c r="AN1069">
        <v>0</v>
      </c>
      <c r="AO1069">
        <v>31.55</v>
      </c>
      <c r="AP1069">
        <v>14.999999999999996</v>
      </c>
      <c r="AQ1069">
        <v>0</v>
      </c>
      <c r="AR1069">
        <v>70.2</v>
      </c>
      <c r="AS1069">
        <v>946.49999999999977</v>
      </c>
    </row>
    <row r="1070" spans="1:45" x14ac:dyDescent="0.25">
      <c r="A1070" t="s">
        <v>2376</v>
      </c>
      <c r="B1070" t="s">
        <v>2377</v>
      </c>
      <c r="C1070" t="s">
        <v>147</v>
      </c>
      <c r="D1070" t="s">
        <v>2369</v>
      </c>
      <c r="E1070" t="s">
        <v>120</v>
      </c>
      <c r="F1070" t="s">
        <v>120</v>
      </c>
      <c r="G1070" t="s">
        <v>120</v>
      </c>
      <c r="H1070" t="s">
        <v>120</v>
      </c>
      <c r="I1070" t="s">
        <v>120</v>
      </c>
      <c r="J1070" t="s">
        <v>120</v>
      </c>
      <c r="K1070" t="s">
        <v>120</v>
      </c>
      <c r="L1070" t="s">
        <v>120</v>
      </c>
      <c r="M1070" t="s">
        <v>120</v>
      </c>
      <c r="N1070" t="s">
        <v>341</v>
      </c>
      <c r="O1070" t="s">
        <v>120</v>
      </c>
      <c r="P1070" t="s">
        <v>120</v>
      </c>
      <c r="Q1070" t="s">
        <v>120</v>
      </c>
      <c r="R1070" t="s">
        <v>120</v>
      </c>
      <c r="S1070" t="s">
        <v>120</v>
      </c>
      <c r="T1070" t="s">
        <v>120</v>
      </c>
      <c r="U1070" t="s">
        <v>120</v>
      </c>
      <c r="V1070" t="s">
        <v>120</v>
      </c>
      <c r="W1070" t="s">
        <v>120</v>
      </c>
      <c r="X1070" t="s">
        <v>120</v>
      </c>
      <c r="Y1070" t="s">
        <v>120</v>
      </c>
      <c r="Z1070" t="s">
        <v>120</v>
      </c>
      <c r="AA1070" t="s">
        <v>120</v>
      </c>
      <c r="AB1070" t="s">
        <v>120</v>
      </c>
      <c r="AC1070" t="s">
        <v>120</v>
      </c>
      <c r="AD1070" t="s">
        <v>141</v>
      </c>
      <c r="AE1070" t="s">
        <v>141</v>
      </c>
      <c r="AF1070" t="s">
        <v>141</v>
      </c>
      <c r="AG1070" t="s">
        <v>141</v>
      </c>
      <c r="AH1070" t="s">
        <v>120</v>
      </c>
      <c r="AJ1070">
        <v>0</v>
      </c>
      <c r="AK1070">
        <v>35.999999999999993</v>
      </c>
      <c r="AL1070">
        <v>35.999999999999993</v>
      </c>
      <c r="AM1070">
        <v>0</v>
      </c>
      <c r="AN1070">
        <v>0</v>
      </c>
      <c r="AO1070">
        <v>31.55</v>
      </c>
      <c r="AP1070">
        <v>35.999999999999993</v>
      </c>
      <c r="AQ1070">
        <v>0</v>
      </c>
      <c r="AR1070">
        <v>70.2</v>
      </c>
      <c r="AS1070">
        <v>2271.5999999999995</v>
      </c>
    </row>
    <row r="1071" spans="1:45" x14ac:dyDescent="0.25">
      <c r="A1071" t="s">
        <v>2378</v>
      </c>
      <c r="B1071" t="s">
        <v>2379</v>
      </c>
      <c r="C1071" t="s">
        <v>147</v>
      </c>
      <c r="D1071" t="s">
        <v>2369</v>
      </c>
      <c r="E1071" t="s">
        <v>120</v>
      </c>
      <c r="F1071" t="s">
        <v>120</v>
      </c>
      <c r="G1071" t="s">
        <v>120</v>
      </c>
      <c r="H1071" t="s">
        <v>120</v>
      </c>
      <c r="I1071" t="s">
        <v>120</v>
      </c>
      <c r="J1071" t="s">
        <v>120</v>
      </c>
      <c r="K1071" t="s">
        <v>120</v>
      </c>
      <c r="L1071" t="s">
        <v>120</v>
      </c>
      <c r="M1071" t="s">
        <v>120</v>
      </c>
      <c r="N1071" t="s">
        <v>120</v>
      </c>
      <c r="O1071" t="s">
        <v>120</v>
      </c>
      <c r="P1071" t="s">
        <v>120</v>
      </c>
      <c r="Q1071" t="s">
        <v>120</v>
      </c>
      <c r="R1071" t="s">
        <v>120</v>
      </c>
      <c r="S1071" t="s">
        <v>120</v>
      </c>
      <c r="T1071" t="s">
        <v>120</v>
      </c>
      <c r="U1071" t="s">
        <v>120</v>
      </c>
      <c r="V1071" t="s">
        <v>120</v>
      </c>
      <c r="W1071" t="s">
        <v>120</v>
      </c>
      <c r="X1071" t="s">
        <v>120</v>
      </c>
      <c r="Y1071" t="s">
        <v>120</v>
      </c>
      <c r="Z1071" t="s">
        <v>120</v>
      </c>
      <c r="AA1071" t="s">
        <v>120</v>
      </c>
      <c r="AB1071" t="s">
        <v>120</v>
      </c>
      <c r="AC1071" t="s">
        <v>120</v>
      </c>
      <c r="AD1071" t="s">
        <v>120</v>
      </c>
      <c r="AE1071" t="s">
        <v>120</v>
      </c>
      <c r="AF1071" t="s">
        <v>120</v>
      </c>
      <c r="AG1071" t="s">
        <v>120</v>
      </c>
      <c r="AH1071" t="s">
        <v>120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31.55</v>
      </c>
      <c r="AP1071">
        <v>0</v>
      </c>
      <c r="AQ1071">
        <v>0</v>
      </c>
      <c r="AR1071">
        <v>70.2</v>
      </c>
      <c r="AS1071">
        <v>0</v>
      </c>
    </row>
    <row r="1072" spans="1:45" x14ac:dyDescent="0.25">
      <c r="A1072" t="s">
        <v>2380</v>
      </c>
      <c r="B1072" t="s">
        <v>2381</v>
      </c>
      <c r="C1072" t="s">
        <v>147</v>
      </c>
      <c r="D1072" t="s">
        <v>2369</v>
      </c>
      <c r="E1072" t="s">
        <v>120</v>
      </c>
      <c r="F1072" t="s">
        <v>120</v>
      </c>
      <c r="G1072" t="s">
        <v>120</v>
      </c>
      <c r="H1072" t="s">
        <v>120</v>
      </c>
      <c r="I1072" t="s">
        <v>120</v>
      </c>
      <c r="J1072" t="s">
        <v>120</v>
      </c>
      <c r="K1072" t="s">
        <v>120</v>
      </c>
      <c r="L1072" t="s">
        <v>120</v>
      </c>
      <c r="M1072" t="s">
        <v>120</v>
      </c>
      <c r="N1072" t="s">
        <v>120</v>
      </c>
      <c r="O1072" t="s">
        <v>120</v>
      </c>
      <c r="P1072" t="s">
        <v>120</v>
      </c>
      <c r="Q1072" t="s">
        <v>120</v>
      </c>
      <c r="R1072" t="s">
        <v>120</v>
      </c>
      <c r="S1072" t="s">
        <v>120</v>
      </c>
      <c r="T1072" t="s">
        <v>120</v>
      </c>
      <c r="U1072" t="s">
        <v>120</v>
      </c>
      <c r="V1072" t="s">
        <v>120</v>
      </c>
      <c r="W1072" t="s">
        <v>120</v>
      </c>
      <c r="X1072" t="s">
        <v>120</v>
      </c>
      <c r="Y1072" t="s">
        <v>120</v>
      </c>
      <c r="Z1072" t="s">
        <v>120</v>
      </c>
      <c r="AA1072" t="s">
        <v>120</v>
      </c>
      <c r="AB1072" t="s">
        <v>120</v>
      </c>
      <c r="AC1072" t="s">
        <v>120</v>
      </c>
      <c r="AD1072" t="s">
        <v>120</v>
      </c>
      <c r="AE1072" t="s">
        <v>120</v>
      </c>
      <c r="AF1072" t="s">
        <v>120</v>
      </c>
      <c r="AG1072" t="s">
        <v>341</v>
      </c>
      <c r="AH1072" t="s">
        <v>120</v>
      </c>
      <c r="AJ1072">
        <v>0</v>
      </c>
      <c r="AK1072">
        <v>4</v>
      </c>
      <c r="AL1072">
        <v>4</v>
      </c>
      <c r="AM1072">
        <v>0</v>
      </c>
      <c r="AN1072">
        <v>0</v>
      </c>
      <c r="AO1072">
        <v>31.55</v>
      </c>
      <c r="AP1072">
        <v>4</v>
      </c>
      <c r="AQ1072">
        <v>0</v>
      </c>
      <c r="AR1072">
        <v>70.2</v>
      </c>
      <c r="AS1072">
        <v>252.4</v>
      </c>
    </row>
    <row r="1073" spans="1:45" x14ac:dyDescent="0.25">
      <c r="A1073" t="s">
        <v>2382</v>
      </c>
      <c r="B1073" t="s">
        <v>2383</v>
      </c>
      <c r="C1073" t="s">
        <v>147</v>
      </c>
      <c r="D1073" t="s">
        <v>2369</v>
      </c>
      <c r="E1073" t="s">
        <v>120</v>
      </c>
      <c r="F1073" t="s">
        <v>120</v>
      </c>
      <c r="G1073" t="s">
        <v>120</v>
      </c>
      <c r="H1073" t="s">
        <v>120</v>
      </c>
      <c r="I1073" t="s">
        <v>120</v>
      </c>
      <c r="J1073" t="s">
        <v>120</v>
      </c>
      <c r="K1073" t="s">
        <v>120</v>
      </c>
      <c r="L1073" t="s">
        <v>120</v>
      </c>
      <c r="M1073" t="s">
        <v>120</v>
      </c>
      <c r="N1073" t="s">
        <v>120</v>
      </c>
      <c r="O1073" t="s">
        <v>120</v>
      </c>
      <c r="P1073" t="s">
        <v>120</v>
      </c>
      <c r="Q1073" t="s">
        <v>120</v>
      </c>
      <c r="R1073" t="s">
        <v>120</v>
      </c>
      <c r="S1073" t="s">
        <v>120</v>
      </c>
      <c r="T1073" t="s">
        <v>120</v>
      </c>
      <c r="U1073" t="s">
        <v>120</v>
      </c>
      <c r="V1073" t="s">
        <v>120</v>
      </c>
      <c r="W1073" t="s">
        <v>120</v>
      </c>
      <c r="X1073" t="s">
        <v>120</v>
      </c>
      <c r="Y1073" t="s">
        <v>120</v>
      </c>
      <c r="Z1073" t="s">
        <v>120</v>
      </c>
      <c r="AA1073" t="s">
        <v>120</v>
      </c>
      <c r="AB1073" t="s">
        <v>120</v>
      </c>
      <c r="AC1073" t="s">
        <v>120</v>
      </c>
      <c r="AD1073" t="s">
        <v>120</v>
      </c>
      <c r="AE1073" t="s">
        <v>120</v>
      </c>
      <c r="AF1073" t="s">
        <v>120</v>
      </c>
      <c r="AG1073" t="s">
        <v>120</v>
      </c>
      <c r="AH1073" t="s">
        <v>120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31.55</v>
      </c>
      <c r="AP1073">
        <v>0</v>
      </c>
      <c r="AQ1073">
        <v>0</v>
      </c>
      <c r="AR1073">
        <v>70.2</v>
      </c>
      <c r="AS1073">
        <v>0</v>
      </c>
    </row>
    <row r="1074" spans="1:45" x14ac:dyDescent="0.25">
      <c r="A1074" t="s">
        <v>2384</v>
      </c>
      <c r="B1074" t="s">
        <v>2385</v>
      </c>
      <c r="C1074" t="s">
        <v>127</v>
      </c>
      <c r="D1074" t="s">
        <v>2369</v>
      </c>
      <c r="E1074" t="s">
        <v>120</v>
      </c>
      <c r="F1074" t="s">
        <v>120</v>
      </c>
      <c r="G1074" t="s">
        <v>120</v>
      </c>
      <c r="H1074" t="s">
        <v>120</v>
      </c>
      <c r="I1074" t="s">
        <v>120</v>
      </c>
      <c r="J1074" t="s">
        <v>120</v>
      </c>
      <c r="K1074" t="s">
        <v>120</v>
      </c>
      <c r="L1074" t="s">
        <v>120</v>
      </c>
      <c r="M1074" t="s">
        <v>120</v>
      </c>
      <c r="N1074" t="s">
        <v>120</v>
      </c>
      <c r="O1074" t="s">
        <v>120</v>
      </c>
      <c r="P1074" t="s">
        <v>120</v>
      </c>
      <c r="Q1074" t="s">
        <v>120</v>
      </c>
      <c r="R1074" t="s">
        <v>120</v>
      </c>
      <c r="S1074" t="s">
        <v>120</v>
      </c>
      <c r="T1074" t="s">
        <v>120</v>
      </c>
      <c r="U1074" t="s">
        <v>120</v>
      </c>
      <c r="V1074" t="s">
        <v>120</v>
      </c>
      <c r="W1074" t="s">
        <v>120</v>
      </c>
      <c r="X1074" t="s">
        <v>120</v>
      </c>
      <c r="Y1074" t="s">
        <v>120</v>
      </c>
      <c r="Z1074" t="s">
        <v>120</v>
      </c>
      <c r="AA1074" t="s">
        <v>120</v>
      </c>
      <c r="AB1074" t="s">
        <v>120</v>
      </c>
      <c r="AC1074" t="s">
        <v>120</v>
      </c>
      <c r="AD1074" t="s">
        <v>120</v>
      </c>
      <c r="AE1074" t="s">
        <v>120</v>
      </c>
      <c r="AF1074" t="s">
        <v>120</v>
      </c>
      <c r="AG1074" t="s">
        <v>120</v>
      </c>
      <c r="AH1074" t="s">
        <v>120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33.43</v>
      </c>
      <c r="AP1074">
        <v>0</v>
      </c>
      <c r="AQ1074">
        <v>0</v>
      </c>
      <c r="AR1074">
        <v>75.06</v>
      </c>
      <c r="AS1074">
        <v>0</v>
      </c>
    </row>
    <row r="1075" spans="1:45" x14ac:dyDescent="0.25">
      <c r="A1075" t="s">
        <v>2386</v>
      </c>
      <c r="B1075" t="s">
        <v>2387</v>
      </c>
      <c r="C1075" t="s">
        <v>147</v>
      </c>
      <c r="D1075" t="s">
        <v>2369</v>
      </c>
      <c r="E1075" t="s">
        <v>120</v>
      </c>
      <c r="F1075" t="s">
        <v>120</v>
      </c>
      <c r="G1075" t="s">
        <v>120</v>
      </c>
      <c r="H1075" t="s">
        <v>120</v>
      </c>
      <c r="I1075" t="s">
        <v>120</v>
      </c>
      <c r="J1075" t="s">
        <v>120</v>
      </c>
      <c r="K1075" t="s">
        <v>120</v>
      </c>
      <c r="L1075" t="s">
        <v>120</v>
      </c>
      <c r="M1075" t="s">
        <v>120</v>
      </c>
      <c r="N1075" t="s">
        <v>120</v>
      </c>
      <c r="O1075" t="s">
        <v>120</v>
      </c>
      <c r="P1075" t="s">
        <v>120</v>
      </c>
      <c r="Q1075" t="s">
        <v>120</v>
      </c>
      <c r="R1075" t="s">
        <v>120</v>
      </c>
      <c r="S1075" t="s">
        <v>120</v>
      </c>
      <c r="T1075" t="s">
        <v>120</v>
      </c>
      <c r="U1075" t="s">
        <v>120</v>
      </c>
      <c r="V1075" t="s">
        <v>120</v>
      </c>
      <c r="W1075" t="s">
        <v>120</v>
      </c>
      <c r="X1075" t="s">
        <v>120</v>
      </c>
      <c r="Y1075" t="s">
        <v>141</v>
      </c>
      <c r="Z1075" t="s">
        <v>120</v>
      </c>
      <c r="AA1075" t="s">
        <v>120</v>
      </c>
      <c r="AB1075" t="s">
        <v>120</v>
      </c>
      <c r="AC1075" t="s">
        <v>120</v>
      </c>
      <c r="AD1075" t="s">
        <v>120</v>
      </c>
      <c r="AE1075" t="s">
        <v>120</v>
      </c>
      <c r="AF1075" t="s">
        <v>120</v>
      </c>
      <c r="AG1075" t="s">
        <v>120</v>
      </c>
      <c r="AH1075" t="s">
        <v>120</v>
      </c>
      <c r="AJ1075">
        <v>0</v>
      </c>
      <c r="AK1075">
        <v>8</v>
      </c>
      <c r="AL1075">
        <v>8</v>
      </c>
      <c r="AM1075">
        <v>0</v>
      </c>
      <c r="AN1075">
        <v>0</v>
      </c>
      <c r="AO1075">
        <v>31.55</v>
      </c>
      <c r="AP1075">
        <v>8</v>
      </c>
      <c r="AQ1075">
        <v>0</v>
      </c>
      <c r="AR1075">
        <v>70.2</v>
      </c>
      <c r="AS1075">
        <v>504.8</v>
      </c>
    </row>
    <row r="1076" spans="1:45" x14ac:dyDescent="0.25">
      <c r="A1076" t="s">
        <v>2388</v>
      </c>
      <c r="B1076" t="s">
        <v>2389</v>
      </c>
      <c r="C1076" t="s">
        <v>130</v>
      </c>
      <c r="D1076" t="s">
        <v>2369</v>
      </c>
      <c r="E1076" t="s">
        <v>120</v>
      </c>
      <c r="F1076" t="s">
        <v>120</v>
      </c>
      <c r="G1076" t="s">
        <v>120</v>
      </c>
      <c r="H1076" t="s">
        <v>120</v>
      </c>
      <c r="I1076" t="s">
        <v>120</v>
      </c>
      <c r="J1076" t="s">
        <v>120</v>
      </c>
      <c r="K1076" t="s">
        <v>120</v>
      </c>
      <c r="L1076" t="s">
        <v>120</v>
      </c>
      <c r="M1076" t="s">
        <v>120</v>
      </c>
      <c r="N1076" t="s">
        <v>120</v>
      </c>
      <c r="O1076" t="s">
        <v>120</v>
      </c>
      <c r="P1076" t="s">
        <v>120</v>
      </c>
      <c r="Q1076" t="s">
        <v>120</v>
      </c>
      <c r="R1076" t="s">
        <v>120</v>
      </c>
      <c r="S1076" t="s">
        <v>120</v>
      </c>
      <c r="T1076" t="s">
        <v>120</v>
      </c>
      <c r="U1076" t="s">
        <v>120</v>
      </c>
      <c r="V1076" t="s">
        <v>120</v>
      </c>
      <c r="W1076" t="s">
        <v>120</v>
      </c>
      <c r="X1076" t="s">
        <v>120</v>
      </c>
      <c r="Y1076" t="s">
        <v>2390</v>
      </c>
      <c r="Z1076" t="s">
        <v>120</v>
      </c>
      <c r="AA1076" t="s">
        <v>124</v>
      </c>
      <c r="AB1076" t="s">
        <v>120</v>
      </c>
      <c r="AC1076" t="s">
        <v>120</v>
      </c>
      <c r="AD1076" t="s">
        <v>120</v>
      </c>
      <c r="AE1076" t="s">
        <v>285</v>
      </c>
      <c r="AF1076" t="s">
        <v>120</v>
      </c>
      <c r="AG1076" t="s">
        <v>843</v>
      </c>
      <c r="AH1076" t="s">
        <v>120</v>
      </c>
      <c r="AJ1076">
        <v>0</v>
      </c>
      <c r="AK1076">
        <v>31</v>
      </c>
      <c r="AL1076">
        <v>14</v>
      </c>
      <c r="AM1076">
        <v>4</v>
      </c>
      <c r="AN1076">
        <v>13.000000000000002</v>
      </c>
      <c r="AO1076">
        <v>7500</v>
      </c>
      <c r="AP1076">
        <v>18</v>
      </c>
      <c r="AQ1076">
        <v>1645.3125000000005</v>
      </c>
      <c r="AR1076">
        <v>126.56250000000001</v>
      </c>
      <c r="AS1076">
        <v>1687.5</v>
      </c>
    </row>
    <row r="1077" spans="1:45" x14ac:dyDescent="0.25">
      <c r="A1077" t="s">
        <v>2391</v>
      </c>
      <c r="B1077" t="s">
        <v>2392</v>
      </c>
      <c r="C1077" t="s">
        <v>147</v>
      </c>
      <c r="D1077" t="s">
        <v>2369</v>
      </c>
      <c r="E1077" t="s">
        <v>120</v>
      </c>
      <c r="F1077" t="s">
        <v>120</v>
      </c>
      <c r="G1077" t="s">
        <v>120</v>
      </c>
      <c r="H1077" t="s">
        <v>120</v>
      </c>
      <c r="I1077" t="s">
        <v>120</v>
      </c>
      <c r="J1077" t="s">
        <v>120</v>
      </c>
      <c r="K1077" t="s">
        <v>120</v>
      </c>
      <c r="L1077" t="s">
        <v>120</v>
      </c>
      <c r="M1077" t="s">
        <v>141</v>
      </c>
      <c r="N1077" t="s">
        <v>120</v>
      </c>
      <c r="O1077" t="s">
        <v>120</v>
      </c>
      <c r="P1077" t="s">
        <v>120</v>
      </c>
      <c r="Q1077" t="s">
        <v>120</v>
      </c>
      <c r="R1077" t="s">
        <v>120</v>
      </c>
      <c r="S1077" t="s">
        <v>120</v>
      </c>
      <c r="T1077" t="s">
        <v>120</v>
      </c>
      <c r="U1077" t="s">
        <v>120</v>
      </c>
      <c r="V1077" t="s">
        <v>120</v>
      </c>
      <c r="W1077" t="s">
        <v>120</v>
      </c>
      <c r="X1077" t="s">
        <v>120</v>
      </c>
      <c r="Y1077" t="s">
        <v>141</v>
      </c>
      <c r="Z1077" t="s">
        <v>120</v>
      </c>
      <c r="AA1077" t="s">
        <v>120</v>
      </c>
      <c r="AB1077" t="s">
        <v>120</v>
      </c>
      <c r="AC1077" t="s">
        <v>120</v>
      </c>
      <c r="AD1077" t="s">
        <v>120</v>
      </c>
      <c r="AE1077" t="s">
        <v>120</v>
      </c>
      <c r="AF1077" t="s">
        <v>120</v>
      </c>
      <c r="AG1077" t="s">
        <v>120</v>
      </c>
      <c r="AH1077" t="s">
        <v>120</v>
      </c>
      <c r="AJ1077">
        <v>0</v>
      </c>
      <c r="AK1077">
        <v>16</v>
      </c>
      <c r="AL1077">
        <v>16</v>
      </c>
      <c r="AM1077">
        <v>0</v>
      </c>
      <c r="AN1077">
        <v>0</v>
      </c>
      <c r="AO1077">
        <v>31.55</v>
      </c>
      <c r="AP1077">
        <v>16</v>
      </c>
      <c r="AQ1077">
        <v>0</v>
      </c>
      <c r="AR1077">
        <v>70.2</v>
      </c>
      <c r="AS1077">
        <v>1009.6</v>
      </c>
    </row>
    <row r="1078" spans="1:45" x14ac:dyDescent="0.25">
      <c r="A1078" t="s">
        <v>2393</v>
      </c>
      <c r="B1078" t="s">
        <v>2394</v>
      </c>
      <c r="C1078" t="s">
        <v>127</v>
      </c>
      <c r="D1078" t="s">
        <v>2369</v>
      </c>
      <c r="E1078" t="s">
        <v>120</v>
      </c>
      <c r="F1078" t="s">
        <v>120</v>
      </c>
      <c r="G1078" t="s">
        <v>120</v>
      </c>
      <c r="H1078" t="s">
        <v>120</v>
      </c>
      <c r="I1078" t="s">
        <v>120</v>
      </c>
      <c r="J1078" t="s">
        <v>120</v>
      </c>
      <c r="K1078" t="s">
        <v>120</v>
      </c>
      <c r="L1078" t="s">
        <v>120</v>
      </c>
      <c r="M1078" t="s">
        <v>120</v>
      </c>
      <c r="N1078" t="s">
        <v>120</v>
      </c>
      <c r="O1078" t="s">
        <v>120</v>
      </c>
      <c r="P1078" t="s">
        <v>120</v>
      </c>
      <c r="Q1078" t="s">
        <v>120</v>
      </c>
      <c r="R1078" t="s">
        <v>120</v>
      </c>
      <c r="S1078" t="s">
        <v>120</v>
      </c>
      <c r="T1078" t="s">
        <v>120</v>
      </c>
      <c r="U1078" t="s">
        <v>120</v>
      </c>
      <c r="V1078" t="s">
        <v>120</v>
      </c>
      <c r="W1078" t="s">
        <v>120</v>
      </c>
      <c r="X1078" t="s">
        <v>120</v>
      </c>
      <c r="Y1078" t="s">
        <v>341</v>
      </c>
      <c r="Z1078" t="s">
        <v>120</v>
      </c>
      <c r="AA1078" t="s">
        <v>120</v>
      </c>
      <c r="AB1078" t="s">
        <v>120</v>
      </c>
      <c r="AC1078" t="s">
        <v>120</v>
      </c>
      <c r="AD1078" t="s">
        <v>120</v>
      </c>
      <c r="AE1078" t="s">
        <v>2194</v>
      </c>
      <c r="AF1078" t="s">
        <v>120</v>
      </c>
      <c r="AG1078" t="s">
        <v>843</v>
      </c>
      <c r="AH1078" t="s">
        <v>120</v>
      </c>
      <c r="AJ1078">
        <v>0</v>
      </c>
      <c r="AK1078">
        <v>13</v>
      </c>
      <c r="AL1078">
        <v>4</v>
      </c>
      <c r="AM1078">
        <v>0</v>
      </c>
      <c r="AN1078">
        <v>9</v>
      </c>
      <c r="AO1078">
        <v>33.43</v>
      </c>
      <c r="AP1078">
        <v>4</v>
      </c>
      <c r="AQ1078">
        <v>675.54</v>
      </c>
      <c r="AR1078">
        <v>75.06</v>
      </c>
      <c r="AS1078">
        <v>267.44</v>
      </c>
    </row>
    <row r="1079" spans="1:45" x14ac:dyDescent="0.25">
      <c r="A1079" t="s">
        <v>2395</v>
      </c>
      <c r="B1079" t="s">
        <v>2396</v>
      </c>
      <c r="C1079" t="s">
        <v>127</v>
      </c>
      <c r="D1079" t="s">
        <v>2369</v>
      </c>
      <c r="E1079" t="s">
        <v>120</v>
      </c>
      <c r="F1079" t="s">
        <v>120</v>
      </c>
      <c r="G1079" t="s">
        <v>120</v>
      </c>
      <c r="H1079" t="s">
        <v>120</v>
      </c>
      <c r="I1079" t="s">
        <v>120</v>
      </c>
      <c r="J1079" t="s">
        <v>120</v>
      </c>
      <c r="K1079" t="s">
        <v>120</v>
      </c>
      <c r="L1079" t="s">
        <v>120</v>
      </c>
      <c r="M1079" t="s">
        <v>120</v>
      </c>
      <c r="N1079" t="s">
        <v>120</v>
      </c>
      <c r="O1079" t="s">
        <v>120</v>
      </c>
      <c r="P1079" t="s">
        <v>120</v>
      </c>
      <c r="Q1079" t="s">
        <v>120</v>
      </c>
      <c r="R1079" t="s">
        <v>120</v>
      </c>
      <c r="S1079" t="s">
        <v>120</v>
      </c>
      <c r="T1079" t="s">
        <v>120</v>
      </c>
      <c r="U1079" t="s">
        <v>120</v>
      </c>
      <c r="V1079" t="s">
        <v>120</v>
      </c>
      <c r="W1079" t="s">
        <v>120</v>
      </c>
      <c r="X1079" t="s">
        <v>120</v>
      </c>
      <c r="Y1079" t="s">
        <v>120</v>
      </c>
      <c r="Z1079" t="s">
        <v>120</v>
      </c>
      <c r="AA1079" t="s">
        <v>120</v>
      </c>
      <c r="AB1079" t="s">
        <v>120</v>
      </c>
      <c r="AC1079" t="s">
        <v>120</v>
      </c>
      <c r="AD1079" t="s">
        <v>120</v>
      </c>
      <c r="AE1079" t="s">
        <v>120</v>
      </c>
      <c r="AF1079" t="s">
        <v>120</v>
      </c>
      <c r="AG1079" t="s">
        <v>120</v>
      </c>
      <c r="AH1079" t="s">
        <v>120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33.43</v>
      </c>
      <c r="AP1079">
        <v>0</v>
      </c>
      <c r="AQ1079">
        <v>0</v>
      </c>
      <c r="AR1079">
        <v>75.06</v>
      </c>
      <c r="AS1079">
        <v>0</v>
      </c>
    </row>
    <row r="1080" spans="1:45" x14ac:dyDescent="0.25">
      <c r="A1080" t="s">
        <v>2397</v>
      </c>
      <c r="B1080" t="s">
        <v>2398</v>
      </c>
      <c r="C1080" t="s">
        <v>147</v>
      </c>
      <c r="D1080" t="s">
        <v>2369</v>
      </c>
      <c r="E1080" t="s">
        <v>120</v>
      </c>
      <c r="F1080" t="s">
        <v>120</v>
      </c>
      <c r="G1080" t="s">
        <v>120</v>
      </c>
      <c r="H1080" t="s">
        <v>120</v>
      </c>
      <c r="J1080" t="s">
        <v>120</v>
      </c>
      <c r="K1080" t="s">
        <v>120</v>
      </c>
      <c r="L1080" t="s">
        <v>120</v>
      </c>
      <c r="M1080" t="s">
        <v>120</v>
      </c>
      <c r="N1080" t="s">
        <v>120</v>
      </c>
      <c r="O1080" t="s">
        <v>120</v>
      </c>
      <c r="P1080" t="s">
        <v>120</v>
      </c>
      <c r="Q1080" t="s">
        <v>120</v>
      </c>
      <c r="R1080" t="s">
        <v>120</v>
      </c>
      <c r="S1080" t="s">
        <v>120</v>
      </c>
      <c r="T1080" t="s">
        <v>120</v>
      </c>
      <c r="U1080" t="s">
        <v>120</v>
      </c>
      <c r="V1080" t="s">
        <v>120</v>
      </c>
      <c r="W1080" t="s">
        <v>120</v>
      </c>
      <c r="X1080" t="s">
        <v>120</v>
      </c>
      <c r="Y1080" t="s">
        <v>120</v>
      </c>
      <c r="Z1080" t="s">
        <v>120</v>
      </c>
      <c r="AA1080" t="s">
        <v>120</v>
      </c>
      <c r="AB1080" t="s">
        <v>120</v>
      </c>
      <c r="AD1080" t="s">
        <v>120</v>
      </c>
      <c r="AE1080" t="s">
        <v>120</v>
      </c>
      <c r="AF1080" t="s">
        <v>120</v>
      </c>
      <c r="AG1080" t="s">
        <v>120</v>
      </c>
      <c r="AH1080" t="s">
        <v>120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31.55</v>
      </c>
      <c r="AP1080">
        <v>0</v>
      </c>
      <c r="AQ1080">
        <v>0</v>
      </c>
      <c r="AR1080">
        <v>70.2</v>
      </c>
      <c r="AS1080">
        <v>0</v>
      </c>
    </row>
    <row r="1081" spans="1:45" x14ac:dyDescent="0.25">
      <c r="A1081" t="s">
        <v>2399</v>
      </c>
      <c r="B1081" t="s">
        <v>2400</v>
      </c>
      <c r="C1081" t="s">
        <v>147</v>
      </c>
      <c r="D1081" t="s">
        <v>2369</v>
      </c>
      <c r="E1081" t="s">
        <v>120</v>
      </c>
      <c r="F1081" t="s">
        <v>120</v>
      </c>
      <c r="G1081" t="s">
        <v>120</v>
      </c>
      <c r="H1081" t="s">
        <v>120</v>
      </c>
      <c r="I1081" t="s">
        <v>120</v>
      </c>
      <c r="J1081" t="s">
        <v>120</v>
      </c>
      <c r="K1081" t="s">
        <v>120</v>
      </c>
      <c r="L1081" t="s">
        <v>120</v>
      </c>
      <c r="M1081" t="s">
        <v>141</v>
      </c>
      <c r="N1081" t="s">
        <v>120</v>
      </c>
      <c r="O1081" t="s">
        <v>120</v>
      </c>
      <c r="P1081" t="s">
        <v>120</v>
      </c>
      <c r="Q1081" t="s">
        <v>120</v>
      </c>
      <c r="R1081" t="s">
        <v>120</v>
      </c>
      <c r="S1081" t="s">
        <v>120</v>
      </c>
      <c r="T1081" t="s">
        <v>120</v>
      </c>
      <c r="U1081" t="s">
        <v>120</v>
      </c>
      <c r="V1081" t="s">
        <v>120</v>
      </c>
      <c r="W1081" t="s">
        <v>120</v>
      </c>
      <c r="X1081" t="s">
        <v>120</v>
      </c>
      <c r="Y1081" t="s">
        <v>120</v>
      </c>
      <c r="Z1081" t="s">
        <v>120</v>
      </c>
      <c r="AA1081" t="s">
        <v>120</v>
      </c>
      <c r="AB1081" t="s">
        <v>120</v>
      </c>
      <c r="AC1081" t="s">
        <v>120</v>
      </c>
      <c r="AD1081" t="s">
        <v>120</v>
      </c>
      <c r="AE1081" t="s">
        <v>120</v>
      </c>
      <c r="AF1081" t="s">
        <v>120</v>
      </c>
      <c r="AG1081" t="s">
        <v>120</v>
      </c>
      <c r="AH1081" t="s">
        <v>120</v>
      </c>
      <c r="AJ1081">
        <v>0</v>
      </c>
      <c r="AK1081">
        <v>8</v>
      </c>
      <c r="AL1081">
        <v>8</v>
      </c>
      <c r="AM1081">
        <v>0</v>
      </c>
      <c r="AN1081">
        <v>0</v>
      </c>
      <c r="AO1081">
        <v>31.55</v>
      </c>
      <c r="AP1081">
        <v>8</v>
      </c>
      <c r="AQ1081">
        <v>0</v>
      </c>
      <c r="AR1081">
        <v>70.2</v>
      </c>
      <c r="AS1081">
        <v>504.8</v>
      </c>
    </row>
    <row r="1082" spans="1:45" x14ac:dyDescent="0.25">
      <c r="A1082" t="s">
        <v>2401</v>
      </c>
      <c r="B1082" t="s">
        <v>2402</v>
      </c>
      <c r="C1082" t="s">
        <v>147</v>
      </c>
      <c r="D1082" t="s">
        <v>2369</v>
      </c>
      <c r="E1082" t="s">
        <v>120</v>
      </c>
      <c r="F1082" t="s">
        <v>120</v>
      </c>
      <c r="G1082" t="s">
        <v>120</v>
      </c>
      <c r="H1082" t="s">
        <v>120</v>
      </c>
      <c r="I1082" t="s">
        <v>120</v>
      </c>
      <c r="J1082" t="s">
        <v>120</v>
      </c>
      <c r="K1082" t="s">
        <v>120</v>
      </c>
      <c r="L1082" t="s">
        <v>120</v>
      </c>
      <c r="M1082" t="s">
        <v>120</v>
      </c>
      <c r="N1082" t="s">
        <v>120</v>
      </c>
      <c r="O1082" t="s">
        <v>120</v>
      </c>
      <c r="P1082" t="s">
        <v>120</v>
      </c>
      <c r="Q1082" t="s">
        <v>120</v>
      </c>
      <c r="R1082" t="s">
        <v>120</v>
      </c>
      <c r="S1082" t="s">
        <v>120</v>
      </c>
      <c r="T1082" t="s">
        <v>120</v>
      </c>
      <c r="U1082" t="s">
        <v>120</v>
      </c>
      <c r="V1082" t="s">
        <v>120</v>
      </c>
      <c r="W1082" t="s">
        <v>120</v>
      </c>
      <c r="X1082" t="s">
        <v>120</v>
      </c>
      <c r="Y1082" t="s">
        <v>120</v>
      </c>
      <c r="Z1082" t="s">
        <v>120</v>
      </c>
      <c r="AA1082" t="s">
        <v>120</v>
      </c>
      <c r="AB1082" t="s">
        <v>120</v>
      </c>
      <c r="AC1082" t="s">
        <v>120</v>
      </c>
      <c r="AD1082" t="s">
        <v>120</v>
      </c>
      <c r="AE1082" t="s">
        <v>120</v>
      </c>
      <c r="AF1082" t="s">
        <v>120</v>
      </c>
      <c r="AG1082" t="s">
        <v>120</v>
      </c>
      <c r="AH1082" t="s">
        <v>120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31.55</v>
      </c>
      <c r="AP1082">
        <v>0</v>
      </c>
      <c r="AQ1082">
        <v>0</v>
      </c>
      <c r="AR1082">
        <v>70.2</v>
      </c>
      <c r="AS1082">
        <v>0</v>
      </c>
    </row>
    <row r="1083" spans="1:45" x14ac:dyDescent="0.25">
      <c r="A1083" t="s">
        <v>2403</v>
      </c>
      <c r="B1083" t="s">
        <v>2404</v>
      </c>
      <c r="C1083" t="s">
        <v>147</v>
      </c>
      <c r="D1083" t="s">
        <v>2369</v>
      </c>
      <c r="E1083" t="s">
        <v>120</v>
      </c>
      <c r="F1083" t="s">
        <v>120</v>
      </c>
      <c r="G1083" t="s">
        <v>120</v>
      </c>
      <c r="H1083" t="s">
        <v>120</v>
      </c>
      <c r="I1083" t="s">
        <v>120</v>
      </c>
      <c r="J1083" t="s">
        <v>120</v>
      </c>
      <c r="K1083" t="s">
        <v>120</v>
      </c>
      <c r="L1083" t="s">
        <v>120</v>
      </c>
      <c r="M1083" t="s">
        <v>120</v>
      </c>
      <c r="N1083" t="s">
        <v>120</v>
      </c>
      <c r="O1083" t="s">
        <v>120</v>
      </c>
      <c r="P1083" t="s">
        <v>120</v>
      </c>
      <c r="Q1083" t="s">
        <v>120</v>
      </c>
      <c r="R1083" t="s">
        <v>120</v>
      </c>
      <c r="S1083" t="s">
        <v>120</v>
      </c>
      <c r="T1083" t="s">
        <v>120</v>
      </c>
      <c r="U1083" t="s">
        <v>120</v>
      </c>
      <c r="V1083" t="s">
        <v>120</v>
      </c>
      <c r="W1083" t="s">
        <v>120</v>
      </c>
      <c r="X1083" t="s">
        <v>120</v>
      </c>
      <c r="Y1083" t="s">
        <v>120</v>
      </c>
      <c r="Z1083" t="s">
        <v>120</v>
      </c>
      <c r="AA1083" t="s">
        <v>120</v>
      </c>
      <c r="AB1083" t="s">
        <v>120</v>
      </c>
      <c r="AC1083" t="s">
        <v>120</v>
      </c>
      <c r="AD1083" t="s">
        <v>120</v>
      </c>
      <c r="AE1083" t="s">
        <v>120</v>
      </c>
      <c r="AF1083" t="s">
        <v>120</v>
      </c>
      <c r="AG1083" t="s">
        <v>120</v>
      </c>
      <c r="AH1083" t="s">
        <v>120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31.55</v>
      </c>
      <c r="AP1083">
        <v>0</v>
      </c>
      <c r="AQ1083">
        <v>0</v>
      </c>
      <c r="AR1083">
        <v>70.2</v>
      </c>
      <c r="AS1083">
        <v>0</v>
      </c>
    </row>
    <row r="1084" spans="1:45" x14ac:dyDescent="0.25">
      <c r="A1084" t="s">
        <v>2405</v>
      </c>
      <c r="B1084" t="s">
        <v>2406</v>
      </c>
      <c r="C1084" t="s">
        <v>147</v>
      </c>
      <c r="D1084" t="s">
        <v>2369</v>
      </c>
      <c r="E1084" t="s">
        <v>120</v>
      </c>
      <c r="F1084" t="s">
        <v>120</v>
      </c>
      <c r="G1084" t="s">
        <v>120</v>
      </c>
      <c r="H1084" t="s">
        <v>120</v>
      </c>
      <c r="I1084" t="s">
        <v>120</v>
      </c>
      <c r="J1084" t="s">
        <v>120</v>
      </c>
      <c r="K1084" t="s">
        <v>120</v>
      </c>
      <c r="L1084" t="s">
        <v>120</v>
      </c>
      <c r="M1084" t="s">
        <v>120</v>
      </c>
      <c r="N1084" t="s">
        <v>120</v>
      </c>
      <c r="O1084" t="s">
        <v>120</v>
      </c>
      <c r="P1084" t="s">
        <v>120</v>
      </c>
      <c r="Q1084" t="s">
        <v>120</v>
      </c>
      <c r="R1084" t="s">
        <v>120</v>
      </c>
      <c r="S1084" t="s">
        <v>120</v>
      </c>
      <c r="T1084" t="s">
        <v>120</v>
      </c>
      <c r="U1084" t="s">
        <v>120</v>
      </c>
      <c r="V1084" t="s">
        <v>120</v>
      </c>
      <c r="W1084" t="s">
        <v>120</v>
      </c>
      <c r="X1084" t="s">
        <v>120</v>
      </c>
      <c r="Y1084" t="s">
        <v>120</v>
      </c>
      <c r="Z1084" t="s">
        <v>120</v>
      </c>
      <c r="AA1084" t="s">
        <v>120</v>
      </c>
      <c r="AB1084" t="s">
        <v>120</v>
      </c>
      <c r="AC1084" t="s">
        <v>120</v>
      </c>
      <c r="AD1084" t="s">
        <v>120</v>
      </c>
      <c r="AE1084" t="s">
        <v>120</v>
      </c>
      <c r="AF1084" t="s">
        <v>120</v>
      </c>
      <c r="AG1084" t="s">
        <v>120</v>
      </c>
      <c r="AH1084" t="s">
        <v>120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31.55</v>
      </c>
      <c r="AP1084">
        <v>0</v>
      </c>
      <c r="AQ1084">
        <v>0</v>
      </c>
      <c r="AR1084">
        <v>70.2</v>
      </c>
      <c r="AS1084">
        <v>0</v>
      </c>
    </row>
    <row r="1085" spans="1:45" x14ac:dyDescent="0.25">
      <c r="A1085" t="s">
        <v>2407</v>
      </c>
      <c r="B1085" t="s">
        <v>2408</v>
      </c>
      <c r="C1085" t="s">
        <v>147</v>
      </c>
      <c r="D1085" t="s">
        <v>2369</v>
      </c>
      <c r="G1085" t="s">
        <v>120</v>
      </c>
      <c r="I1085" t="s">
        <v>120</v>
      </c>
      <c r="K1085" t="s">
        <v>120</v>
      </c>
      <c r="M1085" t="s">
        <v>120</v>
      </c>
      <c r="N1085" t="s">
        <v>120</v>
      </c>
      <c r="U1085" t="s">
        <v>120</v>
      </c>
      <c r="Y1085" t="s">
        <v>141</v>
      </c>
      <c r="AA1085" t="s">
        <v>120</v>
      </c>
      <c r="AB1085" t="s">
        <v>120</v>
      </c>
      <c r="AC1085" t="s">
        <v>120</v>
      </c>
      <c r="AD1085" t="s">
        <v>120</v>
      </c>
      <c r="AE1085" t="s">
        <v>120</v>
      </c>
      <c r="AG1085" t="s">
        <v>120</v>
      </c>
      <c r="AJ1085">
        <v>0</v>
      </c>
      <c r="AK1085">
        <v>8</v>
      </c>
      <c r="AL1085">
        <v>8</v>
      </c>
      <c r="AM1085">
        <v>0</v>
      </c>
      <c r="AN1085">
        <v>0</v>
      </c>
      <c r="AO1085">
        <v>31.55</v>
      </c>
      <c r="AP1085">
        <v>8</v>
      </c>
      <c r="AQ1085">
        <v>0</v>
      </c>
      <c r="AR1085">
        <v>70.2</v>
      </c>
      <c r="AS1085">
        <v>504.8</v>
      </c>
    </row>
    <row r="1086" spans="1:45" x14ac:dyDescent="0.25">
      <c r="A1086" t="s">
        <v>2409</v>
      </c>
      <c r="B1086" t="s">
        <v>2410</v>
      </c>
      <c r="C1086" t="s">
        <v>147</v>
      </c>
      <c r="D1086" t="s">
        <v>2369</v>
      </c>
      <c r="F1086" t="s">
        <v>120</v>
      </c>
      <c r="G1086" t="s">
        <v>120</v>
      </c>
      <c r="H1086" t="s">
        <v>120</v>
      </c>
      <c r="I1086" t="s">
        <v>120</v>
      </c>
      <c r="J1086" t="s">
        <v>120</v>
      </c>
      <c r="K1086" t="s">
        <v>120</v>
      </c>
      <c r="N1086" t="s">
        <v>120</v>
      </c>
      <c r="P1086" t="s">
        <v>120</v>
      </c>
      <c r="Q1086" t="s">
        <v>120</v>
      </c>
      <c r="R1086" t="s">
        <v>120</v>
      </c>
      <c r="S1086" t="s">
        <v>120</v>
      </c>
      <c r="T1086" t="s">
        <v>120</v>
      </c>
      <c r="V1086" t="s">
        <v>120</v>
      </c>
      <c r="X1086" t="s">
        <v>120</v>
      </c>
      <c r="Y1086" t="s">
        <v>120</v>
      </c>
      <c r="Z1086" t="s">
        <v>120</v>
      </c>
      <c r="AC1086" t="s">
        <v>120</v>
      </c>
      <c r="AD1086" t="s">
        <v>120</v>
      </c>
      <c r="AE1086" t="s">
        <v>120</v>
      </c>
      <c r="AF1086" t="s">
        <v>120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31.55</v>
      </c>
      <c r="AP1086">
        <v>0</v>
      </c>
      <c r="AQ1086">
        <v>0</v>
      </c>
      <c r="AR1086">
        <v>70.2</v>
      </c>
      <c r="AS1086">
        <v>0</v>
      </c>
    </row>
    <row r="1087" spans="1:45" x14ac:dyDescent="0.25">
      <c r="A1087" t="s">
        <v>2411</v>
      </c>
      <c r="B1087" t="s">
        <v>2412</v>
      </c>
      <c r="C1087" t="s">
        <v>147</v>
      </c>
      <c r="D1087" t="s">
        <v>2369</v>
      </c>
      <c r="E1087" t="s">
        <v>120</v>
      </c>
      <c r="F1087" t="s">
        <v>120</v>
      </c>
      <c r="I1087" t="s">
        <v>120</v>
      </c>
      <c r="J1087" t="s">
        <v>120</v>
      </c>
      <c r="Y1087" t="s">
        <v>120</v>
      </c>
      <c r="AB1087" t="s">
        <v>120</v>
      </c>
      <c r="AF1087" t="s">
        <v>120</v>
      </c>
      <c r="AG1087" t="s">
        <v>120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31.55</v>
      </c>
      <c r="AP1087">
        <v>0</v>
      </c>
      <c r="AQ1087">
        <v>0</v>
      </c>
      <c r="AR1087">
        <v>70.2</v>
      </c>
      <c r="AS1087">
        <v>0</v>
      </c>
    </row>
    <row r="1088" spans="1:45" x14ac:dyDescent="0.25">
      <c r="A1088" t="s">
        <v>2413</v>
      </c>
      <c r="B1088" t="s">
        <v>2414</v>
      </c>
      <c r="C1088" t="s">
        <v>147</v>
      </c>
      <c r="D1088" t="s">
        <v>2369</v>
      </c>
      <c r="E1088" t="s">
        <v>120</v>
      </c>
      <c r="F1088" t="s">
        <v>120</v>
      </c>
      <c r="G1088" t="s">
        <v>120</v>
      </c>
      <c r="H1088" t="s">
        <v>120</v>
      </c>
      <c r="I1088" t="s">
        <v>120</v>
      </c>
      <c r="J1088" t="s">
        <v>120</v>
      </c>
      <c r="K1088" t="s">
        <v>120</v>
      </c>
      <c r="L1088" t="s">
        <v>120</v>
      </c>
      <c r="M1088" t="s">
        <v>120</v>
      </c>
      <c r="N1088" t="s">
        <v>120</v>
      </c>
      <c r="O1088" t="s">
        <v>120</v>
      </c>
      <c r="P1088" t="s">
        <v>120</v>
      </c>
      <c r="Q1088" t="s">
        <v>120</v>
      </c>
      <c r="R1088" t="s">
        <v>120</v>
      </c>
      <c r="S1088" t="s">
        <v>120</v>
      </c>
      <c r="T1088" t="s">
        <v>120</v>
      </c>
      <c r="U1088" t="s">
        <v>120</v>
      </c>
      <c r="V1088" t="s">
        <v>120</v>
      </c>
      <c r="W1088" t="s">
        <v>120</v>
      </c>
      <c r="X1088" t="s">
        <v>120</v>
      </c>
      <c r="Y1088" t="s">
        <v>141</v>
      </c>
      <c r="Z1088" t="s">
        <v>120</v>
      </c>
      <c r="AA1088" t="s">
        <v>120</v>
      </c>
      <c r="AB1088" t="s">
        <v>120</v>
      </c>
      <c r="AC1088" t="s">
        <v>120</v>
      </c>
      <c r="AD1088" t="s">
        <v>120</v>
      </c>
      <c r="AE1088" t="s">
        <v>120</v>
      </c>
      <c r="AF1088" t="s">
        <v>120</v>
      </c>
      <c r="AG1088" t="s">
        <v>120</v>
      </c>
      <c r="AH1088" t="s">
        <v>120</v>
      </c>
      <c r="AJ1088">
        <v>0</v>
      </c>
      <c r="AK1088">
        <v>8</v>
      </c>
      <c r="AL1088">
        <v>8</v>
      </c>
      <c r="AM1088">
        <v>0</v>
      </c>
      <c r="AN1088">
        <v>0</v>
      </c>
      <c r="AO1088">
        <v>31.55</v>
      </c>
      <c r="AP1088">
        <v>8</v>
      </c>
      <c r="AQ1088">
        <v>0</v>
      </c>
      <c r="AR1088">
        <v>70.2</v>
      </c>
      <c r="AS1088">
        <v>504.8</v>
      </c>
    </row>
    <row r="1089" spans="1:45" x14ac:dyDescent="0.25">
      <c r="A1089" t="s">
        <v>2415</v>
      </c>
      <c r="B1089" t="s">
        <v>2416</v>
      </c>
      <c r="C1089" t="s">
        <v>147</v>
      </c>
      <c r="D1089" t="s">
        <v>2369</v>
      </c>
      <c r="E1089" t="s">
        <v>120</v>
      </c>
      <c r="F1089" t="s">
        <v>120</v>
      </c>
      <c r="G1089" t="s">
        <v>120</v>
      </c>
      <c r="H1089" t="s">
        <v>120</v>
      </c>
      <c r="I1089" t="s">
        <v>120</v>
      </c>
      <c r="J1089" t="s">
        <v>120</v>
      </c>
      <c r="K1089" t="s">
        <v>120</v>
      </c>
      <c r="L1089" t="s">
        <v>120</v>
      </c>
      <c r="M1089" t="s">
        <v>120</v>
      </c>
      <c r="N1089" t="s">
        <v>120</v>
      </c>
      <c r="O1089" t="s">
        <v>120</v>
      </c>
      <c r="P1089" t="s">
        <v>120</v>
      </c>
      <c r="Q1089" t="s">
        <v>120</v>
      </c>
      <c r="R1089" t="s">
        <v>120</v>
      </c>
      <c r="S1089" t="s">
        <v>120</v>
      </c>
      <c r="T1089" t="s">
        <v>120</v>
      </c>
      <c r="U1089" t="s">
        <v>120</v>
      </c>
      <c r="V1089" t="s">
        <v>120</v>
      </c>
      <c r="W1089" t="s">
        <v>120</v>
      </c>
      <c r="X1089" t="s">
        <v>120</v>
      </c>
      <c r="Y1089" t="s">
        <v>120</v>
      </c>
      <c r="Z1089" t="s">
        <v>120</v>
      </c>
      <c r="AA1089" t="s">
        <v>120</v>
      </c>
      <c r="AB1089" t="s">
        <v>120</v>
      </c>
      <c r="AC1089" t="s">
        <v>120</v>
      </c>
      <c r="AD1089" t="s">
        <v>120</v>
      </c>
      <c r="AE1089" t="s">
        <v>120</v>
      </c>
      <c r="AF1089" t="s">
        <v>120</v>
      </c>
      <c r="AG1089" t="s">
        <v>120</v>
      </c>
      <c r="AH1089" t="s">
        <v>120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31.55</v>
      </c>
      <c r="AP1089">
        <v>0</v>
      </c>
      <c r="AQ1089">
        <v>0</v>
      </c>
      <c r="AR1089">
        <v>70.2</v>
      </c>
      <c r="AS1089">
        <v>0</v>
      </c>
    </row>
    <row r="1090" spans="1:45" x14ac:dyDescent="0.25">
      <c r="A1090" t="s">
        <v>2417</v>
      </c>
      <c r="B1090" t="s">
        <v>2418</v>
      </c>
      <c r="C1090" t="s">
        <v>147</v>
      </c>
      <c r="D1090" t="s">
        <v>2419</v>
      </c>
      <c r="E1090" t="s">
        <v>120</v>
      </c>
      <c r="F1090" t="s">
        <v>120</v>
      </c>
      <c r="G1090" t="s">
        <v>120</v>
      </c>
      <c r="H1090" t="s">
        <v>120</v>
      </c>
      <c r="I1090" t="s">
        <v>120</v>
      </c>
      <c r="J1090" t="s">
        <v>120</v>
      </c>
      <c r="K1090" t="s">
        <v>120</v>
      </c>
      <c r="L1090" t="s">
        <v>120</v>
      </c>
      <c r="M1090" t="s">
        <v>120</v>
      </c>
      <c r="N1090" t="s">
        <v>120</v>
      </c>
      <c r="O1090" t="s">
        <v>120</v>
      </c>
      <c r="P1090" t="s">
        <v>120</v>
      </c>
      <c r="Q1090" t="s">
        <v>120</v>
      </c>
      <c r="R1090" t="s">
        <v>120</v>
      </c>
      <c r="S1090" t="s">
        <v>120</v>
      </c>
      <c r="T1090" t="s">
        <v>120</v>
      </c>
      <c r="U1090" t="s">
        <v>120</v>
      </c>
      <c r="V1090" t="s">
        <v>120</v>
      </c>
      <c r="W1090" t="s">
        <v>120</v>
      </c>
      <c r="X1090" t="s">
        <v>120</v>
      </c>
      <c r="Y1090" t="s">
        <v>120</v>
      </c>
      <c r="Z1090" t="s">
        <v>120</v>
      </c>
      <c r="AA1090" t="s">
        <v>120</v>
      </c>
      <c r="AB1090" t="s">
        <v>120</v>
      </c>
      <c r="AC1090" t="s">
        <v>120</v>
      </c>
      <c r="AD1090" t="s">
        <v>120</v>
      </c>
      <c r="AE1090" t="s">
        <v>120</v>
      </c>
      <c r="AF1090" t="s">
        <v>120</v>
      </c>
      <c r="AG1090" t="s">
        <v>120</v>
      </c>
      <c r="AH1090" t="s">
        <v>120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28.25</v>
      </c>
      <c r="AP1090">
        <v>0</v>
      </c>
      <c r="AQ1090">
        <v>0</v>
      </c>
      <c r="AR1090">
        <v>70.2</v>
      </c>
      <c r="AS1090">
        <v>0</v>
      </c>
    </row>
    <row r="1091" spans="1:45" x14ac:dyDescent="0.25">
      <c r="A1091" t="s">
        <v>2420</v>
      </c>
      <c r="B1091" t="s">
        <v>2421</v>
      </c>
      <c r="C1091" t="s">
        <v>147</v>
      </c>
      <c r="D1091" t="s">
        <v>2419</v>
      </c>
      <c r="E1091" t="s">
        <v>120</v>
      </c>
      <c r="F1091" t="s">
        <v>120</v>
      </c>
      <c r="G1091" t="s">
        <v>120</v>
      </c>
      <c r="H1091" t="s">
        <v>120</v>
      </c>
      <c r="I1091" t="s">
        <v>120</v>
      </c>
      <c r="J1091" t="s">
        <v>120</v>
      </c>
      <c r="K1091" t="s">
        <v>120</v>
      </c>
      <c r="L1091" t="s">
        <v>120</v>
      </c>
      <c r="M1091" t="s">
        <v>120</v>
      </c>
      <c r="N1091" t="s">
        <v>120</v>
      </c>
      <c r="O1091" t="s">
        <v>120</v>
      </c>
      <c r="P1091" t="s">
        <v>120</v>
      </c>
      <c r="Q1091" t="s">
        <v>120</v>
      </c>
      <c r="R1091" t="s">
        <v>120</v>
      </c>
      <c r="S1091" t="s">
        <v>120</v>
      </c>
      <c r="T1091" t="s">
        <v>120</v>
      </c>
      <c r="U1091" t="s">
        <v>120</v>
      </c>
      <c r="V1091" t="s">
        <v>120</v>
      </c>
      <c r="W1091" t="s">
        <v>120</v>
      </c>
      <c r="X1091" t="s">
        <v>120</v>
      </c>
      <c r="Y1091" t="s">
        <v>141</v>
      </c>
      <c r="Z1091" t="s">
        <v>120</v>
      </c>
      <c r="AA1091" t="s">
        <v>120</v>
      </c>
      <c r="AB1091" t="s">
        <v>120</v>
      </c>
      <c r="AC1091" t="s">
        <v>120</v>
      </c>
      <c r="AD1091" t="s">
        <v>120</v>
      </c>
      <c r="AE1091" t="s">
        <v>120</v>
      </c>
      <c r="AF1091" t="s">
        <v>120</v>
      </c>
      <c r="AG1091" t="s">
        <v>120</v>
      </c>
      <c r="AH1091" t="s">
        <v>120</v>
      </c>
      <c r="AJ1091">
        <v>0</v>
      </c>
      <c r="AK1091">
        <v>8</v>
      </c>
      <c r="AL1091">
        <v>8</v>
      </c>
      <c r="AM1091">
        <v>0</v>
      </c>
      <c r="AN1091">
        <v>0</v>
      </c>
      <c r="AO1091">
        <v>28.25</v>
      </c>
      <c r="AP1091">
        <v>8</v>
      </c>
      <c r="AQ1091">
        <v>0</v>
      </c>
      <c r="AR1091">
        <v>70.2</v>
      </c>
      <c r="AS1091">
        <v>452</v>
      </c>
    </row>
    <row r="1092" spans="1:45" x14ac:dyDescent="0.25">
      <c r="A1092" t="s">
        <v>2422</v>
      </c>
      <c r="B1092" t="s">
        <v>2423</v>
      </c>
      <c r="C1092" t="s">
        <v>147</v>
      </c>
      <c r="D1092" t="s">
        <v>2419</v>
      </c>
      <c r="E1092" t="s">
        <v>120</v>
      </c>
      <c r="F1092" t="s">
        <v>120</v>
      </c>
      <c r="G1092" t="s">
        <v>120</v>
      </c>
      <c r="H1092" t="s">
        <v>120</v>
      </c>
      <c r="I1092" t="s">
        <v>120</v>
      </c>
      <c r="J1092" t="s">
        <v>120</v>
      </c>
      <c r="K1092" t="s">
        <v>120</v>
      </c>
      <c r="L1092" t="s">
        <v>120</v>
      </c>
      <c r="M1092" t="s">
        <v>120</v>
      </c>
      <c r="N1092" t="s">
        <v>120</v>
      </c>
      <c r="O1092" t="s">
        <v>120</v>
      </c>
      <c r="P1092" t="s">
        <v>120</v>
      </c>
      <c r="Q1092" t="s">
        <v>120</v>
      </c>
      <c r="R1092" t="s">
        <v>120</v>
      </c>
      <c r="S1092" t="s">
        <v>120</v>
      </c>
      <c r="T1092" t="s">
        <v>120</v>
      </c>
      <c r="U1092" t="s">
        <v>120</v>
      </c>
      <c r="V1092" t="s">
        <v>120</v>
      </c>
      <c r="W1092" t="s">
        <v>120</v>
      </c>
      <c r="X1092" t="s">
        <v>120</v>
      </c>
      <c r="Y1092" t="s">
        <v>120</v>
      </c>
      <c r="Z1092" t="s">
        <v>120</v>
      </c>
      <c r="AA1092" t="s">
        <v>120</v>
      </c>
      <c r="AB1092" t="s">
        <v>120</v>
      </c>
      <c r="AC1092" t="s">
        <v>120</v>
      </c>
      <c r="AD1092" t="s">
        <v>120</v>
      </c>
      <c r="AE1092" t="s">
        <v>120</v>
      </c>
      <c r="AF1092" t="s">
        <v>120</v>
      </c>
      <c r="AG1092" t="s">
        <v>120</v>
      </c>
      <c r="AH1092" t="s">
        <v>120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28.25</v>
      </c>
      <c r="AP1092">
        <v>0</v>
      </c>
      <c r="AQ1092">
        <v>0</v>
      </c>
      <c r="AR1092">
        <v>70.2</v>
      </c>
      <c r="AS1092">
        <v>0</v>
      </c>
    </row>
    <row r="1093" spans="1:45" x14ac:dyDescent="0.25">
      <c r="A1093" t="s">
        <v>2424</v>
      </c>
      <c r="B1093" t="s">
        <v>2425</v>
      </c>
      <c r="C1093" t="s">
        <v>147</v>
      </c>
      <c r="D1093" t="s">
        <v>2419</v>
      </c>
      <c r="E1093" t="s">
        <v>120</v>
      </c>
      <c r="F1093" t="s">
        <v>120</v>
      </c>
      <c r="G1093" t="s">
        <v>120</v>
      </c>
      <c r="H1093" t="s">
        <v>120</v>
      </c>
      <c r="I1093" t="s">
        <v>120</v>
      </c>
      <c r="J1093" t="s">
        <v>120</v>
      </c>
      <c r="K1093" t="s">
        <v>120</v>
      </c>
      <c r="L1093" t="s">
        <v>120</v>
      </c>
      <c r="M1093" t="s">
        <v>120</v>
      </c>
      <c r="N1093" t="s">
        <v>120</v>
      </c>
      <c r="O1093" t="s">
        <v>120</v>
      </c>
      <c r="P1093" t="s">
        <v>120</v>
      </c>
      <c r="Q1093" t="s">
        <v>120</v>
      </c>
      <c r="R1093" t="s">
        <v>120</v>
      </c>
      <c r="S1093" t="s">
        <v>120</v>
      </c>
      <c r="T1093" t="s">
        <v>120</v>
      </c>
      <c r="U1093" t="s">
        <v>120</v>
      </c>
      <c r="V1093" t="s">
        <v>120</v>
      </c>
      <c r="W1093" t="s">
        <v>120</v>
      </c>
      <c r="X1093" t="s">
        <v>120</v>
      </c>
      <c r="Y1093" t="s">
        <v>120</v>
      </c>
      <c r="Z1093" t="s">
        <v>120</v>
      </c>
      <c r="AA1093" t="s">
        <v>120</v>
      </c>
      <c r="AB1093" t="s">
        <v>120</v>
      </c>
      <c r="AC1093" t="s">
        <v>120</v>
      </c>
      <c r="AD1093" t="s">
        <v>120</v>
      </c>
      <c r="AE1093" t="s">
        <v>120</v>
      </c>
      <c r="AF1093" t="s">
        <v>120</v>
      </c>
      <c r="AG1093" t="s">
        <v>120</v>
      </c>
      <c r="AH1093" t="s">
        <v>120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31.55</v>
      </c>
      <c r="AP1093">
        <v>0</v>
      </c>
      <c r="AQ1093">
        <v>0</v>
      </c>
      <c r="AR1093">
        <v>70.2</v>
      </c>
      <c r="AS1093">
        <v>0</v>
      </c>
    </row>
    <row r="1094" spans="1:45" x14ac:dyDescent="0.25">
      <c r="A1094" t="s">
        <v>2426</v>
      </c>
      <c r="B1094" t="s">
        <v>2427</v>
      </c>
      <c r="C1094" t="s">
        <v>147</v>
      </c>
      <c r="D1094" t="s">
        <v>2419</v>
      </c>
      <c r="E1094" t="s">
        <v>120</v>
      </c>
      <c r="F1094" t="s">
        <v>120</v>
      </c>
      <c r="G1094" t="s">
        <v>120</v>
      </c>
      <c r="H1094" t="s">
        <v>120</v>
      </c>
      <c r="I1094" t="s">
        <v>120</v>
      </c>
      <c r="J1094" t="s">
        <v>120</v>
      </c>
      <c r="K1094" t="s">
        <v>120</v>
      </c>
      <c r="L1094" t="s">
        <v>120</v>
      </c>
      <c r="M1094" t="s">
        <v>120</v>
      </c>
      <c r="N1094" t="s">
        <v>120</v>
      </c>
      <c r="O1094" t="s">
        <v>120</v>
      </c>
      <c r="P1094" t="s">
        <v>120</v>
      </c>
      <c r="Q1094" t="s">
        <v>120</v>
      </c>
      <c r="R1094" t="s">
        <v>120</v>
      </c>
      <c r="S1094" t="s">
        <v>120</v>
      </c>
      <c r="T1094" t="s">
        <v>120</v>
      </c>
      <c r="U1094" t="s">
        <v>120</v>
      </c>
      <c r="V1094" t="s">
        <v>120</v>
      </c>
      <c r="W1094" t="s">
        <v>120</v>
      </c>
      <c r="X1094" t="s">
        <v>120</v>
      </c>
      <c r="Y1094" t="s">
        <v>120</v>
      </c>
      <c r="Z1094" t="s">
        <v>120</v>
      </c>
      <c r="AA1094" t="s">
        <v>120</v>
      </c>
      <c r="AB1094" t="s">
        <v>120</v>
      </c>
      <c r="AC1094" t="s">
        <v>120</v>
      </c>
      <c r="AD1094" t="s">
        <v>120</v>
      </c>
      <c r="AE1094" t="s">
        <v>120</v>
      </c>
      <c r="AF1094" t="s">
        <v>120</v>
      </c>
      <c r="AG1094" t="s">
        <v>120</v>
      </c>
      <c r="AH1094" t="s">
        <v>120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31.55</v>
      </c>
      <c r="AP1094">
        <v>0</v>
      </c>
      <c r="AQ1094">
        <v>0</v>
      </c>
      <c r="AR1094">
        <v>70.2</v>
      </c>
      <c r="AS1094">
        <v>0</v>
      </c>
    </row>
    <row r="1095" spans="1:45" x14ac:dyDescent="0.25">
      <c r="A1095" t="s">
        <v>2428</v>
      </c>
      <c r="B1095" t="s">
        <v>2429</v>
      </c>
      <c r="C1095" t="s">
        <v>147</v>
      </c>
      <c r="D1095" t="s">
        <v>2419</v>
      </c>
      <c r="E1095" t="s">
        <v>120</v>
      </c>
      <c r="G1095" t="s">
        <v>120</v>
      </c>
      <c r="H1095" t="s">
        <v>120</v>
      </c>
      <c r="I1095" t="s">
        <v>120</v>
      </c>
      <c r="J1095" t="s">
        <v>120</v>
      </c>
      <c r="K1095" t="s">
        <v>120</v>
      </c>
      <c r="L1095" t="s">
        <v>120</v>
      </c>
      <c r="M1095" t="s">
        <v>120</v>
      </c>
      <c r="N1095" t="s">
        <v>120</v>
      </c>
      <c r="O1095" t="s">
        <v>120</v>
      </c>
      <c r="P1095" t="s">
        <v>120</v>
      </c>
      <c r="Q1095" t="s">
        <v>120</v>
      </c>
      <c r="R1095" t="s">
        <v>120</v>
      </c>
      <c r="S1095" t="s">
        <v>120</v>
      </c>
      <c r="T1095" t="s">
        <v>120</v>
      </c>
      <c r="U1095" t="s">
        <v>120</v>
      </c>
      <c r="V1095" t="s">
        <v>120</v>
      </c>
      <c r="W1095" t="s">
        <v>120</v>
      </c>
      <c r="X1095" t="s">
        <v>120</v>
      </c>
      <c r="Y1095" t="s">
        <v>141</v>
      </c>
      <c r="Z1095" t="s">
        <v>120</v>
      </c>
      <c r="AA1095" t="s">
        <v>120</v>
      </c>
      <c r="AB1095" t="s">
        <v>120</v>
      </c>
      <c r="AC1095" t="s">
        <v>120</v>
      </c>
      <c r="AD1095" t="s">
        <v>120</v>
      </c>
      <c r="AE1095" t="s">
        <v>120</v>
      </c>
      <c r="AF1095" t="s">
        <v>120</v>
      </c>
      <c r="AG1095" t="s">
        <v>120</v>
      </c>
      <c r="AH1095" t="s">
        <v>120</v>
      </c>
      <c r="AJ1095">
        <v>0</v>
      </c>
      <c r="AK1095">
        <v>8</v>
      </c>
      <c r="AL1095">
        <v>8</v>
      </c>
      <c r="AM1095">
        <v>0</v>
      </c>
      <c r="AN1095">
        <v>0</v>
      </c>
      <c r="AO1095">
        <v>28.25</v>
      </c>
      <c r="AP1095">
        <v>8</v>
      </c>
      <c r="AQ1095">
        <v>0</v>
      </c>
      <c r="AR1095">
        <v>70.2</v>
      </c>
      <c r="AS1095">
        <v>452</v>
      </c>
    </row>
    <row r="1096" spans="1:45" x14ac:dyDescent="0.25">
      <c r="A1096" t="s">
        <v>2430</v>
      </c>
      <c r="B1096" t="s">
        <v>2431</v>
      </c>
      <c r="C1096" t="s">
        <v>147</v>
      </c>
      <c r="D1096" t="s">
        <v>2419</v>
      </c>
      <c r="E1096" t="s">
        <v>120</v>
      </c>
      <c r="F1096" t="s">
        <v>120</v>
      </c>
      <c r="G1096" t="s">
        <v>120</v>
      </c>
      <c r="H1096" t="s">
        <v>120</v>
      </c>
      <c r="I1096" t="s">
        <v>120</v>
      </c>
      <c r="J1096" t="s">
        <v>120</v>
      </c>
      <c r="K1096" t="s">
        <v>120</v>
      </c>
      <c r="L1096" t="s">
        <v>120</v>
      </c>
      <c r="M1096" t="s">
        <v>120</v>
      </c>
      <c r="N1096" t="s">
        <v>120</v>
      </c>
      <c r="O1096" t="s">
        <v>120</v>
      </c>
      <c r="P1096" t="s">
        <v>120</v>
      </c>
      <c r="Q1096" t="s">
        <v>120</v>
      </c>
      <c r="R1096" t="s">
        <v>120</v>
      </c>
      <c r="S1096" t="s">
        <v>120</v>
      </c>
      <c r="T1096" t="s">
        <v>120</v>
      </c>
      <c r="U1096" t="s">
        <v>120</v>
      </c>
      <c r="V1096" t="s">
        <v>120</v>
      </c>
      <c r="W1096" t="s">
        <v>120</v>
      </c>
      <c r="X1096" t="s">
        <v>120</v>
      </c>
      <c r="Y1096" t="s">
        <v>120</v>
      </c>
      <c r="Z1096" t="s">
        <v>120</v>
      </c>
      <c r="AA1096" t="s">
        <v>120</v>
      </c>
      <c r="AB1096" t="s">
        <v>120</v>
      </c>
      <c r="AC1096" t="s">
        <v>120</v>
      </c>
      <c r="AD1096" t="s">
        <v>120</v>
      </c>
      <c r="AE1096" t="s">
        <v>120</v>
      </c>
      <c r="AF1096" t="s">
        <v>120</v>
      </c>
      <c r="AG1096" t="s">
        <v>120</v>
      </c>
      <c r="AH1096" t="s">
        <v>120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28.25</v>
      </c>
      <c r="AP1096">
        <v>0</v>
      </c>
      <c r="AQ1096">
        <v>0</v>
      </c>
      <c r="AR1096">
        <v>70.2</v>
      </c>
      <c r="AS1096">
        <v>0</v>
      </c>
    </row>
    <row r="1097" spans="1:45" x14ac:dyDescent="0.25">
      <c r="A1097" t="s">
        <v>2432</v>
      </c>
      <c r="B1097" t="s">
        <v>2433</v>
      </c>
      <c r="C1097" t="s">
        <v>147</v>
      </c>
      <c r="D1097" t="s">
        <v>2419</v>
      </c>
      <c r="E1097" t="s">
        <v>120</v>
      </c>
      <c r="F1097" t="s">
        <v>120</v>
      </c>
      <c r="G1097" t="s">
        <v>120</v>
      </c>
      <c r="H1097" t="s">
        <v>120</v>
      </c>
      <c r="I1097" t="s">
        <v>120</v>
      </c>
      <c r="J1097" t="s">
        <v>120</v>
      </c>
      <c r="K1097" t="s">
        <v>120</v>
      </c>
      <c r="L1097" t="s">
        <v>120</v>
      </c>
      <c r="M1097" t="s">
        <v>120</v>
      </c>
      <c r="N1097" t="s">
        <v>120</v>
      </c>
      <c r="O1097" t="s">
        <v>120</v>
      </c>
      <c r="P1097" t="s">
        <v>120</v>
      </c>
      <c r="Q1097" t="s">
        <v>120</v>
      </c>
      <c r="R1097" t="s">
        <v>120</v>
      </c>
      <c r="S1097" t="s">
        <v>120</v>
      </c>
      <c r="T1097" t="s">
        <v>120</v>
      </c>
      <c r="U1097" t="s">
        <v>120</v>
      </c>
      <c r="V1097" t="s">
        <v>120</v>
      </c>
      <c r="W1097" t="s">
        <v>120</v>
      </c>
      <c r="X1097" t="s">
        <v>120</v>
      </c>
      <c r="Y1097" t="s">
        <v>120</v>
      </c>
      <c r="Z1097" t="s">
        <v>120</v>
      </c>
      <c r="AA1097" t="s">
        <v>120</v>
      </c>
      <c r="AB1097" t="s">
        <v>120</v>
      </c>
      <c r="AC1097" t="s">
        <v>120</v>
      </c>
      <c r="AD1097" t="s">
        <v>120</v>
      </c>
      <c r="AE1097" t="s">
        <v>120</v>
      </c>
      <c r="AF1097" t="s">
        <v>120</v>
      </c>
      <c r="AG1097" t="s">
        <v>120</v>
      </c>
      <c r="AH1097" t="s">
        <v>120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28.25</v>
      </c>
      <c r="AP1097">
        <v>0</v>
      </c>
      <c r="AQ1097">
        <v>0</v>
      </c>
      <c r="AR1097">
        <v>70.2</v>
      </c>
      <c r="AS1097">
        <v>0</v>
      </c>
    </row>
    <row r="1098" spans="1:45" x14ac:dyDescent="0.25">
      <c r="A1098" t="s">
        <v>2434</v>
      </c>
      <c r="B1098" t="s">
        <v>2435</v>
      </c>
      <c r="C1098" t="s">
        <v>147</v>
      </c>
      <c r="D1098" t="s">
        <v>2419</v>
      </c>
      <c r="E1098" t="s">
        <v>120</v>
      </c>
      <c r="F1098" t="s">
        <v>120</v>
      </c>
      <c r="G1098" t="s">
        <v>120</v>
      </c>
      <c r="H1098" t="s">
        <v>120</v>
      </c>
      <c r="I1098" t="s">
        <v>120</v>
      </c>
      <c r="J1098" t="s">
        <v>120</v>
      </c>
      <c r="K1098" t="s">
        <v>120</v>
      </c>
      <c r="L1098" t="s">
        <v>120</v>
      </c>
      <c r="M1098" t="s">
        <v>120</v>
      </c>
      <c r="N1098" t="s">
        <v>120</v>
      </c>
      <c r="O1098" t="s">
        <v>120</v>
      </c>
      <c r="P1098" t="s">
        <v>120</v>
      </c>
      <c r="Q1098" t="s">
        <v>120</v>
      </c>
      <c r="R1098" t="s">
        <v>120</v>
      </c>
      <c r="S1098" t="s">
        <v>120</v>
      </c>
      <c r="T1098" t="s">
        <v>120</v>
      </c>
      <c r="U1098" t="s">
        <v>120</v>
      </c>
      <c r="V1098" t="s">
        <v>120</v>
      </c>
      <c r="W1098" t="s">
        <v>120</v>
      </c>
      <c r="X1098" t="s">
        <v>120</v>
      </c>
      <c r="Y1098" t="s">
        <v>141</v>
      </c>
      <c r="Z1098" t="s">
        <v>120</v>
      </c>
      <c r="AA1098" t="s">
        <v>120</v>
      </c>
      <c r="AB1098" t="s">
        <v>120</v>
      </c>
      <c r="AC1098" t="s">
        <v>120</v>
      </c>
      <c r="AD1098" t="s">
        <v>120</v>
      </c>
      <c r="AE1098" t="s">
        <v>120</v>
      </c>
      <c r="AF1098" t="s">
        <v>120</v>
      </c>
      <c r="AG1098" t="s">
        <v>120</v>
      </c>
      <c r="AH1098" t="s">
        <v>120</v>
      </c>
      <c r="AJ1098">
        <v>0</v>
      </c>
      <c r="AK1098">
        <v>8</v>
      </c>
      <c r="AL1098">
        <v>8</v>
      </c>
      <c r="AM1098">
        <v>0</v>
      </c>
      <c r="AN1098">
        <v>0</v>
      </c>
      <c r="AO1098">
        <v>28.25</v>
      </c>
      <c r="AP1098">
        <v>8</v>
      </c>
      <c r="AQ1098">
        <v>0</v>
      </c>
      <c r="AR1098">
        <v>70.2</v>
      </c>
      <c r="AS1098">
        <v>452</v>
      </c>
    </row>
    <row r="1099" spans="1:45" x14ac:dyDescent="0.25">
      <c r="A1099" t="s">
        <v>2436</v>
      </c>
      <c r="B1099" t="s">
        <v>2437</v>
      </c>
      <c r="C1099" t="s">
        <v>147</v>
      </c>
      <c r="D1099" t="s">
        <v>2419</v>
      </c>
      <c r="E1099" t="s">
        <v>120</v>
      </c>
      <c r="F1099" t="s">
        <v>120</v>
      </c>
      <c r="G1099" t="s">
        <v>120</v>
      </c>
      <c r="H1099" t="s">
        <v>120</v>
      </c>
      <c r="I1099" t="s">
        <v>120</v>
      </c>
      <c r="J1099" t="s">
        <v>120</v>
      </c>
      <c r="K1099" t="s">
        <v>120</v>
      </c>
      <c r="L1099" t="s">
        <v>120</v>
      </c>
      <c r="M1099" t="s">
        <v>120</v>
      </c>
      <c r="N1099" t="s">
        <v>120</v>
      </c>
      <c r="O1099" t="s">
        <v>120</v>
      </c>
      <c r="P1099" t="s">
        <v>120</v>
      </c>
      <c r="Q1099" t="s">
        <v>120</v>
      </c>
      <c r="R1099" t="s">
        <v>120</v>
      </c>
      <c r="S1099" t="s">
        <v>120</v>
      </c>
      <c r="T1099" t="s">
        <v>120</v>
      </c>
      <c r="U1099" t="s">
        <v>120</v>
      </c>
      <c r="V1099" t="s">
        <v>120</v>
      </c>
      <c r="W1099" t="s">
        <v>120</v>
      </c>
      <c r="X1099" t="s">
        <v>120</v>
      </c>
      <c r="Y1099" t="s">
        <v>120</v>
      </c>
      <c r="Z1099" t="s">
        <v>120</v>
      </c>
      <c r="AA1099" t="s">
        <v>120</v>
      </c>
      <c r="AB1099" t="s">
        <v>120</v>
      </c>
      <c r="AC1099" t="s">
        <v>120</v>
      </c>
      <c r="AD1099" t="s">
        <v>120</v>
      </c>
      <c r="AE1099" t="s">
        <v>120</v>
      </c>
      <c r="AF1099" t="s">
        <v>120</v>
      </c>
      <c r="AG1099" t="s">
        <v>120</v>
      </c>
      <c r="AH1099" t="s">
        <v>120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28.25</v>
      </c>
      <c r="AP1099">
        <v>0</v>
      </c>
      <c r="AQ1099">
        <v>0</v>
      </c>
      <c r="AR1099">
        <v>70.2</v>
      </c>
      <c r="AS1099">
        <v>0</v>
      </c>
    </row>
    <row r="1100" spans="1:45" x14ac:dyDescent="0.25">
      <c r="A1100" t="s">
        <v>2438</v>
      </c>
      <c r="B1100" t="s">
        <v>2439</v>
      </c>
      <c r="C1100" t="s">
        <v>147</v>
      </c>
      <c r="D1100" t="s">
        <v>2419</v>
      </c>
      <c r="E1100" t="s">
        <v>120</v>
      </c>
      <c r="F1100" t="s">
        <v>120</v>
      </c>
      <c r="G1100" t="s">
        <v>120</v>
      </c>
      <c r="H1100" t="s">
        <v>120</v>
      </c>
      <c r="I1100" t="s">
        <v>120</v>
      </c>
      <c r="J1100" t="s">
        <v>120</v>
      </c>
      <c r="K1100" t="s">
        <v>120</v>
      </c>
      <c r="L1100" t="s">
        <v>120</v>
      </c>
      <c r="M1100" t="s">
        <v>120</v>
      </c>
      <c r="N1100" t="s">
        <v>120</v>
      </c>
      <c r="O1100" t="s">
        <v>120</v>
      </c>
      <c r="P1100" t="s">
        <v>120</v>
      </c>
      <c r="Q1100" t="s">
        <v>120</v>
      </c>
      <c r="R1100" t="s">
        <v>120</v>
      </c>
      <c r="S1100" t="s">
        <v>120</v>
      </c>
      <c r="T1100" t="s">
        <v>120</v>
      </c>
      <c r="U1100" t="s">
        <v>120</v>
      </c>
      <c r="V1100" t="s">
        <v>120</v>
      </c>
      <c r="W1100" t="s">
        <v>120</v>
      </c>
      <c r="X1100" t="s">
        <v>120</v>
      </c>
      <c r="Y1100" t="s">
        <v>120</v>
      </c>
      <c r="Z1100" t="s">
        <v>120</v>
      </c>
      <c r="AA1100" t="s">
        <v>120</v>
      </c>
      <c r="AB1100" t="s">
        <v>120</v>
      </c>
      <c r="AC1100" t="s">
        <v>120</v>
      </c>
      <c r="AD1100" t="s">
        <v>120</v>
      </c>
      <c r="AE1100" t="s">
        <v>120</v>
      </c>
      <c r="AF1100" t="s">
        <v>120</v>
      </c>
      <c r="AG1100" t="s">
        <v>120</v>
      </c>
      <c r="AH1100" t="s">
        <v>120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28.25</v>
      </c>
      <c r="AP1100">
        <v>0</v>
      </c>
      <c r="AQ1100">
        <v>0</v>
      </c>
      <c r="AR1100">
        <v>70.2</v>
      </c>
      <c r="AS1100">
        <v>0</v>
      </c>
    </row>
    <row r="1101" spans="1:45" x14ac:dyDescent="0.25">
      <c r="A1101" t="s">
        <v>2440</v>
      </c>
      <c r="B1101" t="s">
        <v>2441</v>
      </c>
      <c r="C1101" t="s">
        <v>147</v>
      </c>
      <c r="D1101" t="s">
        <v>2419</v>
      </c>
      <c r="E1101" t="s">
        <v>120</v>
      </c>
      <c r="F1101" t="s">
        <v>120</v>
      </c>
      <c r="G1101" t="s">
        <v>120</v>
      </c>
      <c r="H1101" t="s">
        <v>120</v>
      </c>
      <c r="I1101" t="s">
        <v>120</v>
      </c>
      <c r="J1101" t="s">
        <v>120</v>
      </c>
      <c r="K1101" t="s">
        <v>120</v>
      </c>
      <c r="L1101" t="s">
        <v>120</v>
      </c>
      <c r="M1101" t="s">
        <v>120</v>
      </c>
      <c r="N1101" t="s">
        <v>120</v>
      </c>
      <c r="O1101" t="s">
        <v>120</v>
      </c>
      <c r="P1101" t="s">
        <v>120</v>
      </c>
      <c r="Q1101" t="s">
        <v>120</v>
      </c>
      <c r="R1101" t="s">
        <v>120</v>
      </c>
      <c r="S1101" t="s">
        <v>120</v>
      </c>
      <c r="T1101" t="s">
        <v>120</v>
      </c>
      <c r="U1101" t="s">
        <v>120</v>
      </c>
      <c r="V1101" t="s">
        <v>120</v>
      </c>
      <c r="W1101" t="s">
        <v>120</v>
      </c>
      <c r="X1101" t="s">
        <v>120</v>
      </c>
      <c r="Y1101" t="s">
        <v>120</v>
      </c>
      <c r="Z1101" t="s">
        <v>120</v>
      </c>
      <c r="AA1101" t="s">
        <v>120</v>
      </c>
      <c r="AB1101" t="s">
        <v>120</v>
      </c>
      <c r="AC1101" t="s">
        <v>120</v>
      </c>
      <c r="AD1101" t="s">
        <v>120</v>
      </c>
      <c r="AE1101" t="s">
        <v>120</v>
      </c>
      <c r="AF1101" t="s">
        <v>120</v>
      </c>
      <c r="AG1101" t="s">
        <v>120</v>
      </c>
      <c r="AH1101" t="s">
        <v>120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28.25</v>
      </c>
      <c r="AP1101">
        <v>0</v>
      </c>
      <c r="AQ1101">
        <v>0</v>
      </c>
      <c r="AR1101">
        <v>70.2</v>
      </c>
      <c r="AS1101">
        <v>0</v>
      </c>
    </row>
    <row r="1102" spans="1:45" x14ac:dyDescent="0.25">
      <c r="A1102" t="s">
        <v>2442</v>
      </c>
      <c r="B1102" t="s">
        <v>2443</v>
      </c>
      <c r="C1102" t="s">
        <v>127</v>
      </c>
      <c r="D1102" t="s">
        <v>2419</v>
      </c>
      <c r="E1102" t="s">
        <v>120</v>
      </c>
      <c r="F1102" t="s">
        <v>120</v>
      </c>
      <c r="G1102" t="s">
        <v>120</v>
      </c>
      <c r="H1102" t="s">
        <v>120</v>
      </c>
      <c r="I1102" t="s">
        <v>120</v>
      </c>
      <c r="J1102" t="s">
        <v>120</v>
      </c>
      <c r="K1102" t="s">
        <v>120</v>
      </c>
      <c r="L1102" t="s">
        <v>120</v>
      </c>
      <c r="M1102" t="s">
        <v>120</v>
      </c>
      <c r="N1102" t="s">
        <v>120</v>
      </c>
      <c r="O1102" t="s">
        <v>120</v>
      </c>
      <c r="P1102" t="s">
        <v>120</v>
      </c>
      <c r="Q1102" t="s">
        <v>120</v>
      </c>
      <c r="R1102" t="s">
        <v>120</v>
      </c>
      <c r="S1102" t="s">
        <v>120</v>
      </c>
      <c r="T1102" t="s">
        <v>120</v>
      </c>
      <c r="U1102" t="s">
        <v>120</v>
      </c>
      <c r="V1102" t="s">
        <v>120</v>
      </c>
      <c r="W1102" t="s">
        <v>120</v>
      </c>
      <c r="X1102" t="s">
        <v>120</v>
      </c>
      <c r="Y1102" t="s">
        <v>141</v>
      </c>
      <c r="Z1102" t="s">
        <v>120</v>
      </c>
      <c r="AA1102" t="s">
        <v>120</v>
      </c>
      <c r="AB1102" t="s">
        <v>120</v>
      </c>
      <c r="AC1102" t="s">
        <v>120</v>
      </c>
      <c r="AD1102" t="s">
        <v>120</v>
      </c>
      <c r="AE1102" t="s">
        <v>120</v>
      </c>
      <c r="AF1102" t="s">
        <v>120</v>
      </c>
      <c r="AG1102" t="s">
        <v>120</v>
      </c>
      <c r="AH1102" t="s">
        <v>120</v>
      </c>
      <c r="AJ1102">
        <v>0</v>
      </c>
      <c r="AK1102">
        <v>8</v>
      </c>
      <c r="AL1102">
        <v>8</v>
      </c>
      <c r="AM1102">
        <v>0</v>
      </c>
      <c r="AN1102">
        <v>0</v>
      </c>
      <c r="AO1102">
        <v>30.13</v>
      </c>
      <c r="AP1102">
        <v>8</v>
      </c>
      <c r="AQ1102">
        <v>0</v>
      </c>
      <c r="AR1102">
        <v>75.06</v>
      </c>
      <c r="AS1102">
        <v>482.08</v>
      </c>
    </row>
    <row r="1103" spans="1:45" x14ac:dyDescent="0.25">
      <c r="A1103" t="s">
        <v>2444</v>
      </c>
      <c r="B1103" t="s">
        <v>2445</v>
      </c>
      <c r="C1103" t="s">
        <v>147</v>
      </c>
      <c r="D1103" t="s">
        <v>2419</v>
      </c>
      <c r="E1103" t="s">
        <v>120</v>
      </c>
      <c r="F1103" t="s">
        <v>120</v>
      </c>
      <c r="G1103" t="s">
        <v>120</v>
      </c>
      <c r="H1103" t="s">
        <v>120</v>
      </c>
      <c r="I1103" t="s">
        <v>120</v>
      </c>
      <c r="J1103" t="s">
        <v>120</v>
      </c>
      <c r="K1103" t="s">
        <v>120</v>
      </c>
      <c r="L1103" t="s">
        <v>120</v>
      </c>
      <c r="M1103" t="s">
        <v>120</v>
      </c>
      <c r="N1103" t="s">
        <v>120</v>
      </c>
      <c r="O1103" t="s">
        <v>120</v>
      </c>
      <c r="P1103" t="s">
        <v>120</v>
      </c>
      <c r="Q1103" t="s">
        <v>120</v>
      </c>
      <c r="R1103" t="s">
        <v>120</v>
      </c>
      <c r="S1103" t="s">
        <v>120</v>
      </c>
      <c r="T1103" t="s">
        <v>120</v>
      </c>
      <c r="U1103" t="s">
        <v>120</v>
      </c>
      <c r="V1103" t="s">
        <v>120</v>
      </c>
      <c r="W1103" t="s">
        <v>120</v>
      </c>
      <c r="X1103" t="s">
        <v>120</v>
      </c>
      <c r="Y1103" t="s">
        <v>120</v>
      </c>
      <c r="Z1103" t="s">
        <v>120</v>
      </c>
      <c r="AA1103" t="s">
        <v>120</v>
      </c>
      <c r="AB1103" t="s">
        <v>120</v>
      </c>
      <c r="AC1103" t="s">
        <v>120</v>
      </c>
      <c r="AD1103" t="s">
        <v>120</v>
      </c>
      <c r="AE1103" t="s">
        <v>120</v>
      </c>
      <c r="AF1103" t="s">
        <v>120</v>
      </c>
      <c r="AG1103" t="s">
        <v>120</v>
      </c>
      <c r="AH1103" t="s">
        <v>120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28.25</v>
      </c>
      <c r="AP1103">
        <v>0</v>
      </c>
      <c r="AQ1103">
        <v>0</v>
      </c>
      <c r="AR1103">
        <v>70.2</v>
      </c>
      <c r="AS1103">
        <v>0</v>
      </c>
    </row>
    <row r="1104" spans="1:45" x14ac:dyDescent="0.25">
      <c r="A1104" t="s">
        <v>2446</v>
      </c>
      <c r="B1104" t="s">
        <v>2447</v>
      </c>
      <c r="C1104" t="s">
        <v>130</v>
      </c>
      <c r="D1104" t="s">
        <v>2419</v>
      </c>
      <c r="E1104" t="s">
        <v>120</v>
      </c>
      <c r="F1104" t="s">
        <v>120</v>
      </c>
      <c r="G1104" t="s">
        <v>120</v>
      </c>
      <c r="H1104" t="s">
        <v>120</v>
      </c>
      <c r="I1104" t="s">
        <v>120</v>
      </c>
      <c r="J1104" t="s">
        <v>141</v>
      </c>
      <c r="K1104" t="s">
        <v>120</v>
      </c>
      <c r="L1104" t="s">
        <v>120</v>
      </c>
      <c r="M1104" t="s">
        <v>120</v>
      </c>
      <c r="N1104" t="s">
        <v>120</v>
      </c>
      <c r="O1104" t="s">
        <v>120</v>
      </c>
      <c r="P1104" t="s">
        <v>120</v>
      </c>
      <c r="Q1104" t="s">
        <v>120</v>
      </c>
      <c r="R1104" t="s">
        <v>120</v>
      </c>
      <c r="S1104" t="s">
        <v>120</v>
      </c>
      <c r="T1104" t="s">
        <v>120</v>
      </c>
      <c r="U1104" t="s">
        <v>120</v>
      </c>
      <c r="V1104" t="s">
        <v>120</v>
      </c>
      <c r="W1104" t="s">
        <v>135</v>
      </c>
      <c r="X1104" t="s">
        <v>120</v>
      </c>
      <c r="Y1104" t="s">
        <v>141</v>
      </c>
      <c r="Z1104" t="s">
        <v>120</v>
      </c>
      <c r="AA1104" t="s">
        <v>120</v>
      </c>
      <c r="AB1104" t="s">
        <v>120</v>
      </c>
      <c r="AC1104" t="s">
        <v>120</v>
      </c>
      <c r="AD1104" t="s">
        <v>120</v>
      </c>
      <c r="AE1104" t="s">
        <v>120</v>
      </c>
      <c r="AF1104" t="s">
        <v>120</v>
      </c>
      <c r="AG1104" t="s">
        <v>120</v>
      </c>
      <c r="AH1104" t="s">
        <v>120</v>
      </c>
      <c r="AJ1104">
        <v>0</v>
      </c>
      <c r="AK1104">
        <v>24</v>
      </c>
      <c r="AL1104">
        <v>16</v>
      </c>
      <c r="AM1104">
        <v>8</v>
      </c>
      <c r="AN1104">
        <v>0</v>
      </c>
      <c r="AO1104">
        <v>7500</v>
      </c>
      <c r="AP1104">
        <v>24</v>
      </c>
      <c r="AQ1104">
        <v>0</v>
      </c>
      <c r="AR1104">
        <v>126.56250000000001</v>
      </c>
      <c r="AS1104">
        <v>2250</v>
      </c>
    </row>
    <row r="1105" spans="1:45" x14ac:dyDescent="0.25">
      <c r="A1105" t="s">
        <v>2448</v>
      </c>
      <c r="B1105" t="s">
        <v>2449</v>
      </c>
      <c r="C1105" t="s">
        <v>147</v>
      </c>
      <c r="D1105" t="s">
        <v>2419</v>
      </c>
      <c r="E1105" t="s">
        <v>120</v>
      </c>
      <c r="F1105" t="s">
        <v>120</v>
      </c>
      <c r="G1105" t="s">
        <v>120</v>
      </c>
      <c r="H1105" t="s">
        <v>120</v>
      </c>
      <c r="I1105" t="s">
        <v>120</v>
      </c>
      <c r="J1105" t="s">
        <v>120</v>
      </c>
      <c r="K1105" t="s">
        <v>120</v>
      </c>
      <c r="L1105" t="s">
        <v>120</v>
      </c>
      <c r="M1105" t="s">
        <v>120</v>
      </c>
      <c r="N1105" t="s">
        <v>120</v>
      </c>
      <c r="O1105" t="s">
        <v>120</v>
      </c>
      <c r="P1105" t="s">
        <v>120</v>
      </c>
      <c r="Q1105" t="s">
        <v>120</v>
      </c>
      <c r="R1105" t="s">
        <v>120</v>
      </c>
      <c r="S1105" t="s">
        <v>120</v>
      </c>
      <c r="T1105" t="s">
        <v>120</v>
      </c>
      <c r="U1105" t="s">
        <v>120</v>
      </c>
      <c r="V1105" t="s">
        <v>120</v>
      </c>
      <c r="W1105" t="s">
        <v>120</v>
      </c>
      <c r="X1105" t="s">
        <v>120</v>
      </c>
      <c r="Y1105" t="s">
        <v>120</v>
      </c>
      <c r="Z1105" t="s">
        <v>120</v>
      </c>
      <c r="AA1105" t="s">
        <v>120</v>
      </c>
      <c r="AB1105" t="s">
        <v>120</v>
      </c>
      <c r="AC1105" t="s">
        <v>120</v>
      </c>
      <c r="AD1105" t="s">
        <v>120</v>
      </c>
      <c r="AE1105" t="s">
        <v>120</v>
      </c>
      <c r="AF1105" t="s">
        <v>120</v>
      </c>
      <c r="AG1105" t="s">
        <v>120</v>
      </c>
      <c r="AH1105" t="s">
        <v>120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28.25</v>
      </c>
      <c r="AP1105">
        <v>0</v>
      </c>
      <c r="AQ1105">
        <v>0</v>
      </c>
      <c r="AR1105">
        <v>70.2</v>
      </c>
      <c r="AS1105">
        <v>0</v>
      </c>
    </row>
    <row r="1106" spans="1:45" x14ac:dyDescent="0.25">
      <c r="A1106" t="s">
        <v>2450</v>
      </c>
      <c r="B1106" t="s">
        <v>2451</v>
      </c>
      <c r="C1106" t="s">
        <v>147</v>
      </c>
      <c r="D1106" t="s">
        <v>2419</v>
      </c>
      <c r="E1106" t="s">
        <v>120</v>
      </c>
      <c r="F1106" t="s">
        <v>120</v>
      </c>
      <c r="G1106" t="s">
        <v>120</v>
      </c>
      <c r="H1106" t="s">
        <v>120</v>
      </c>
      <c r="I1106" t="s">
        <v>120</v>
      </c>
      <c r="J1106" t="s">
        <v>120</v>
      </c>
      <c r="K1106" t="s">
        <v>120</v>
      </c>
      <c r="L1106" t="s">
        <v>120</v>
      </c>
      <c r="M1106" t="s">
        <v>120</v>
      </c>
      <c r="N1106" t="s">
        <v>120</v>
      </c>
      <c r="O1106" t="s">
        <v>120</v>
      </c>
      <c r="P1106" t="s">
        <v>120</v>
      </c>
      <c r="Q1106" t="s">
        <v>120</v>
      </c>
      <c r="R1106" t="s">
        <v>120</v>
      </c>
      <c r="S1106" t="s">
        <v>120</v>
      </c>
      <c r="T1106" t="s">
        <v>120</v>
      </c>
      <c r="U1106" t="s">
        <v>120</v>
      </c>
      <c r="V1106" t="s">
        <v>120</v>
      </c>
      <c r="W1106" t="s">
        <v>120</v>
      </c>
      <c r="X1106" t="s">
        <v>120</v>
      </c>
      <c r="Y1106" t="s">
        <v>120</v>
      </c>
      <c r="Z1106" t="s">
        <v>120</v>
      </c>
      <c r="AA1106" t="s">
        <v>120</v>
      </c>
      <c r="AB1106" t="s">
        <v>120</v>
      </c>
      <c r="AC1106" t="s">
        <v>120</v>
      </c>
      <c r="AD1106" t="s">
        <v>120</v>
      </c>
      <c r="AE1106" t="s">
        <v>120</v>
      </c>
      <c r="AF1106" t="s">
        <v>120</v>
      </c>
      <c r="AG1106" t="s">
        <v>120</v>
      </c>
      <c r="AH1106" t="s">
        <v>120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28.25</v>
      </c>
      <c r="AP1106">
        <v>0</v>
      </c>
      <c r="AQ1106">
        <v>0</v>
      </c>
      <c r="AR1106">
        <v>70.2</v>
      </c>
      <c r="AS1106">
        <v>0</v>
      </c>
    </row>
    <row r="1107" spans="1:45" x14ac:dyDescent="0.25">
      <c r="A1107" t="s">
        <v>2452</v>
      </c>
      <c r="B1107" t="s">
        <v>2453</v>
      </c>
      <c r="C1107" t="s">
        <v>147</v>
      </c>
      <c r="D1107" t="s">
        <v>2419</v>
      </c>
      <c r="E1107" t="s">
        <v>120</v>
      </c>
      <c r="F1107" t="s">
        <v>120</v>
      </c>
      <c r="G1107" t="s">
        <v>120</v>
      </c>
      <c r="H1107" t="s">
        <v>120</v>
      </c>
      <c r="I1107" t="s">
        <v>120</v>
      </c>
      <c r="J1107" t="s">
        <v>120</v>
      </c>
      <c r="K1107" t="s">
        <v>120</v>
      </c>
      <c r="L1107" t="s">
        <v>120</v>
      </c>
      <c r="M1107" t="s">
        <v>120</v>
      </c>
      <c r="N1107" t="s">
        <v>120</v>
      </c>
      <c r="O1107" t="s">
        <v>120</v>
      </c>
      <c r="P1107" t="s">
        <v>120</v>
      </c>
      <c r="Q1107" t="s">
        <v>120</v>
      </c>
      <c r="R1107" t="s">
        <v>120</v>
      </c>
      <c r="S1107" t="s">
        <v>120</v>
      </c>
      <c r="T1107" t="s">
        <v>120</v>
      </c>
      <c r="U1107" t="s">
        <v>120</v>
      </c>
      <c r="V1107" t="s">
        <v>120</v>
      </c>
      <c r="W1107" t="s">
        <v>120</v>
      </c>
      <c r="X1107" t="s">
        <v>120</v>
      </c>
      <c r="Y1107" t="s">
        <v>120</v>
      </c>
      <c r="Z1107" t="s">
        <v>120</v>
      </c>
      <c r="AA1107" t="s">
        <v>120</v>
      </c>
      <c r="AB1107" t="s">
        <v>120</v>
      </c>
      <c r="AC1107" t="s">
        <v>120</v>
      </c>
      <c r="AD1107" t="s">
        <v>120</v>
      </c>
      <c r="AE1107" t="s">
        <v>120</v>
      </c>
      <c r="AF1107" t="s">
        <v>120</v>
      </c>
      <c r="AG1107" t="s">
        <v>120</v>
      </c>
      <c r="AH1107" t="s">
        <v>120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28.25</v>
      </c>
      <c r="AP1107">
        <v>0</v>
      </c>
      <c r="AQ1107">
        <v>0</v>
      </c>
      <c r="AR1107">
        <v>70.2</v>
      </c>
      <c r="AS1107">
        <v>0</v>
      </c>
    </row>
    <row r="1108" spans="1:45" x14ac:dyDescent="0.25">
      <c r="A1108" t="s">
        <v>2454</v>
      </c>
      <c r="B1108" t="s">
        <v>2455</v>
      </c>
      <c r="C1108" t="s">
        <v>147</v>
      </c>
      <c r="D1108" t="s">
        <v>2419</v>
      </c>
      <c r="E1108" t="s">
        <v>120</v>
      </c>
      <c r="F1108" t="s">
        <v>120</v>
      </c>
      <c r="G1108" t="s">
        <v>120</v>
      </c>
      <c r="H1108" t="s">
        <v>120</v>
      </c>
      <c r="I1108" t="s">
        <v>120</v>
      </c>
      <c r="J1108" t="s">
        <v>120</v>
      </c>
      <c r="K1108" t="s">
        <v>120</v>
      </c>
      <c r="L1108" t="s">
        <v>120</v>
      </c>
      <c r="M1108" t="s">
        <v>120</v>
      </c>
      <c r="N1108" t="s">
        <v>120</v>
      </c>
      <c r="O1108" t="s">
        <v>120</v>
      </c>
      <c r="P1108" t="s">
        <v>120</v>
      </c>
      <c r="Q1108" t="s">
        <v>120</v>
      </c>
      <c r="R1108" t="s">
        <v>120</v>
      </c>
      <c r="S1108" t="s">
        <v>120</v>
      </c>
      <c r="T1108" t="s">
        <v>120</v>
      </c>
      <c r="U1108" t="s">
        <v>120</v>
      </c>
      <c r="V1108" t="s">
        <v>120</v>
      </c>
      <c r="W1108" t="s">
        <v>120</v>
      </c>
      <c r="X1108" t="s">
        <v>120</v>
      </c>
      <c r="Y1108" t="s">
        <v>120</v>
      </c>
      <c r="Z1108" t="s">
        <v>120</v>
      </c>
      <c r="AA1108" t="s">
        <v>120</v>
      </c>
      <c r="AB1108" t="s">
        <v>120</v>
      </c>
      <c r="AC1108" t="s">
        <v>120</v>
      </c>
      <c r="AD1108" t="s">
        <v>120</v>
      </c>
      <c r="AE1108" t="s">
        <v>120</v>
      </c>
      <c r="AF1108" t="s">
        <v>120</v>
      </c>
      <c r="AG1108" t="s">
        <v>120</v>
      </c>
      <c r="AH1108" t="s">
        <v>120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31.55</v>
      </c>
      <c r="AP1108">
        <v>0</v>
      </c>
      <c r="AQ1108">
        <v>0</v>
      </c>
      <c r="AR1108">
        <v>70.2</v>
      </c>
      <c r="AS1108">
        <v>0</v>
      </c>
    </row>
    <row r="1109" spans="1:45" x14ac:dyDescent="0.25">
      <c r="A1109" t="s">
        <v>2456</v>
      </c>
      <c r="B1109" t="s">
        <v>2457</v>
      </c>
      <c r="C1109" t="s">
        <v>147</v>
      </c>
      <c r="D1109" t="s">
        <v>2419</v>
      </c>
      <c r="F1109" t="s">
        <v>120</v>
      </c>
      <c r="G1109" t="s">
        <v>120</v>
      </c>
      <c r="H1109" t="s">
        <v>120</v>
      </c>
      <c r="I1109" t="s">
        <v>120</v>
      </c>
      <c r="P1109" t="s">
        <v>120</v>
      </c>
      <c r="X1109" t="s">
        <v>120</v>
      </c>
      <c r="AC1109" t="s">
        <v>120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31.55</v>
      </c>
      <c r="AP1109">
        <v>0</v>
      </c>
      <c r="AQ1109">
        <v>0</v>
      </c>
      <c r="AR1109">
        <v>70.2</v>
      </c>
      <c r="AS1109">
        <v>0</v>
      </c>
    </row>
    <row r="1110" spans="1:45" x14ac:dyDescent="0.25">
      <c r="A1110" t="s">
        <v>2458</v>
      </c>
      <c r="B1110" t="s">
        <v>2459</v>
      </c>
      <c r="C1110" t="s">
        <v>147</v>
      </c>
      <c r="D1110" t="s">
        <v>153</v>
      </c>
      <c r="E1110" t="s">
        <v>120</v>
      </c>
      <c r="F1110" t="s">
        <v>120</v>
      </c>
      <c r="G1110" t="s">
        <v>120</v>
      </c>
      <c r="H1110" t="s">
        <v>120</v>
      </c>
      <c r="I1110" t="s">
        <v>120</v>
      </c>
      <c r="J1110" t="s">
        <v>120</v>
      </c>
      <c r="K1110" t="s">
        <v>120</v>
      </c>
      <c r="L1110" t="s">
        <v>120</v>
      </c>
      <c r="M1110" t="s">
        <v>120</v>
      </c>
      <c r="N1110" t="s">
        <v>120</v>
      </c>
      <c r="O1110" t="s">
        <v>120</v>
      </c>
      <c r="P1110" t="s">
        <v>120</v>
      </c>
      <c r="Q1110" t="s">
        <v>120</v>
      </c>
      <c r="R1110" t="s">
        <v>141</v>
      </c>
      <c r="S1110" t="s">
        <v>120</v>
      </c>
      <c r="T1110" t="s">
        <v>120</v>
      </c>
      <c r="U1110" t="s">
        <v>120</v>
      </c>
      <c r="V1110" t="s">
        <v>120</v>
      </c>
      <c r="W1110" t="s">
        <v>120</v>
      </c>
      <c r="X1110" t="s">
        <v>120</v>
      </c>
      <c r="Y1110" t="s">
        <v>120</v>
      </c>
      <c r="Z1110" t="s">
        <v>120</v>
      </c>
      <c r="AA1110" t="s">
        <v>120</v>
      </c>
      <c r="AB1110" t="s">
        <v>120</v>
      </c>
      <c r="AC1110" t="s">
        <v>120</v>
      </c>
      <c r="AD1110" t="s">
        <v>120</v>
      </c>
      <c r="AE1110" t="s">
        <v>120</v>
      </c>
      <c r="AF1110" t="s">
        <v>120</v>
      </c>
      <c r="AG1110" t="s">
        <v>120</v>
      </c>
      <c r="AH1110" t="s">
        <v>120</v>
      </c>
      <c r="AJ1110">
        <v>0</v>
      </c>
      <c r="AK1110">
        <v>8</v>
      </c>
      <c r="AL1110">
        <v>8</v>
      </c>
      <c r="AM1110">
        <v>0</v>
      </c>
      <c r="AN1110">
        <v>0</v>
      </c>
      <c r="AO1110">
        <v>28.25</v>
      </c>
      <c r="AP1110">
        <v>8</v>
      </c>
      <c r="AQ1110">
        <v>0</v>
      </c>
      <c r="AR1110">
        <v>70.2</v>
      </c>
      <c r="AS1110">
        <v>452</v>
      </c>
    </row>
    <row r="1111" spans="1:45" x14ac:dyDescent="0.25">
      <c r="A1111" t="s">
        <v>2460</v>
      </c>
      <c r="B1111" t="s">
        <v>2461</v>
      </c>
      <c r="C1111" t="s">
        <v>147</v>
      </c>
      <c r="D1111" t="s">
        <v>153</v>
      </c>
      <c r="E1111" t="s">
        <v>120</v>
      </c>
      <c r="G1111" t="s">
        <v>120</v>
      </c>
      <c r="H1111" t="s">
        <v>120</v>
      </c>
      <c r="I1111" t="s">
        <v>120</v>
      </c>
      <c r="J1111" t="s">
        <v>120</v>
      </c>
      <c r="K1111" t="s">
        <v>120</v>
      </c>
      <c r="L1111" t="s">
        <v>120</v>
      </c>
      <c r="M1111" t="s">
        <v>120</v>
      </c>
      <c r="N1111" t="s">
        <v>120</v>
      </c>
      <c r="O1111" t="s">
        <v>120</v>
      </c>
      <c r="P1111" t="s">
        <v>120</v>
      </c>
      <c r="Q1111" t="s">
        <v>120</v>
      </c>
      <c r="R1111" t="s">
        <v>120</v>
      </c>
      <c r="S1111" t="s">
        <v>120</v>
      </c>
      <c r="T1111" t="s">
        <v>120</v>
      </c>
      <c r="U1111" t="s">
        <v>120</v>
      </c>
      <c r="V1111" t="s">
        <v>120</v>
      </c>
      <c r="W1111" t="s">
        <v>120</v>
      </c>
      <c r="X1111" t="s">
        <v>120</v>
      </c>
      <c r="Y1111" t="s">
        <v>120</v>
      </c>
      <c r="Z1111" t="s">
        <v>120</v>
      </c>
      <c r="AA1111" t="s">
        <v>120</v>
      </c>
      <c r="AB1111" t="s">
        <v>120</v>
      </c>
      <c r="AC1111" t="s">
        <v>120</v>
      </c>
      <c r="AD1111" t="s">
        <v>120</v>
      </c>
      <c r="AE1111" t="s">
        <v>120</v>
      </c>
      <c r="AF1111" t="s">
        <v>120</v>
      </c>
      <c r="AG1111" t="s">
        <v>120</v>
      </c>
      <c r="AH1111" t="s">
        <v>120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28.25</v>
      </c>
      <c r="AP1111">
        <v>0</v>
      </c>
      <c r="AQ1111">
        <v>0</v>
      </c>
      <c r="AR1111">
        <v>70.2</v>
      </c>
      <c r="AS1111">
        <v>0</v>
      </c>
    </row>
    <row r="1112" spans="1:45" x14ac:dyDescent="0.25">
      <c r="A1112" t="s">
        <v>2462</v>
      </c>
      <c r="B1112" t="s">
        <v>2463</v>
      </c>
      <c r="C1112" t="s">
        <v>147</v>
      </c>
      <c r="D1112" t="s">
        <v>153</v>
      </c>
      <c r="E1112" t="s">
        <v>120</v>
      </c>
      <c r="F1112" t="s">
        <v>120</v>
      </c>
      <c r="G1112" t="s">
        <v>120</v>
      </c>
      <c r="H1112" t="s">
        <v>120</v>
      </c>
      <c r="I1112" t="s">
        <v>120</v>
      </c>
      <c r="J1112" t="s">
        <v>120</v>
      </c>
      <c r="K1112" t="s">
        <v>120</v>
      </c>
      <c r="L1112" t="s">
        <v>120</v>
      </c>
      <c r="M1112" t="s">
        <v>120</v>
      </c>
      <c r="N1112" t="s">
        <v>120</v>
      </c>
      <c r="O1112" t="s">
        <v>120</v>
      </c>
      <c r="P1112" t="s">
        <v>120</v>
      </c>
      <c r="Q1112" t="s">
        <v>120</v>
      </c>
      <c r="R1112" t="s">
        <v>120</v>
      </c>
      <c r="S1112" t="s">
        <v>120</v>
      </c>
      <c r="T1112" t="s">
        <v>120</v>
      </c>
      <c r="U1112" t="s">
        <v>120</v>
      </c>
      <c r="V1112" t="s">
        <v>120</v>
      </c>
      <c r="W1112" t="s">
        <v>120</v>
      </c>
      <c r="X1112" t="s">
        <v>120</v>
      </c>
      <c r="Y1112" t="s">
        <v>120</v>
      </c>
      <c r="Z1112" t="s">
        <v>120</v>
      </c>
      <c r="AA1112" t="s">
        <v>120</v>
      </c>
      <c r="AB1112" t="s">
        <v>120</v>
      </c>
      <c r="AC1112" t="s">
        <v>120</v>
      </c>
      <c r="AD1112" t="s">
        <v>120</v>
      </c>
      <c r="AE1112" t="s">
        <v>120</v>
      </c>
      <c r="AF1112" t="s">
        <v>120</v>
      </c>
      <c r="AG1112" t="s">
        <v>120</v>
      </c>
      <c r="AH1112" t="s">
        <v>120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28.25</v>
      </c>
      <c r="AP1112">
        <v>0</v>
      </c>
      <c r="AQ1112">
        <v>0</v>
      </c>
      <c r="AR1112">
        <v>70.2</v>
      </c>
      <c r="AS1112">
        <v>0</v>
      </c>
    </row>
    <row r="1113" spans="1:45" x14ac:dyDescent="0.25">
      <c r="A1113" t="s">
        <v>2464</v>
      </c>
      <c r="B1113" t="s">
        <v>2465</v>
      </c>
      <c r="C1113" t="s">
        <v>147</v>
      </c>
      <c r="D1113" t="s">
        <v>153</v>
      </c>
      <c r="E1113" t="s">
        <v>120</v>
      </c>
      <c r="F1113" t="s">
        <v>120</v>
      </c>
      <c r="G1113" t="s">
        <v>120</v>
      </c>
      <c r="H1113" t="s">
        <v>120</v>
      </c>
      <c r="I1113" t="s">
        <v>120</v>
      </c>
      <c r="J1113" t="s">
        <v>120</v>
      </c>
      <c r="K1113" t="s">
        <v>120</v>
      </c>
      <c r="L1113" t="s">
        <v>120</v>
      </c>
      <c r="M1113" t="s">
        <v>1882</v>
      </c>
      <c r="N1113" t="s">
        <v>120</v>
      </c>
      <c r="O1113" t="s">
        <v>120</v>
      </c>
      <c r="P1113" t="s">
        <v>120</v>
      </c>
      <c r="Q1113" t="s">
        <v>120</v>
      </c>
      <c r="R1113" t="s">
        <v>120</v>
      </c>
      <c r="S1113" t="s">
        <v>120</v>
      </c>
      <c r="T1113" t="s">
        <v>120</v>
      </c>
      <c r="U1113" t="s">
        <v>120</v>
      </c>
      <c r="V1113" t="s">
        <v>120</v>
      </c>
      <c r="W1113" t="s">
        <v>120</v>
      </c>
      <c r="X1113" t="s">
        <v>120</v>
      </c>
      <c r="Y1113" t="s">
        <v>120</v>
      </c>
      <c r="Z1113" t="s">
        <v>120</v>
      </c>
      <c r="AA1113" t="s">
        <v>120</v>
      </c>
      <c r="AB1113" t="s">
        <v>120</v>
      </c>
      <c r="AC1113" t="s">
        <v>120</v>
      </c>
      <c r="AD1113" t="s">
        <v>120</v>
      </c>
      <c r="AE1113" t="s">
        <v>120</v>
      </c>
      <c r="AF1113" t="s">
        <v>120</v>
      </c>
      <c r="AG1113" t="s">
        <v>120</v>
      </c>
      <c r="AH1113" t="s">
        <v>120</v>
      </c>
      <c r="AJ1113">
        <v>0</v>
      </c>
      <c r="AK1113">
        <v>7</v>
      </c>
      <c r="AL1113">
        <v>0</v>
      </c>
      <c r="AM1113">
        <v>7</v>
      </c>
      <c r="AN1113">
        <v>0</v>
      </c>
      <c r="AO1113">
        <v>28.25</v>
      </c>
      <c r="AP1113">
        <v>7</v>
      </c>
      <c r="AQ1113">
        <v>0</v>
      </c>
      <c r="AR1113">
        <v>70.2</v>
      </c>
      <c r="AS1113">
        <v>395.5</v>
      </c>
    </row>
    <row r="1114" spans="1:45" x14ac:dyDescent="0.25">
      <c r="A1114" t="s">
        <v>2466</v>
      </c>
      <c r="B1114" t="s">
        <v>2467</v>
      </c>
      <c r="C1114" t="s">
        <v>130</v>
      </c>
      <c r="D1114" t="s">
        <v>153</v>
      </c>
      <c r="E1114" t="s">
        <v>120</v>
      </c>
      <c r="F1114" t="s">
        <v>120</v>
      </c>
      <c r="G1114" t="s">
        <v>120</v>
      </c>
      <c r="H1114" t="s">
        <v>120</v>
      </c>
      <c r="I1114" t="s">
        <v>120</v>
      </c>
      <c r="J1114" t="s">
        <v>120</v>
      </c>
      <c r="K1114" t="s">
        <v>120</v>
      </c>
      <c r="L1114" t="s">
        <v>120</v>
      </c>
      <c r="M1114" t="s">
        <v>120</v>
      </c>
      <c r="N1114" t="s">
        <v>120</v>
      </c>
      <c r="O1114" t="s">
        <v>120</v>
      </c>
      <c r="P1114" t="s">
        <v>120</v>
      </c>
      <c r="Q1114" t="s">
        <v>120</v>
      </c>
      <c r="R1114" t="s">
        <v>120</v>
      </c>
      <c r="S1114" t="s">
        <v>120</v>
      </c>
      <c r="T1114" t="s">
        <v>120</v>
      </c>
      <c r="U1114" t="s">
        <v>120</v>
      </c>
      <c r="V1114" t="s">
        <v>120</v>
      </c>
      <c r="W1114" t="s">
        <v>120</v>
      </c>
      <c r="X1114" t="s">
        <v>120</v>
      </c>
      <c r="Y1114" t="s">
        <v>120</v>
      </c>
      <c r="Z1114" t="s">
        <v>120</v>
      </c>
      <c r="AA1114" t="s">
        <v>120</v>
      </c>
      <c r="AB1114" t="s">
        <v>120</v>
      </c>
      <c r="AC1114" t="s">
        <v>120</v>
      </c>
      <c r="AD1114" t="s">
        <v>120</v>
      </c>
      <c r="AE1114" t="s">
        <v>141</v>
      </c>
      <c r="AF1114" t="s">
        <v>120</v>
      </c>
      <c r="AG1114" t="s">
        <v>120</v>
      </c>
      <c r="AH1114" t="s">
        <v>120</v>
      </c>
      <c r="AJ1114">
        <v>0</v>
      </c>
      <c r="AK1114">
        <v>8</v>
      </c>
      <c r="AL1114">
        <v>8</v>
      </c>
      <c r="AM1114">
        <v>0</v>
      </c>
      <c r="AN1114">
        <v>0</v>
      </c>
      <c r="AO1114">
        <v>7500</v>
      </c>
      <c r="AP1114">
        <v>8</v>
      </c>
      <c r="AQ1114">
        <v>0</v>
      </c>
      <c r="AR1114">
        <v>126.56250000000001</v>
      </c>
      <c r="AS1114">
        <v>750</v>
      </c>
    </row>
    <row r="1115" spans="1:45" x14ac:dyDescent="0.25">
      <c r="A1115" t="s">
        <v>2468</v>
      </c>
      <c r="B1115" t="s">
        <v>2469</v>
      </c>
      <c r="C1115" t="s">
        <v>147</v>
      </c>
      <c r="D1115" t="s">
        <v>153</v>
      </c>
      <c r="E1115" t="s">
        <v>120</v>
      </c>
      <c r="F1115" t="s">
        <v>120</v>
      </c>
      <c r="G1115" t="s">
        <v>120</v>
      </c>
      <c r="H1115" t="s">
        <v>120</v>
      </c>
      <c r="I1115" t="s">
        <v>120</v>
      </c>
      <c r="J1115" t="s">
        <v>120</v>
      </c>
      <c r="K1115" t="s">
        <v>120</v>
      </c>
      <c r="L1115" t="s">
        <v>120</v>
      </c>
      <c r="M1115" t="s">
        <v>120</v>
      </c>
      <c r="N1115" t="s">
        <v>120</v>
      </c>
      <c r="O1115" t="s">
        <v>120</v>
      </c>
      <c r="P1115" t="s">
        <v>120</v>
      </c>
      <c r="Q1115" t="s">
        <v>120</v>
      </c>
      <c r="R1115" t="s">
        <v>120</v>
      </c>
      <c r="S1115" t="s">
        <v>120</v>
      </c>
      <c r="T1115" t="s">
        <v>120</v>
      </c>
      <c r="U1115" t="s">
        <v>120</v>
      </c>
      <c r="V1115" t="s">
        <v>120</v>
      </c>
      <c r="W1115" t="s">
        <v>120</v>
      </c>
      <c r="X1115" t="s">
        <v>120</v>
      </c>
      <c r="Y1115" t="s">
        <v>120</v>
      </c>
      <c r="Z1115" t="s">
        <v>120</v>
      </c>
      <c r="AA1115" t="s">
        <v>120</v>
      </c>
      <c r="AB1115" t="s">
        <v>120</v>
      </c>
      <c r="AC1115" t="s">
        <v>120</v>
      </c>
      <c r="AD1115" t="s">
        <v>120</v>
      </c>
      <c r="AE1115" t="s">
        <v>120</v>
      </c>
      <c r="AF1115" t="s">
        <v>120</v>
      </c>
      <c r="AG1115" t="s">
        <v>120</v>
      </c>
      <c r="AH1115" t="s">
        <v>120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28.25</v>
      </c>
      <c r="AP1115">
        <v>0</v>
      </c>
      <c r="AQ1115">
        <v>0</v>
      </c>
      <c r="AR1115">
        <v>70.2</v>
      </c>
      <c r="AS1115">
        <v>0</v>
      </c>
    </row>
    <row r="1116" spans="1:45" x14ac:dyDescent="0.25">
      <c r="A1116" t="s">
        <v>2470</v>
      </c>
      <c r="B1116" t="s">
        <v>2471</v>
      </c>
      <c r="C1116" t="s">
        <v>147</v>
      </c>
      <c r="D1116" t="s">
        <v>153</v>
      </c>
      <c r="E1116" t="s">
        <v>120</v>
      </c>
      <c r="F1116" t="s">
        <v>120</v>
      </c>
      <c r="G1116" t="s">
        <v>120</v>
      </c>
      <c r="H1116" t="s">
        <v>120</v>
      </c>
      <c r="I1116" t="s">
        <v>120</v>
      </c>
      <c r="J1116" t="s">
        <v>120</v>
      </c>
      <c r="K1116" t="s">
        <v>120</v>
      </c>
      <c r="L1116" t="s">
        <v>120</v>
      </c>
      <c r="M1116" t="s">
        <v>120</v>
      </c>
      <c r="N1116" t="s">
        <v>120</v>
      </c>
      <c r="O1116" t="s">
        <v>120</v>
      </c>
      <c r="P1116" t="s">
        <v>120</v>
      </c>
      <c r="Q1116" t="s">
        <v>120</v>
      </c>
      <c r="R1116" t="s">
        <v>120</v>
      </c>
      <c r="S1116" t="s">
        <v>120</v>
      </c>
      <c r="T1116" t="s">
        <v>120</v>
      </c>
      <c r="U1116" t="s">
        <v>120</v>
      </c>
      <c r="V1116" t="s">
        <v>120</v>
      </c>
      <c r="W1116" t="s">
        <v>120</v>
      </c>
      <c r="X1116" t="s">
        <v>120</v>
      </c>
      <c r="Y1116" t="s">
        <v>120</v>
      </c>
      <c r="Z1116" t="s">
        <v>120</v>
      </c>
      <c r="AA1116" t="s">
        <v>120</v>
      </c>
      <c r="AB1116" t="s">
        <v>120</v>
      </c>
      <c r="AC1116" t="s">
        <v>120</v>
      </c>
      <c r="AD1116" t="s">
        <v>120</v>
      </c>
      <c r="AE1116" t="s">
        <v>120</v>
      </c>
      <c r="AF1116" t="s">
        <v>120</v>
      </c>
      <c r="AG1116" t="s">
        <v>120</v>
      </c>
      <c r="AH1116" t="s">
        <v>120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28.25</v>
      </c>
      <c r="AP1116">
        <v>0</v>
      </c>
      <c r="AQ1116">
        <v>0</v>
      </c>
      <c r="AR1116">
        <v>70.2</v>
      </c>
      <c r="AS1116">
        <v>0</v>
      </c>
    </row>
    <row r="1117" spans="1:45" x14ac:dyDescent="0.25">
      <c r="A1117" t="s">
        <v>2472</v>
      </c>
      <c r="B1117" t="s">
        <v>2473</v>
      </c>
      <c r="C1117" t="s">
        <v>147</v>
      </c>
      <c r="D1117" t="s">
        <v>153</v>
      </c>
      <c r="E1117" t="s">
        <v>120</v>
      </c>
      <c r="F1117" t="s">
        <v>120</v>
      </c>
      <c r="G1117" t="s">
        <v>120</v>
      </c>
      <c r="H1117" t="s">
        <v>120</v>
      </c>
      <c r="I1117" t="s">
        <v>120</v>
      </c>
      <c r="J1117" t="s">
        <v>120</v>
      </c>
      <c r="K1117" t="s">
        <v>120</v>
      </c>
      <c r="L1117" t="s">
        <v>120</v>
      </c>
      <c r="M1117" t="s">
        <v>120</v>
      </c>
      <c r="N1117" t="s">
        <v>120</v>
      </c>
      <c r="O1117" t="s">
        <v>120</v>
      </c>
      <c r="P1117" t="s">
        <v>120</v>
      </c>
      <c r="Q1117" t="s">
        <v>120</v>
      </c>
      <c r="R1117" t="s">
        <v>120</v>
      </c>
      <c r="S1117" t="s">
        <v>120</v>
      </c>
      <c r="T1117" t="s">
        <v>120</v>
      </c>
      <c r="U1117" t="s">
        <v>120</v>
      </c>
      <c r="V1117" t="s">
        <v>120</v>
      </c>
      <c r="W1117" t="s">
        <v>120</v>
      </c>
      <c r="X1117" t="s">
        <v>120</v>
      </c>
      <c r="Y1117" t="s">
        <v>120</v>
      </c>
      <c r="Z1117" t="s">
        <v>120</v>
      </c>
      <c r="AA1117" t="s">
        <v>120</v>
      </c>
      <c r="AB1117" t="s">
        <v>120</v>
      </c>
      <c r="AC1117" t="s">
        <v>120</v>
      </c>
      <c r="AD1117" t="s">
        <v>120</v>
      </c>
      <c r="AE1117" t="s">
        <v>120</v>
      </c>
      <c r="AF1117" t="s">
        <v>120</v>
      </c>
      <c r="AG1117" t="s">
        <v>120</v>
      </c>
      <c r="AH1117" t="s">
        <v>120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28.25</v>
      </c>
      <c r="AP1117">
        <v>0</v>
      </c>
      <c r="AQ1117">
        <v>0</v>
      </c>
      <c r="AR1117">
        <v>70.2</v>
      </c>
      <c r="AS1117">
        <v>0</v>
      </c>
    </row>
    <row r="1118" spans="1:45" x14ac:dyDescent="0.25">
      <c r="A1118" t="s">
        <v>2474</v>
      </c>
      <c r="B1118" t="s">
        <v>2475</v>
      </c>
      <c r="C1118" t="s">
        <v>127</v>
      </c>
      <c r="D1118" t="s">
        <v>153</v>
      </c>
      <c r="E1118" t="s">
        <v>120</v>
      </c>
      <c r="F1118" t="s">
        <v>120</v>
      </c>
      <c r="G1118" t="s">
        <v>120</v>
      </c>
      <c r="H1118" t="s">
        <v>120</v>
      </c>
      <c r="I1118" t="s">
        <v>120</v>
      </c>
      <c r="J1118" t="s">
        <v>120</v>
      </c>
      <c r="K1118" t="s">
        <v>120</v>
      </c>
      <c r="L1118" t="s">
        <v>120</v>
      </c>
      <c r="M1118" t="s">
        <v>120</v>
      </c>
      <c r="N1118" t="s">
        <v>120</v>
      </c>
      <c r="O1118" t="s">
        <v>120</v>
      </c>
      <c r="P1118" t="s">
        <v>120</v>
      </c>
      <c r="Q1118" t="s">
        <v>120</v>
      </c>
      <c r="R1118" t="s">
        <v>120</v>
      </c>
      <c r="S1118" t="s">
        <v>120</v>
      </c>
      <c r="T1118" t="s">
        <v>120</v>
      </c>
      <c r="U1118" t="s">
        <v>120</v>
      </c>
      <c r="V1118" t="s">
        <v>120</v>
      </c>
      <c r="W1118" t="s">
        <v>120</v>
      </c>
      <c r="X1118" t="s">
        <v>120</v>
      </c>
      <c r="Y1118" t="s">
        <v>120</v>
      </c>
      <c r="Z1118" t="s">
        <v>120</v>
      </c>
      <c r="AA1118" t="s">
        <v>120</v>
      </c>
      <c r="AB1118" t="s">
        <v>120</v>
      </c>
      <c r="AC1118" t="s">
        <v>120</v>
      </c>
      <c r="AD1118" t="s">
        <v>120</v>
      </c>
      <c r="AE1118" t="s">
        <v>120</v>
      </c>
      <c r="AF1118" t="s">
        <v>120</v>
      </c>
      <c r="AG1118" t="s">
        <v>120</v>
      </c>
      <c r="AH1118" t="s">
        <v>120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30.13</v>
      </c>
      <c r="AP1118">
        <v>0</v>
      </c>
      <c r="AQ1118">
        <v>0</v>
      </c>
      <c r="AR1118">
        <v>75.06</v>
      </c>
      <c r="AS1118">
        <v>0</v>
      </c>
    </row>
    <row r="1119" spans="1:45" x14ac:dyDescent="0.25">
      <c r="A1119" t="s">
        <v>2476</v>
      </c>
      <c r="B1119" t="s">
        <v>2477</v>
      </c>
      <c r="C1119" t="s">
        <v>127</v>
      </c>
      <c r="D1119" t="s">
        <v>153</v>
      </c>
      <c r="E1119" t="s">
        <v>120</v>
      </c>
      <c r="F1119" t="s">
        <v>120</v>
      </c>
      <c r="G1119" t="s">
        <v>120</v>
      </c>
      <c r="H1119" t="s">
        <v>120</v>
      </c>
      <c r="I1119" t="s">
        <v>120</v>
      </c>
      <c r="J1119" t="s">
        <v>120</v>
      </c>
      <c r="K1119" t="s">
        <v>120</v>
      </c>
      <c r="L1119" t="s">
        <v>120</v>
      </c>
      <c r="M1119" t="s">
        <v>120</v>
      </c>
      <c r="N1119" t="s">
        <v>120</v>
      </c>
      <c r="O1119" t="s">
        <v>120</v>
      </c>
      <c r="P1119" t="s">
        <v>120</v>
      </c>
      <c r="Q1119" t="s">
        <v>120</v>
      </c>
      <c r="R1119" t="s">
        <v>120</v>
      </c>
      <c r="S1119" t="s">
        <v>120</v>
      </c>
      <c r="T1119" t="s">
        <v>120</v>
      </c>
      <c r="U1119" t="s">
        <v>120</v>
      </c>
      <c r="V1119" t="s">
        <v>120</v>
      </c>
      <c r="W1119" t="s">
        <v>120</v>
      </c>
      <c r="X1119" t="s">
        <v>120</v>
      </c>
      <c r="Y1119" t="s">
        <v>120</v>
      </c>
      <c r="Z1119" t="s">
        <v>120</v>
      </c>
      <c r="AA1119" t="s">
        <v>120</v>
      </c>
      <c r="AB1119" t="s">
        <v>120</v>
      </c>
      <c r="AC1119" t="s">
        <v>120</v>
      </c>
      <c r="AD1119" t="s">
        <v>120</v>
      </c>
      <c r="AE1119" t="s">
        <v>120</v>
      </c>
      <c r="AF1119" t="s">
        <v>120</v>
      </c>
      <c r="AG1119" t="s">
        <v>120</v>
      </c>
      <c r="AH1119" t="s">
        <v>120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33.43</v>
      </c>
      <c r="AP1119">
        <v>0</v>
      </c>
      <c r="AQ1119">
        <v>0</v>
      </c>
      <c r="AR1119">
        <v>75.06</v>
      </c>
      <c r="AS1119">
        <v>0</v>
      </c>
    </row>
    <row r="1120" spans="1:45" x14ac:dyDescent="0.25">
      <c r="A1120" t="s">
        <v>2478</v>
      </c>
      <c r="B1120" t="s">
        <v>2479</v>
      </c>
      <c r="C1120" t="s">
        <v>147</v>
      </c>
      <c r="D1120" t="s">
        <v>153</v>
      </c>
      <c r="E1120" t="s">
        <v>120</v>
      </c>
      <c r="F1120" t="s">
        <v>120</v>
      </c>
      <c r="G1120" t="s">
        <v>120</v>
      </c>
      <c r="H1120" t="s">
        <v>120</v>
      </c>
      <c r="I1120" t="s">
        <v>120</v>
      </c>
      <c r="J1120" t="s">
        <v>120</v>
      </c>
      <c r="K1120" t="s">
        <v>120</v>
      </c>
      <c r="L1120" t="s">
        <v>120</v>
      </c>
      <c r="M1120" t="s">
        <v>120</v>
      </c>
      <c r="N1120" t="s">
        <v>120</v>
      </c>
      <c r="O1120" t="s">
        <v>120</v>
      </c>
      <c r="P1120" t="s">
        <v>120</v>
      </c>
      <c r="Q1120" t="s">
        <v>120</v>
      </c>
      <c r="R1120" t="s">
        <v>120</v>
      </c>
      <c r="S1120" t="s">
        <v>120</v>
      </c>
      <c r="T1120" t="s">
        <v>120</v>
      </c>
      <c r="U1120" t="s">
        <v>120</v>
      </c>
      <c r="V1120" t="s">
        <v>120</v>
      </c>
      <c r="W1120" t="s">
        <v>120</v>
      </c>
      <c r="X1120" t="s">
        <v>120</v>
      </c>
      <c r="Y1120" t="s">
        <v>120</v>
      </c>
      <c r="Z1120" t="s">
        <v>120</v>
      </c>
      <c r="AA1120" t="s">
        <v>120</v>
      </c>
      <c r="AB1120" t="s">
        <v>120</v>
      </c>
      <c r="AC1120" t="s">
        <v>120</v>
      </c>
      <c r="AD1120" t="s">
        <v>120</v>
      </c>
      <c r="AE1120" t="s">
        <v>120</v>
      </c>
      <c r="AF1120" t="s">
        <v>120</v>
      </c>
      <c r="AG1120" t="s">
        <v>120</v>
      </c>
      <c r="AH1120" t="s">
        <v>120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28.25</v>
      </c>
      <c r="AP1120">
        <v>0</v>
      </c>
      <c r="AQ1120">
        <v>0</v>
      </c>
      <c r="AR1120">
        <v>70.2</v>
      </c>
      <c r="AS1120">
        <v>0</v>
      </c>
    </row>
    <row r="1121" spans="1:45" x14ac:dyDescent="0.25">
      <c r="A1121" t="s">
        <v>2480</v>
      </c>
      <c r="B1121" t="s">
        <v>2481</v>
      </c>
      <c r="C1121" t="s">
        <v>127</v>
      </c>
      <c r="D1121" t="s">
        <v>153</v>
      </c>
      <c r="E1121" t="s">
        <v>120</v>
      </c>
      <c r="F1121" t="s">
        <v>120</v>
      </c>
      <c r="G1121" t="s">
        <v>120</v>
      </c>
      <c r="H1121" t="s">
        <v>120</v>
      </c>
      <c r="I1121" t="s">
        <v>120</v>
      </c>
      <c r="J1121" t="s">
        <v>120</v>
      </c>
      <c r="K1121" t="s">
        <v>120</v>
      </c>
      <c r="L1121" t="s">
        <v>120</v>
      </c>
      <c r="M1121" t="s">
        <v>120</v>
      </c>
      <c r="N1121" t="s">
        <v>120</v>
      </c>
      <c r="O1121" t="s">
        <v>120</v>
      </c>
      <c r="P1121" t="s">
        <v>120</v>
      </c>
      <c r="Q1121" t="s">
        <v>120</v>
      </c>
      <c r="R1121" t="s">
        <v>120</v>
      </c>
      <c r="S1121" t="s">
        <v>120</v>
      </c>
      <c r="T1121" t="s">
        <v>120</v>
      </c>
      <c r="U1121" t="s">
        <v>120</v>
      </c>
      <c r="V1121" t="s">
        <v>120</v>
      </c>
      <c r="W1121" t="s">
        <v>120</v>
      </c>
      <c r="X1121" t="s">
        <v>120</v>
      </c>
      <c r="Y1121" t="s">
        <v>120</v>
      </c>
      <c r="Z1121" t="s">
        <v>120</v>
      </c>
      <c r="AA1121" t="s">
        <v>120</v>
      </c>
      <c r="AB1121" t="s">
        <v>120</v>
      </c>
      <c r="AC1121" t="s">
        <v>120</v>
      </c>
      <c r="AD1121" t="s">
        <v>120</v>
      </c>
      <c r="AE1121" t="s">
        <v>120</v>
      </c>
      <c r="AF1121" t="s">
        <v>120</v>
      </c>
      <c r="AG1121" t="s">
        <v>120</v>
      </c>
      <c r="AH1121" t="s">
        <v>120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30.13</v>
      </c>
      <c r="AP1121">
        <v>0</v>
      </c>
      <c r="AQ1121">
        <v>0</v>
      </c>
      <c r="AR1121">
        <v>75.06</v>
      </c>
      <c r="AS1121">
        <v>0</v>
      </c>
    </row>
    <row r="1122" spans="1:45" x14ac:dyDescent="0.25">
      <c r="A1122" t="s">
        <v>2482</v>
      </c>
      <c r="B1122" t="s">
        <v>2483</v>
      </c>
      <c r="C1122" t="s">
        <v>147</v>
      </c>
      <c r="D1122" t="s">
        <v>153</v>
      </c>
      <c r="E1122" t="s">
        <v>120</v>
      </c>
      <c r="F1122" t="s">
        <v>120</v>
      </c>
      <c r="G1122" t="s">
        <v>120</v>
      </c>
      <c r="H1122" t="s">
        <v>120</v>
      </c>
      <c r="I1122" t="s">
        <v>120</v>
      </c>
      <c r="J1122" t="s">
        <v>120</v>
      </c>
      <c r="K1122" t="s">
        <v>120</v>
      </c>
      <c r="L1122" t="s">
        <v>120</v>
      </c>
      <c r="M1122" t="s">
        <v>120</v>
      </c>
      <c r="N1122" t="s">
        <v>120</v>
      </c>
      <c r="O1122" t="s">
        <v>120</v>
      </c>
      <c r="P1122" t="s">
        <v>120</v>
      </c>
      <c r="Q1122" t="s">
        <v>120</v>
      </c>
      <c r="R1122" t="s">
        <v>120</v>
      </c>
      <c r="S1122" t="s">
        <v>120</v>
      </c>
      <c r="T1122" t="s">
        <v>120</v>
      </c>
      <c r="U1122" t="s">
        <v>120</v>
      </c>
      <c r="V1122" t="s">
        <v>120</v>
      </c>
      <c r="W1122" t="s">
        <v>120</v>
      </c>
      <c r="X1122" t="s">
        <v>120</v>
      </c>
      <c r="Y1122" t="s">
        <v>120</v>
      </c>
      <c r="Z1122" t="s">
        <v>120</v>
      </c>
      <c r="AA1122" t="s">
        <v>120</v>
      </c>
      <c r="AB1122" t="s">
        <v>120</v>
      </c>
      <c r="AC1122" t="s">
        <v>120</v>
      </c>
      <c r="AD1122" t="s">
        <v>141</v>
      </c>
      <c r="AE1122" t="s">
        <v>120</v>
      </c>
      <c r="AF1122" t="s">
        <v>120</v>
      </c>
      <c r="AG1122" t="s">
        <v>120</v>
      </c>
      <c r="AH1122" t="s">
        <v>120</v>
      </c>
      <c r="AJ1122">
        <v>0</v>
      </c>
      <c r="AK1122">
        <v>8</v>
      </c>
      <c r="AL1122">
        <v>8</v>
      </c>
      <c r="AM1122">
        <v>0</v>
      </c>
      <c r="AN1122">
        <v>0</v>
      </c>
      <c r="AO1122">
        <v>28.25</v>
      </c>
      <c r="AP1122">
        <v>8</v>
      </c>
      <c r="AQ1122">
        <v>0</v>
      </c>
      <c r="AR1122">
        <v>70.2</v>
      </c>
      <c r="AS1122">
        <v>452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ДОП_ВСІ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terms:modified xsi:type="dcterms:W3CDTF">2018-07-01T15:12:36Z</dcterms:modified>
</cp:coreProperties>
</file>